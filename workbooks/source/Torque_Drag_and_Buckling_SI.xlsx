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9.xml" ContentType="application/vnd.openxmlformats-officedocument.drawing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Id5"/>
    <x:sheet xmlns:r="http://schemas.openxmlformats.org/officeDocument/2006/relationships" name="Inputs" sheetId="2" r:id="rId16"/>
    <x:sheet xmlns:r="http://schemas.openxmlformats.org/officeDocument/2006/relationships" name="Survey" sheetId="3" r:id="rId24"/>
    <x:sheet xmlns:r="http://schemas.openxmlformats.org/officeDocument/2006/relationships" name="Results" sheetId="4" r:id="rId25"/>
    <x:sheet xmlns:r="http://schemas.openxmlformats.org/officeDocument/2006/relationships" name="Graphs" sheetId="5" r:id="rId26"/>
    <x:sheet xmlns:r="http://schemas.openxmlformats.org/officeDocument/2006/relationships" name="Wellbore" sheetId="6" r:id="rId27"/>
    <x:sheet xmlns:r="http://schemas.openxmlformats.org/officeDocument/2006/relationships" name="Drillstring" sheetId="7" r:id="rId28"/>
    <x:sheet xmlns:r="http://schemas.openxmlformats.org/officeDocument/2006/relationships" name="API 7G Limits" sheetId="8" r:id="rId29"/>
    <x:sheet xmlns:r="http://schemas.openxmlformats.org/officeDocument/2006/relationships" name="Operation Cases" sheetId="9" r:id="rId30"/>
    <x:sheet xmlns:r="http://schemas.openxmlformats.org/officeDocument/2006/relationships" name="ALL" sheetId="10" r:id="rId6"/>
    <x:sheet xmlns:r="http://schemas.openxmlformats.org/officeDocument/2006/relationships" name="PUW" sheetId="11" r:id="rId7"/>
    <x:sheet xmlns:r="http://schemas.openxmlformats.org/officeDocument/2006/relationships" name="SOW" sheetId="12" r:id="rId8"/>
    <x:sheet xmlns:r="http://schemas.openxmlformats.org/officeDocument/2006/relationships" name="BKR" sheetId="13" r:id="rId9"/>
    <x:sheet xmlns:r="http://schemas.openxmlformats.org/officeDocument/2006/relationships" name="SLD" sheetId="14" r:id="rId10"/>
    <x:sheet xmlns:r="http://schemas.openxmlformats.org/officeDocument/2006/relationships" name="ROT" sheetId="15" r:id="rId11"/>
    <x:sheet xmlns:r="http://schemas.openxmlformats.org/officeDocument/2006/relationships" name="DRLG" sheetId="16" r:id="rId12"/>
    <x:sheet xmlns:r="http://schemas.openxmlformats.org/officeDocument/2006/relationships" name="Operation Charts" sheetId="17" r:id="rId13"/>
    <x:sheet xmlns:r="http://schemas.openxmlformats.org/officeDocument/2006/relationships" name="Observed Data" sheetId="18" r:id="rId14"/>
    <x:sheet xmlns:r="http://schemas.openxmlformats.org/officeDocument/2006/relationships" name="Engineering Dashboard" sheetId="19" r:id="rId15"/>
    <x:sheet xmlns:r="http://schemas.openxmlformats.org/officeDocument/2006/relationships" name="Chart Settings" sheetId="20" r:id="rId17"/>
    <x:sheet xmlns:r="http://schemas.openxmlformats.org/officeDocument/2006/relationships" name="Unit Map" sheetId="21" r:id="rId18"/>
    <x:sheet xmlns:r="http://schemas.openxmlformats.org/officeDocument/2006/relationships" name="Checks" sheetId="22" r:id="rId19"/>
    <x:sheet xmlns:r="http://schemas.openxmlformats.org/officeDocument/2006/relationships" name="Calc" sheetId="23" r:id="rId20" state="hidden"/>
    <x:sheet xmlns:r="http://schemas.openxmlformats.org/officeDocument/2006/relationships" name="Exchange Map" sheetId="24" r:id="rId21"/>
    <x:sheet xmlns:r="http://schemas.openxmlformats.org/officeDocument/2006/relationships" name="Exchange State" sheetId="25" r:id="rId22" state="hidden"/>
    <x:sheet xmlns:r="http://schemas.openxmlformats.org/officeDocument/2006/relationships" name="Exchange Buffer" sheetId="26" r:id="rI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#,##0.00;[Red]-#,##0.00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i/>
      <x:sz val="11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</x:fills>
  <x:borders count="5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2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2" fillId="2" borderId="0" xfId="0" applyNumberFormat="1" applyFont="1" applyFill="1" applyBorder="1" applyAlignment="1">
      <x:alignment horizontal="left" vertical="center"/>
    </x:xf>
    <x:xf numFmtId="201" fontId="2" fillId="2" borderId="1" xfId="0" applyNumberFormat="1" applyFont="1" applyFill="1" applyBorder="1"/>
    <x:xf numFmtId="201" fontId="0" fillId="5" borderId="1" xfId="0" applyNumberFormat="1" applyFont="1" applyFill="1" applyBorder="1"/>
    <x:xf numFmtId="201" fontId="0" fillId="4" borderId="1" xfId="0" applyNumberFormat="1" applyFont="1" applyFill="1" applyBorder="1"/>
    <x:xf numFmtId="201" fontId="3" fillId="3" borderId="0" xfId="0" applyNumberFormat="1" applyFont="1" applyFill="1" applyBorder="1"/>
    <x:xf numFmtId="201" fontId="0" fillId="0" borderId="1" xfId="0" applyNumberFormat="1" applyFont="1" applyFill="1" applyBorder="1"/>
    <x:xf numFmtId="201" fontId="2" fillId="2" borderId="0" xfId="0" applyNumberFormat="1" applyFont="1" applyFill="1" applyBorder="1" applyAlignment="1">
      <x:alignment horizontal="left" vertical="center" wrapText="1"/>
    </x:xf>
    <x:xf numFmtId="201" fontId="2" fillId="2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4" borderId="2" xfId="0" applyNumberFormat="1" applyFont="1" applyFill="1" applyBorder="1" applyAlignment="1">
      <x:alignment wrapText="1"/>
    </x:xf>
    <x:xf numFmtId="201" fontId="0" fillId="4" borderId="4" xfId="0" applyNumberFormat="1" applyFont="1" applyFill="1" applyBorder="1" applyAlignment="1">
      <x:alignment wrapText="1"/>
    </x:xf>
    <x:xf numFmtId="201" fontId="0" fillId="5" borderId="2" xfId="0" applyNumberFormat="1" applyFont="1" applyFill="1" applyBorder="1" applyAlignment="1">
      <x:alignment wrapText="1"/>
    </x:xf>
    <x:xf numFmtId="201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microsoft.com/office/2022/11/relationships/FeaturePropertyBag" Target="/xl/featurePropertyBag/featurePropertyBag.xml" Id="rId1" /><Relationship Type="http://schemas.openxmlformats.org/officeDocument/2006/relationships/sharedStrings" Target="/xl/sharedStrings.xml" Id="rId2" /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worksheet" Target="/xl/worksheets/sheet1.xml" Id="rId5" /><Relationship Type="http://schemas.openxmlformats.org/officeDocument/2006/relationships/worksheet" Target="/xl/worksheets/sheet10.xml" Id="rId6" /><Relationship Type="http://schemas.openxmlformats.org/officeDocument/2006/relationships/worksheet" Target="/xl/worksheets/sheet11.xml" Id="rId7" /><Relationship Type="http://schemas.openxmlformats.org/officeDocument/2006/relationships/worksheet" Target="/xl/worksheets/sheet12.xml" Id="rId8" /><Relationship Type="http://schemas.openxmlformats.org/officeDocument/2006/relationships/worksheet" Target="/xl/worksheets/sheet13.xml" Id="rId9" /><Relationship Type="http://schemas.openxmlformats.org/officeDocument/2006/relationships/worksheet" Target="/xl/worksheets/sheet14.xml" Id="rId10" /><Relationship Type="http://schemas.openxmlformats.org/officeDocument/2006/relationships/worksheet" Target="/xl/worksheets/sheet15.xml" Id="rId11" /><Relationship Type="http://schemas.openxmlformats.org/officeDocument/2006/relationships/worksheet" Target="/xl/worksheets/sheet16.xml" Id="rId12" /><Relationship Type="http://schemas.openxmlformats.org/officeDocument/2006/relationships/worksheet" Target="/xl/worksheets/sheet17.xml" Id="rId13" /><Relationship Type="http://schemas.openxmlformats.org/officeDocument/2006/relationships/worksheet" Target="/xl/worksheets/sheet18.xml" Id="rId14" /><Relationship Type="http://schemas.openxmlformats.org/officeDocument/2006/relationships/worksheet" Target="/xl/worksheets/sheet19.xml" Id="rId15" /><Relationship Type="http://schemas.openxmlformats.org/officeDocument/2006/relationships/worksheet" Target="/xl/worksheets/sheet2.xml" Id="rId16" /><Relationship Type="http://schemas.openxmlformats.org/officeDocument/2006/relationships/worksheet" Target="/xl/worksheets/sheet20.xml" Id="rId17" /><Relationship Type="http://schemas.openxmlformats.org/officeDocument/2006/relationships/worksheet" Target="/xl/worksheets/sheet21.xml" Id="rId18" /><Relationship Type="http://schemas.openxmlformats.org/officeDocument/2006/relationships/worksheet" Target="/xl/worksheets/sheet22.xml" Id="rId19" /><Relationship Type="http://schemas.openxmlformats.org/officeDocument/2006/relationships/worksheet" Target="/xl/worksheets/sheet23.xml" Id="rId20" /><Relationship Type="http://schemas.openxmlformats.org/officeDocument/2006/relationships/worksheet" Target="/xl/worksheets/sheet24.xml" Id="rId21" /><Relationship Type="http://schemas.openxmlformats.org/officeDocument/2006/relationships/worksheet" Target="/xl/worksheets/sheet25.xml" Id="rId22" /><Relationship Type="http://schemas.openxmlformats.org/officeDocument/2006/relationships/worksheet" Target="/xl/worksheets/sheet26.xml" Id="rId23" /><Relationship Type="http://schemas.openxmlformats.org/officeDocument/2006/relationships/worksheet" Target="/xl/worksheets/sheet3.xml" Id="rId24" /><Relationship Type="http://schemas.openxmlformats.org/officeDocument/2006/relationships/worksheet" Target="/xl/worksheets/sheet4.xml" Id="rId25" /><Relationship Type="http://schemas.openxmlformats.org/officeDocument/2006/relationships/worksheet" Target="/xl/worksheets/sheet5.xml" Id="rId26" /><Relationship Type="http://schemas.openxmlformats.org/officeDocument/2006/relationships/worksheet" Target="/xl/worksheets/sheet6.xml" Id="rId27" /><Relationship Type="http://schemas.openxmlformats.org/officeDocument/2006/relationships/worksheet" Target="/xl/worksheets/sheet7.xml" Id="rId28" /><Relationship Type="http://schemas.openxmlformats.org/officeDocument/2006/relationships/worksheet" Target="/xl/worksheets/sheet8.xml" Id="rId29" /><Relationship Type="http://schemas.openxmlformats.org/officeDocument/2006/relationships/worksheet" Target="/xl/worksheets/sheet9.xml" Id="rId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1" /><Relationship Type="http://schemas.openxmlformats.org/officeDocument/2006/relationships/chart" Target="/xl/drawings/charts/chart2.xml" Id="rId2" /><Relationship Type="http://schemas.openxmlformats.org/officeDocument/2006/relationships/chart" Target="/xl/drawings/charts/chart3.xml" Id="rI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Id1" /><Relationship Type="http://schemas.openxmlformats.org/officeDocument/2006/relationships/chart" Target="/xl/drawings/charts/chart5.xml" Id="rId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Id1" /><Relationship Type="http://schemas.openxmlformats.org/officeDocument/2006/relationships/chart" Target="/xl/drawings/charts/chart7.xml" Id="rId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Id1" /><Relationship Type="http://schemas.openxmlformats.org/officeDocument/2006/relationships/chart" Target="/xl/drawings/charts/chart9.xml" Id="rId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Id1" /><Relationship Type="http://schemas.openxmlformats.org/officeDocument/2006/relationships/chart" Target="/xl/drawings/charts/chart11.xml" Id="rId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Id1" /><Relationship Type="http://schemas.openxmlformats.org/officeDocument/2006/relationships/chart" Target="/xl/drawings/charts/chart13.xml" Id="rId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Id1" /><Relationship Type="http://schemas.openxmlformats.org/officeDocument/2006/relationships/chart" Target="/xl/drawings/charts/chart15.xml" Id="rId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Id1" /><Relationship Type="http://schemas.openxmlformats.org/officeDocument/2006/relationships/chart" Target="/xl/drawings/charts/chart17.xml" Id="rId2" /><Relationship Type="http://schemas.openxmlformats.org/officeDocument/2006/relationships/chart" Target="/xl/drawings/charts/chart18.xml" Id="rId3" /><Relationship Type="http://schemas.openxmlformats.org/officeDocument/2006/relationships/chart" Target="/xl/drawings/charts/chart19.xml" Id="rId4" /><Relationship Type="http://schemas.openxmlformats.org/officeDocument/2006/relationships/chart" Target="/xl/drawings/charts/chart20.xml" Id="rId5" /><Relationship Type="http://schemas.openxmlformats.org/officeDocument/2006/relationships/chart" Target="/xl/drawings/charts/chart21.xml" Id="rId6" /><Relationship Type="http://schemas.openxmlformats.org/officeDocument/2006/relationships/chart" Target="/xl/drawings/charts/chart22.xml" Id="rId7" /><Relationship Type="http://schemas.openxmlformats.org/officeDocument/2006/relationships/chart" Target="/xl/drawings/charts/chart23.xml" Id="rId8" /><Relationship Type="http://schemas.openxmlformats.org/officeDocument/2006/relationships/chart" Target="/xl/drawings/charts/chart24.xml" Id="rId9" /><Relationship Type="http://schemas.openxmlformats.org/officeDocument/2006/relationships/chart" Target="/xl/drawings/charts/chart25.xml" Id="rId10" /><Relationship Type="http://schemas.openxmlformats.org/officeDocument/2006/relationships/chart" Target="/xl/drawings/charts/chart26.xml" Id="rId11" /><Relationship Type="http://schemas.openxmlformats.org/officeDocument/2006/relationships/chart" Target="/xl/drawings/charts/chart27.xml" Id="rId12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28.xml" Id="rId1" /><Relationship Type="http://schemas.openxmlformats.org/officeDocument/2006/relationships/chart" Target="/xl/drawings/charts/chart29.xml" Id="rId2" /><Relationship Type="http://schemas.openxmlformats.org/officeDocument/2006/relationships/chart" Target="/xl/drawings/charts/chart30.xml" Id="rId3" /><Relationship Type="http://schemas.openxmlformats.org/officeDocument/2006/relationships/chart" Target="/xl/drawings/charts/chart31.xml" Id="rI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Hookload roadmap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POOH</c:v>
          </c:tx>
          <c:xVal>
            <c:numRef>
              <c:f>='Graphs'!$B$4:$B$63</c:f>
              <c:numCache>
                <c:formatCode>General</c:formatCode>
                <c:ptCount val="0"/>
              </c:numCache>
            </c:numRef>
          </c:xVal>
          <c:yVal>
            <c:numRef>
              <c:f>='Graphs'!$A$4:$A$63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RIH</c:v>
          </c:tx>
          <c:xVal>
            <c:numRef>
              <c:f>='Graphs'!$C$4:$C$63</c:f>
              <c:numCache>
                <c:formatCode>General</c:formatCode>
                <c:ptCount val="0"/>
              </c:numCache>
            </c:numRef>
          </c:xVal>
          <c:yVal>
            <c:numRef>
              <c:f>='Graphs'!$A$4:$A$63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Torque roadmap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Rotating</c:v>
          </c:tx>
          <c:xVal>
            <c:numRef>
              <c:f>='Graphs'!$F$4:$F$63</c:f>
              <c:numCache>
                <c:formatCode>General</c:formatCode>
                <c:ptCount val="0"/>
              </c:numCache>
            </c:numRef>
          </c:xVal>
          <c:yVal>
            <c:numRef>
              <c:f>='Graphs'!$E$4:$E$63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Buckling roadmap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Sinusoidal limit</c:v>
          </c:tx>
          <c:xVal>
            <c:numRef>
              <c:f>='Graphs'!$B$41:$B$100</c:f>
              <c:numCache>
                <c:formatCode>General</c:formatCode>
                <c:ptCount val="0"/>
              </c:numCache>
            </c:numRef>
          </c:xVal>
          <c:yVal>
            <c:numRef>
              <c:f>='Graphs'!$A$41:$A$100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Helical limit</c:v>
          </c:tx>
          <c:xVal>
            <c:numRef>
              <c:f>='Graphs'!$C$41:$C$100</c:f>
              <c:numCache>
                <c:formatCode>General</c:formatCode>
                <c:ptCount val="0"/>
              </c:numCache>
            </c:numRef>
          </c:xVal>
          <c:yVal>
            <c:numRef>
              <c:f>='Graphs'!$A$41:$A$100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RIH axial</c:v>
          </c:tx>
          <c:xVal>
            <c:numRef>
              <c:f>='Graphs'!$D$41:$D$100</c:f>
              <c:numCache>
                <c:formatCode>General</c:formatCode>
                <c:ptCount val="0"/>
              </c:numCache>
            </c:numRef>
          </c:xVal>
          <c:yVal>
            <c:numRef>
              <c:f>='Graphs'!$A$41:$A$100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PUW axial load and buckling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Axial load</c:v>
          </c:tx>
          <c:xVal>
            <c:numRef>
              <c:f>='PUW'!$B$69:$B$128</c:f>
              <c:numCache>
                <c:formatCode>General</c:formatCode>
                <c:ptCount val="0"/>
              </c:numCache>
            </c:numRef>
          </c:xVal>
          <c:yVal>
            <c:numRef>
              <c:f>='PUW'!$A$69:$A$128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Sinusoidal limit</c:v>
          </c:tx>
          <c:xVal>
            <c:numRef>
              <c:f>='PUW'!$C$69:$C$128</c:f>
              <c:numCache>
                <c:formatCode>General</c:formatCode>
                <c:ptCount val="0"/>
              </c:numCache>
            </c:numRef>
          </c:xVal>
          <c:yVal>
            <c:numRef>
              <c:f>='PUW'!$A$69:$A$128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Helical limit</c:v>
          </c:tx>
          <c:xVal>
            <c:numRef>
              <c:f>='PUW'!$D$69:$D$128</c:f>
              <c:numCache>
                <c:formatCode>General</c:formatCode>
                <c:ptCount val="0"/>
              </c:numCache>
            </c:numRef>
          </c:xVal>
          <c:yVal>
            <c:numRef>
              <c:f>='PUW'!$A$69:$A$128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PUW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PUW torque</c:v>
          </c:tx>
          <c:xVal>
            <c:numRef>
              <c:f>='PUW'!$G$69:$G$128</c:f>
              <c:numCache>
                <c:formatCode>General</c:formatCode>
                <c:ptCount val="0"/>
              </c:numCache>
            </c:numRef>
          </c:xVal>
          <c:yVal>
            <c:numRef>
              <c:f>='PUW'!$F$69:$F$128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SOW axial load and buckling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Axial load</c:v>
          </c:tx>
          <c:xVal>
            <c:numRef>
              <c:f>='SOW'!$B$69:$B$128</c:f>
              <c:numCache>
                <c:formatCode>General</c:formatCode>
                <c:ptCount val="0"/>
              </c:numCache>
            </c:numRef>
          </c:xVal>
          <c:yVal>
            <c:numRef>
              <c:f>='SOW'!$A$69:$A$128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Sinusoidal limit</c:v>
          </c:tx>
          <c:xVal>
            <c:numRef>
              <c:f>='SOW'!$C$69:$C$128</c:f>
              <c:numCache>
                <c:formatCode>General</c:formatCode>
                <c:ptCount val="0"/>
              </c:numCache>
            </c:numRef>
          </c:xVal>
          <c:yVal>
            <c:numRef>
              <c:f>='SOW'!$A$69:$A$128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Helical limit</c:v>
          </c:tx>
          <c:xVal>
            <c:numRef>
              <c:f>='SOW'!$D$69:$D$128</c:f>
              <c:numCache>
                <c:formatCode>General</c:formatCode>
                <c:ptCount val="0"/>
              </c:numCache>
            </c:numRef>
          </c:xVal>
          <c:yVal>
            <c:numRef>
              <c:f>='SOW'!$A$69:$A$128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SOW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SOW torque</c:v>
          </c:tx>
          <c:xVal>
            <c:numRef>
              <c:f>='SOW'!$G$69:$G$128</c:f>
              <c:numCache>
                <c:formatCode>General</c:formatCode>
                <c:ptCount val="0"/>
              </c:numCache>
            </c:numRef>
          </c:xVal>
          <c:yVal>
            <c:numRef>
              <c:f>='SOW'!$F$69:$F$128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BKR axial load and buckling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Axial load</c:v>
          </c:tx>
          <c:xVal>
            <c:numRef>
              <c:f>='BKR'!$B$69:$B$128</c:f>
              <c:numCache>
                <c:formatCode>General</c:formatCode>
                <c:ptCount val="0"/>
              </c:numCache>
            </c:numRef>
          </c:xVal>
          <c:yVal>
            <c:numRef>
              <c:f>='BKR'!$A$69:$A$128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Sinusoidal limit</c:v>
          </c:tx>
          <c:xVal>
            <c:numRef>
              <c:f>='BKR'!$C$69:$C$128</c:f>
              <c:numCache>
                <c:formatCode>General</c:formatCode>
                <c:ptCount val="0"/>
              </c:numCache>
            </c:numRef>
          </c:xVal>
          <c:yVal>
            <c:numRef>
              <c:f>='BKR'!$A$69:$A$128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Helical limit</c:v>
          </c:tx>
          <c:xVal>
            <c:numRef>
              <c:f>='BKR'!$D$69:$D$128</c:f>
              <c:numCache>
                <c:formatCode>General</c:formatCode>
                <c:ptCount val="0"/>
              </c:numCache>
            </c:numRef>
          </c:xVal>
          <c:yVal>
            <c:numRef>
              <c:f>='BKR'!$A$69:$A$128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BKR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BKR torque</c:v>
          </c:tx>
          <c:xVal>
            <c:numRef>
              <c:f>='BKR'!$G$69:$G$128</c:f>
              <c:numCache>
                <c:formatCode>General</c:formatCode>
                <c:ptCount val="0"/>
              </c:numCache>
            </c:numRef>
          </c:xVal>
          <c:yVal>
            <c:numRef>
              <c:f>='BKR'!$F$69:$F$128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SLD axial load and buckling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Axial load</c:v>
          </c:tx>
          <c:xVal>
            <c:numRef>
              <c:f>='SLD'!$B$69:$B$128</c:f>
              <c:numCache>
                <c:formatCode>General</c:formatCode>
                <c:ptCount val="0"/>
              </c:numCache>
            </c:numRef>
          </c:xVal>
          <c:yVal>
            <c:numRef>
              <c:f>='SLD'!$A$69:$A$128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Sinusoidal limit</c:v>
          </c:tx>
          <c:xVal>
            <c:numRef>
              <c:f>='SLD'!$C$69:$C$128</c:f>
              <c:numCache>
                <c:formatCode>General</c:formatCode>
                <c:ptCount val="0"/>
              </c:numCache>
            </c:numRef>
          </c:xVal>
          <c:yVal>
            <c:numRef>
              <c:f>='SLD'!$A$69:$A$128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Helical limit</c:v>
          </c:tx>
          <c:xVal>
            <c:numRef>
              <c:f>='SLD'!$D$69:$D$128</c:f>
              <c:numCache>
                <c:formatCode>General</c:formatCode>
                <c:ptCount val="0"/>
              </c:numCache>
            </c:numRef>
          </c:xVal>
          <c:yVal>
            <c:numRef>
              <c:f>='SLD'!$A$69:$A$128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SLD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SLD torque</c:v>
          </c:tx>
          <c:xVal>
            <c:numRef>
              <c:f>='SLD'!$G$69:$G$128</c:f>
              <c:numCache>
                <c:formatCode>General</c:formatCode>
                <c:ptCount val="0"/>
              </c:numCache>
            </c:numRef>
          </c:xVal>
          <c:yVal>
            <c:numRef>
              <c:f>='SLD'!$F$69:$F$128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ROT axial load and buckling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Axial load</c:v>
          </c:tx>
          <c:xVal>
            <c:numRef>
              <c:f>='ROT'!$B$69:$B$128</c:f>
              <c:numCache>
                <c:formatCode>General</c:formatCode>
                <c:ptCount val="0"/>
              </c:numCache>
            </c:numRef>
          </c:xVal>
          <c:yVal>
            <c:numRef>
              <c:f>='ROT'!$A$69:$A$128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Sinusoidal limit</c:v>
          </c:tx>
          <c:xVal>
            <c:numRef>
              <c:f>='ROT'!$C$69:$C$128</c:f>
              <c:numCache>
                <c:formatCode>General</c:formatCode>
                <c:ptCount val="0"/>
              </c:numCache>
            </c:numRef>
          </c:xVal>
          <c:yVal>
            <c:numRef>
              <c:f>='ROT'!$A$69:$A$128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Helical limit</c:v>
          </c:tx>
          <c:xVal>
            <c:numRef>
              <c:f>='ROT'!$D$69:$D$128</c:f>
              <c:numCache>
                <c:formatCode>General</c:formatCode>
                <c:ptCount val="0"/>
              </c:numCache>
            </c:numRef>
          </c:xVal>
          <c:yVal>
            <c:numRef>
              <c:f>='ROT'!$A$69:$A$128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ROT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ROT torque</c:v>
          </c:tx>
          <c:xVal>
            <c:numRef>
              <c:f>='ROT'!$G$69:$G$128</c:f>
              <c:numCache>
                <c:formatCode>General</c:formatCode>
                <c:ptCount val="0"/>
              </c:numCache>
            </c:numRef>
          </c:xVal>
          <c:yVal>
            <c:numRef>
              <c:f>='ROT'!$F$69:$F$128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DRLG axial load and buckling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Axial load</c:v>
          </c:tx>
          <c:xVal>
            <c:numRef>
              <c:f>='DRLG'!$B$69:$B$128</c:f>
              <c:numCache>
                <c:formatCode>General</c:formatCode>
                <c:ptCount val="0"/>
              </c:numCache>
            </c:numRef>
          </c:xVal>
          <c:yVal>
            <c:numRef>
              <c:f>='DRLG'!$A$69:$A$128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Sinusoidal limit</c:v>
          </c:tx>
          <c:xVal>
            <c:numRef>
              <c:f>='DRLG'!$C$69:$C$128</c:f>
              <c:numCache>
                <c:formatCode>General</c:formatCode>
                <c:ptCount val="0"/>
              </c:numCache>
            </c:numRef>
          </c:xVal>
          <c:yVal>
            <c:numRef>
              <c:f>='DRLG'!$A$69:$A$128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Helical limit</c:v>
          </c:tx>
          <c:xVal>
            <c:numRef>
              <c:f>='DRLG'!$D$69:$D$128</c:f>
              <c:numCache>
                <c:formatCode>General</c:formatCode>
                <c:ptCount val="0"/>
              </c:numCache>
            </c:numRef>
          </c:xVal>
          <c:yVal>
            <c:numRef>
              <c:f>='DRLG'!$A$69:$A$128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DRLG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DRLG torque</c:v>
          </c:tx>
          <c:xVal>
            <c:numRef>
              <c:f>='DRLG'!$G$69:$G$128</c:f>
              <c:numCache>
                <c:formatCode>General</c:formatCode>
                <c:ptCount val="0"/>
              </c:numCache>
            </c:numRef>
          </c:xVal>
          <c:yVal>
            <c:numRef>
              <c:f>='DRLG'!$F$69:$F$128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PUW axial load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PUW</c:v>
          </c:tx>
          <c:xVal>
            <c:numRef>
              <c:f>='Operation Charts'!$B$6:$B$65</c:f>
              <c:numCache>
                <c:formatCode>General</c:formatCode>
                <c:ptCount val="0"/>
              </c:numCache>
            </c:numRef>
          </c:xVal>
          <c:yVal>
            <c:numRef>
              <c:f>='Operation Charts'!$A$6:$A$65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PUW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PUW</c:v>
          </c:tx>
          <c:xVal>
            <c:numRef>
              <c:f>='Operation Charts'!$D$6:$D$65</c:f>
              <c:numCache>
                <c:formatCode>General</c:formatCode>
                <c:ptCount val="0"/>
              </c:numCache>
            </c:numRef>
          </c:xVal>
          <c:yVal>
            <c:numRef>
              <c:f>='Operation Charts'!$C$6:$C$65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SOW axial load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SOW</c:v>
          </c:tx>
          <c:xVal>
            <c:numRef>
              <c:f>='Operation Charts'!$B$23:$B$82</c:f>
              <c:numCache>
                <c:formatCode>General</c:formatCode>
                <c:ptCount val="0"/>
              </c:numCache>
            </c:numRef>
          </c:xVal>
          <c:yVal>
            <c:numRef>
              <c:f>='Operation Charts'!$A$23:$A$82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SOW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SOW</c:v>
          </c:tx>
          <c:xVal>
            <c:numRef>
              <c:f>='Operation Charts'!$D$23:$D$82</c:f>
              <c:numCache>
                <c:formatCode>General</c:formatCode>
                <c:ptCount val="0"/>
              </c:numCache>
            </c:numRef>
          </c:xVal>
          <c:yVal>
            <c:numRef>
              <c:f>='Operation Charts'!$C$23:$C$82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BKR axial load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BKR</c:v>
          </c:tx>
          <c:xVal>
            <c:numRef>
              <c:f>='Operation Charts'!$B$40:$B$99</c:f>
              <c:numCache>
                <c:formatCode>General</c:formatCode>
                <c:ptCount val="0"/>
              </c:numCache>
            </c:numRef>
          </c:xVal>
          <c:yVal>
            <c:numRef>
              <c:f>='Operation Charts'!$A$40:$A$99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BKR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BKR</c:v>
          </c:tx>
          <c:xVal>
            <c:numRef>
              <c:f>='Operation Charts'!$D$40:$D$99</c:f>
              <c:numCache>
                <c:formatCode>General</c:formatCode>
                <c:ptCount val="0"/>
              </c:numCache>
            </c:numRef>
          </c:xVal>
          <c:yVal>
            <c:numRef>
              <c:f>='Operation Charts'!$C$40:$C$99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SLD axial load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SLD</c:v>
          </c:tx>
          <c:xVal>
            <c:numRef>
              <c:f>='Operation Charts'!$B$57:$B$116</c:f>
              <c:numCache>
                <c:formatCode>General</c:formatCode>
                <c:ptCount val="0"/>
              </c:numCache>
            </c:numRef>
          </c:xVal>
          <c:yVal>
            <c:numRef>
              <c:f>='Operation Charts'!$A$57:$A$116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SLD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SLD</c:v>
          </c:tx>
          <c:xVal>
            <c:numRef>
              <c:f>='Operation Charts'!$D$57:$D$116</c:f>
              <c:numCache>
                <c:formatCode>General</c:formatCode>
                <c:ptCount val="0"/>
              </c:numCache>
            </c:numRef>
          </c:xVal>
          <c:yVal>
            <c:numRef>
              <c:f>='Operation Charts'!$C$57:$C$116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ROT axial load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ROT</c:v>
          </c:tx>
          <c:xVal>
            <c:numRef>
              <c:f>='Operation Charts'!$B$74:$B$133</c:f>
              <c:numCache>
                <c:formatCode>General</c:formatCode>
                <c:ptCount val="0"/>
              </c:numCache>
            </c:numRef>
          </c:xVal>
          <c:yVal>
            <c:numRef>
              <c:f>='Operation Charts'!$A$74:$A$133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ROT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ROT</c:v>
          </c:tx>
          <c:xVal>
            <c:numRef>
              <c:f>='Operation Charts'!$D$74:$D$133</c:f>
              <c:numCache>
                <c:formatCode>General</c:formatCode>
                <c:ptCount val="0"/>
              </c:numCache>
            </c:numRef>
          </c:xVal>
          <c:yVal>
            <c:numRef>
              <c:f>='Operation Charts'!$C$74:$C$133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DRLG axial load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DRLG</c:v>
          </c:tx>
          <c:xVal>
            <c:numRef>
              <c:f>='Operation Charts'!$B$91:$B$150</c:f>
              <c:numCache>
                <c:formatCode>General</c:formatCode>
                <c:ptCount val="0"/>
              </c:numCache>
            </c:numRef>
          </c:xVal>
          <c:yVal>
            <c:numRef>
              <c:f>='Operation Charts'!$A$91:$A$150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 (N)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DRLG torque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DRLG</c:v>
          </c:tx>
          <c:xVal>
            <c:numRef>
              <c:f>='Operation Charts'!$D$91:$D$150</c:f>
              <c:numCache>
                <c:formatCode>General</c:formatCode>
                <c:ptCount val="0"/>
              </c:numCache>
            </c:numRef>
          </c:xVal>
          <c:yVal>
            <c:numRef>
              <c:f>='Operation Charts'!$C$91:$C$150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 (N-m)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Axial load — model / actual / limits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PUW</c:v>
          </c:tx>
          <c:spPr>
            <a:ln xmlns:a="http://schemas.openxmlformats.org/drawingml/2006/main" w="19050">
              <a:solidFill>
                <a:srgbClr val="0F766E"/>
              </a:solidFill>
            </a:ln>
          </c:spPr>
          <c:xVal>
            <c:numRef>
              <c:f>='Engineering Dashboard'!$B$61:$B$120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SOW</c:v>
          </c:tx>
          <c:spPr>
            <a:ln xmlns:a="http://schemas.openxmlformats.org/drawingml/2006/main" w="19050">
              <a:solidFill>
                <a:srgbClr val="D97706"/>
              </a:solidFill>
            </a:ln>
          </c:spPr>
          <c:xVal>
            <c:numRef>
              <c:f>='Engineering Dashboard'!$C$61:$C$120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BKR</c:v>
          </c:tx>
          <c:spPr>
            <a:ln xmlns:a="http://schemas.openxmlformats.org/drawingml/2006/main" w="19050">
              <a:solidFill>
                <a:srgbClr val="6B7280"/>
              </a:solidFill>
            </a:ln>
          </c:spPr>
          <c:xVal>
            <c:numRef>
              <c:f>='Engineering Dashboard'!$D$61:$D$120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ser>
          <c:idx val="3"/>
          <c:order val="3"/>
          <c:tx>
            <c:v>SLD</c:v>
          </c:tx>
          <c:spPr>
            <a:ln xmlns:a="http://schemas.openxmlformats.org/drawingml/2006/main" w="19050">
              <a:solidFill>
                <a:srgbClr val="7C3AED"/>
              </a:solidFill>
            </a:ln>
          </c:spPr>
          <c:xVal>
            <c:numRef>
              <c:f>='Engineering Dashboard'!$E$61:$E$120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ser>
          <c:idx val="4"/>
          <c:order val="4"/>
          <c:tx>
            <c:v>ROT</c:v>
          </c:tx>
          <c:spPr>
            <a:ln xmlns:a="http://schemas.openxmlformats.org/drawingml/2006/main" w="19050">
              <a:solidFill>
                <a:srgbClr val="2563EB"/>
              </a:solidFill>
            </a:ln>
          </c:spPr>
          <c:xVal>
            <c:numRef>
              <c:f>='Engineering Dashboard'!$F$61:$F$120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ser>
          <c:idx val="5"/>
          <c:order val="5"/>
          <c:tx>
            <c:v>DRLG</c:v>
          </c:tx>
          <c:spPr>
            <a:ln xmlns:a="http://schemas.openxmlformats.org/drawingml/2006/main" w="19050">
              <a:solidFill>
                <a:srgbClr val="15803D"/>
              </a:solidFill>
            </a:ln>
          </c:spPr>
          <c:xVal>
            <c:numRef>
              <c:f>='Engineering Dashboard'!$G$61:$G$120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ser>
          <c:idx val="6"/>
          <c:order val="6"/>
          <c:tx>
            <c:v>Observed hookload</c:v>
          </c:tx>
          <c:spPr>
            <a:ln xmlns:a="http://schemas.openxmlformats.org/drawingml/2006/main" w="19050">
              <a:solidFill>
                <a:srgbClr val="111827"/>
              </a:solidFill>
            </a:ln>
          </c:spPr>
          <c:xVal>
            <c:numRef>
              <c:f>='Engineering Dashboard'!$H$61:$H$120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ser>
          <c:idx val="7"/>
          <c:order val="7"/>
          <c:tx>
            <c:v>Tension rating</c:v>
          </c:tx>
          <c:spPr>
            <a:ln xmlns:a="http://schemas.openxmlformats.org/drawingml/2006/main" w="19050">
              <a:solidFill>
                <a:srgbClr val="B91C1C"/>
              </a:solidFill>
            </a:ln>
          </c:spPr>
          <c:xVal>
            <c:numRef>
              <c:f>='Engineering Dashboard'!$I$61:$I$120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ser>
          <c:idx val="8"/>
          <c:order val="8"/>
          <c:tx>
            <c:v>Sinusoidal buckling</c:v>
          </c:tx>
          <c:spPr>
            <a:ln xmlns:a="http://schemas.openxmlformats.org/drawingml/2006/main" w="19050">
              <a:solidFill>
                <a:srgbClr val="D97706"/>
              </a:solidFill>
            </a:ln>
          </c:spPr>
          <c:xVal>
            <c:numRef>
              <c:f>='Engineering Dashboard'!$J$61:$J$120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ser>
          <c:idx val="9"/>
          <c:order val="9"/>
          <c:tx>
            <c:v>Helical buckling</c:v>
          </c:tx>
          <c:spPr>
            <a:ln xmlns:a="http://schemas.openxmlformats.org/drawingml/2006/main" w="19050">
              <a:solidFill>
                <a:srgbClr val="DC2626"/>
              </a:solidFill>
            </a:ln>
          </c:spPr>
          <c:xVal>
            <c:numRef>
              <c:f>='Engineering Dashboard'!$K$61:$K$120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Dashboard'!$A$61:$A$120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Torque — model / actual / limits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BKR</c:v>
          </c:tx>
          <c:spPr>
            <a:ln xmlns:a="http://schemas.openxmlformats.org/drawingml/2006/main" w="19050">
              <a:solidFill>
                <a:srgbClr val="6B7280"/>
              </a:solidFill>
            </a:ln>
          </c:spPr>
          <c:xVal>
            <c:numRef>
              <c:f>='Engineering Dashboard'!$N$61:$N$120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Dashboard'!$M$61:$M$120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ROT</c:v>
          </c:tx>
          <c:spPr>
            <a:ln xmlns:a="http://schemas.openxmlformats.org/drawingml/2006/main" w="19050">
              <a:solidFill>
                <a:srgbClr val="2563EB"/>
              </a:solidFill>
            </a:ln>
          </c:spPr>
          <c:xVal>
            <c:numRef>
              <c:f>='Engineering Dashboard'!$O$61:$O$120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Dashboard'!$M$61:$M$120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DRLG</c:v>
          </c:tx>
          <c:spPr>
            <a:ln xmlns:a="http://schemas.openxmlformats.org/drawingml/2006/main" w="19050">
              <a:solidFill>
                <a:srgbClr val="15803D"/>
              </a:solidFill>
            </a:ln>
          </c:spPr>
          <c:xVal>
            <c:numRef>
              <c:f>='Engineering Dashboard'!$P$61:$P$120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Dashboard'!$M$61:$M$120</c:f>
              <c:numCache>
                <c:formatCode>#,##0.00;[Red]-#,##0.00</c:formatCode>
                <c:ptCount val="0"/>
              </c:numCache>
            </c:numRef>
          </c:yVal>
        </c:ser>
        <c:ser>
          <c:idx val="3"/>
          <c:order val="3"/>
          <c:tx>
            <c:v>Observed torque</c:v>
          </c:tx>
          <c:spPr>
            <a:ln xmlns:a="http://schemas.openxmlformats.org/drawingml/2006/main" w="19050">
              <a:solidFill>
                <a:srgbClr val="111827"/>
              </a:solidFill>
            </a:ln>
          </c:spPr>
          <c:xVal>
            <c:numRef>
              <c:f>='Engineering Dashboard'!$Q$61:$Q$120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Dashboard'!$M$61:$M$120</c:f>
              <c:numCache>
                <c:formatCode>#,##0.00;[Red]-#,##0.00</c:formatCode>
                <c:ptCount val="0"/>
              </c:numCache>
            </c:numRef>
          </c:yVal>
        </c:ser>
        <c:ser>
          <c:idx val="4"/>
          <c:order val="4"/>
          <c:tx>
            <c:v>Torsional rating</c:v>
          </c:tx>
          <c:spPr>
            <a:ln xmlns:a="http://schemas.openxmlformats.org/drawingml/2006/main" w="19050">
              <a:solidFill>
                <a:srgbClr val="B91C1C"/>
              </a:solidFill>
            </a:ln>
          </c:spPr>
          <c:xVal>
            <c:numRef>
              <c:f>='Engineering Dashboard'!$R$61:$R$120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Dashboard'!$M$61:$M$120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Torque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Inclination and well geometry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Inclination</c:v>
          </c:tx>
          <c:spPr>
            <a:ln xmlns:a="http://schemas.openxmlformats.org/drawingml/2006/main" w="19050">
              <a:solidFill>
                <a:srgbClr val="0F766E"/>
              </a:solidFill>
            </a:ln>
          </c:spPr>
          <c:xVal>
            <c:numRef>
              <c:f>='Engineering Dashboard'!$U$61:$U$120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Dashboard'!$T$61:$T$120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Inclination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Friction sensitivity — PUW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Low friction</c:v>
          </c:tx>
          <c:spPr>
            <a:ln xmlns:a="http://schemas.openxmlformats.org/drawingml/2006/main" w="19050">
              <a:solidFill>
                <a:srgbClr val="6B7280"/>
              </a:solidFill>
            </a:ln>
          </c:spPr>
          <c:xVal>
            <c:numRef>
              <c:f>='Engineering Dashboard'!$X$61:$X$120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Dashboard'!$W$61:$W$120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Base friction</c:v>
          </c:tx>
          <c:spPr>
            <a:ln xmlns:a="http://schemas.openxmlformats.org/drawingml/2006/main" w="19050">
              <a:solidFill>
                <a:srgbClr val="0F766E"/>
              </a:solidFill>
            </a:ln>
          </c:spPr>
          <c:xVal>
            <c:numRef>
              <c:f>='Engineering Dashboard'!$Y$61:$Y$120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Dashboard'!$W$61:$W$120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High friction</c:v>
          </c:tx>
          <c:spPr>
            <a:ln xmlns:a="http://schemas.openxmlformats.org/drawingml/2006/main" w="19050">
              <a:solidFill>
                <a:srgbClr val="B91C1C"/>
              </a:solidFill>
            </a:ln>
          </c:spPr>
          <c:xVal>
            <c:numRef>
              <c:f>='Engineering Dashboard'!$Z$61:$Z$120</c:f>
              <c:numCache>
                <c:formatCode>General</c:formatCode>
                <c:ptCount val="0"/>
              </c:numCache>
            </c:numRef>
          </c:xVal>
          <c:yVal>
            <c:numRef>
              <c:f>='Engineering Dashboard'!$W$61:$W$120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Axial load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twoCellAnchor>
    <xdr:from>
      <xdr:col>5</xdr:col>
      <xdr:colOff>0</xdr:colOff>
      <xdr:row>38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4"/>
        </a:graphicData>
      </a:graphic>
    </xdr:graphicFrame>
    <xdr:clientData/>
  </xdr:twoCellAnchor>
  <xdr:twoCellAnchor>
    <xdr:from>
      <xdr:col>6</xdr:col>
      <xdr:colOff>0</xdr:colOff>
      <xdr:row>38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5"/>
        </a:graphicData>
      </a:graphic>
    </xdr:graphicFrame>
    <xdr:clientData/>
  </xdr:twoCellAnchor>
  <xdr:twoCellAnchor>
    <xdr:from>
      <xdr:col>12</xdr:col>
      <xdr:colOff>0</xdr:colOff>
      <xdr:row>38</xdr:row>
      <xdr:rowOff>0</xdr:rowOff>
    </xdr:from>
    <xdr:to>
      <xdr:col>18</xdr:col>
      <xdr:colOff>0</xdr:colOff>
      <xdr:row>54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6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12</xdr:col>
      <xdr:colOff>0</xdr:colOff>
      <xdr:row>71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7"/>
        </a:graphicData>
      </a:graphic>
    </xdr:graphicFrame>
    <xdr:clientData/>
  </xdr:twoCellAnchor>
  <xdr:twoCellAnchor>
    <xdr:from>
      <xdr:col>12</xdr:col>
      <xdr:colOff>0</xdr:colOff>
      <xdr:row>55</xdr:row>
      <xdr:rowOff>0</xdr:rowOff>
    </xdr:from>
    <xdr:to>
      <xdr:col>18</xdr:col>
      <xdr:colOff>0</xdr:colOff>
      <xdr:row>71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8"/>
        </a:graphicData>
      </a:graphic>
    </xdr:graphicFrame>
    <xdr:clientData/>
  </xdr:twoCellAnchor>
  <xdr:twoCellAnchor>
    <xdr:from>
      <xdr:col>6</xdr:col>
      <xdr:colOff>0</xdr:colOff>
      <xdr:row>72</xdr:row>
      <xdr:rowOff>0</xdr:rowOff>
    </xdr:from>
    <xdr:to>
      <xdr:col>12</xdr:col>
      <xdr:colOff>0</xdr:colOff>
      <xdr:row>88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9"/>
        </a:graphicData>
      </a:graphic>
    </xdr:graphicFrame>
    <xdr:clientData/>
  </xdr:twoCellAnchor>
  <xdr:twoCellAnchor>
    <xdr:from>
      <xdr:col>12</xdr:col>
      <xdr:colOff>0</xdr:colOff>
      <xdr:row>72</xdr:row>
      <xdr:rowOff>0</xdr:rowOff>
    </xdr:from>
    <xdr:to>
      <xdr:col>18</xdr:col>
      <xdr:colOff>0</xdr:colOff>
      <xdr:row>88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0"/>
        </a:graphicData>
      </a:graphic>
    </xdr:graphicFrame>
    <xdr:clientData/>
  </xdr:twoCellAnchor>
  <xdr:twoCellAnchor>
    <xdr:from>
      <xdr:col>6</xdr:col>
      <xdr:colOff>0</xdr:colOff>
      <xdr:row>89</xdr:row>
      <xdr:rowOff>0</xdr:rowOff>
    </xdr:from>
    <xdr:to>
      <xdr:col>12</xdr:col>
      <xdr:colOff>0</xdr:colOff>
      <xdr:row>105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1"/>
        </a:graphicData>
      </a:graphic>
    </xdr:graphicFrame>
    <xdr:clientData/>
  </xdr:twoCellAnchor>
  <xdr:twoCellAnchor>
    <xdr:from>
      <xdr:col>12</xdr:col>
      <xdr:colOff>0</xdr:colOff>
      <xdr:row>89</xdr:row>
      <xdr:rowOff>0</xdr:rowOff>
    </xdr:from>
    <xdr:to>
      <xdr:col>18</xdr:col>
      <xdr:colOff>0</xdr:colOff>
      <xdr:row>105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twoCellAnchor>
    <xdr:from>
      <xdr:col>3</xdr:col>
      <xdr:colOff>0</xdr:colOff>
      <xdr:row>39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  <xdr:twoCellAnchor>
    <xdr:from>
      <xdr:col>14</xdr:col>
      <xdr:colOff>0</xdr:colOff>
      <xdr:row>39</xdr:row>
      <xdr:rowOff>0</xdr:rowOff>
    </xdr:from>
    <xdr:to>
      <xdr:col>25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Torque, Drag and Buckling — SI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Torque, drag and buckling decision summary</x:v>
      </x:c>
      <x:c r="B3" s="33" t="str">
        <x:v>Torque, drag and buckling decision summary</x:v>
      </x:c>
      <x:c r="C3" s="33" t="str">
        <x:v>Torque, drag and buckling decision summary</x:v>
      </x:c>
      <x:c r="D3" s="33" t="str">
        <x:v>Torque, drag and buckling decision summary</x:v>
      </x:c>
      <x:c r="E3" s="33" t="str">
        <x:v>Torque, drag and buckling decision summary</x:v>
      </x:c>
      <x:c r="F3" s="33" t="str">
        <x:v>Torque, drag and buckling decision summary</x:v>
      </x:c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Metric</x:v>
      </x:c>
      <x:c r="B5" s="34" t="str">
        <x:v>Result</x:v>
      </x:c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5" t="str">
        <x:v>Peak POOH hookload N</x:v>
      </x:c>
      <x:c r="B6" s="35" t="n">
        <x:f>MAX(Results!B6:B65)</x:f>
        <x:v>1219409.4015843999</x:v>
      </x:c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5" t="str">
        <x:v>Lowest RIH axial load N</x:v>
      </x:c>
      <x:c r="B7" s="35" t="n">
        <x:f>MIN(Results!C6:C65)</x:f>
        <x:v>120000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5" t="str">
        <x:v>Governing depth m</x:v>
      </x:c>
      <x:c r="B8" s="35" t="n">
        <x:f>INDEX(Results!A6:A65,MATCH(MIN(Results!C6:C65),Results!C6:C65,0))</x:f>
        <x:v>0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</x:sheetData>
  <x:mergeCells>
    <x:mergeCell ref="A1:N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Inputs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SI operational assumptions</x:v>
      </x:c>
      <x:c r="B3" s="33" t="str">
        <x:v>SI operational assumptions</x:v>
      </x:c>
      <x:c r="C3" s="33" t="str">
        <x:v>SI operational assumptions</x:v>
      </x:c>
      <x:c r="D3" s="33" t="str">
        <x:v>SI operational assumptions</x:v>
      </x:c>
      <x:c r="E3" s="33" t="str">
        <x:v>SI operational assumptions</x:v>
      </x:c>
      <x:c r="F3" s="33" t="str">
        <x:v>SI operational assumptions</x:v>
      </x:c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2" t="str">
        <x:v>Fluid density kg/m3</x:v>
      </x:c>
      <x:c r="B5" s="36" t="n">
        <x:v>1200</x:v>
      </x:c>
      <x:c r="C5" s="32" t="str">
        <x:v>kg/m3</x:v>
      </x:c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2" t="str">
        <x:v>Friction factor</x:v>
      </x:c>
      <x:c r="B6" s="36" t="n">
        <x:v>0.24</x:v>
      </x:c>
      <x:c r="C6" s="32" t="str">
        <x:v>1</x:v>
      </x:c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2" t="str">
        <x:v>WOB N</x:v>
      </x:c>
      <x:c r="B7" s="36" t="n">
        <x:v>120000</x:v>
      </x:c>
      <x:c r="C7" s="32" t="str">
        <x:v>N</x:v>
      </x:c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2" t="str">
        <x:v>Surface torque N-m</x:v>
      </x:c>
      <x:c r="B8" s="36" t="n">
        <x:v>26000</x:v>
      </x:c>
      <x:c r="C8" s="32" t="str">
        <x:v>N-m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2" t="str">
        <x:v>String OD m</x:v>
      </x:c>
      <x:c r="B9" s="36" t="n">
        <x:v>0.127</x:v>
      </x:c>
      <x:c r="C9" s="32" t="str">
        <x:v>m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2" t="str">
        <x:v>String ID m</x:v>
      </x:c>
      <x:c r="B10" s="36" t="n">
        <x:v>0.1086</x:v>
      </x:c>
      <x:c r="C10" s="32" t="str">
        <x:v>m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 t="str">
        <x:v>Steel density kg/m3</x:v>
      </x:c>
      <x:c r="B11" s="36" t="n">
        <x:v>7850</x:v>
      </x:c>
      <x:c r="C11" s="32" t="str">
        <x:v>kg/m3</x:v>
      </x:c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 t="str">
        <x:v>Young modulus</x:v>
      </x:c>
      <x:c r="B12" s="36" t="n">
        <x:v>206.84271879504</x:v>
      </x:c>
      <x:c r="C12" s="36" t="str">
        <x:v>GPa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 t="str">
        <x:v>Tension rating N</x:v>
      </x:c>
      <x:c r="B13" s="36" t="n">
        <x:f>'API 7G Limits'!$B$10</x:f>
        <x:v>2305313.3926624837</x:v>
      </x:c>
      <x:c r="C13" s="32" t="str">
        <x:v>N</x:v>
      </x:c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2" t="str">
        <x:v>Torsional rating N-m</x:v>
      </x:c>
      <x:c r="B14" s="36" t="n">
        <x:f>'API 7G Limits'!$B$11</x:f>
        <x:v>73158.88668371909</x:v>
      </x:c>
      <x:c r="C14" s="32" t="str">
        <x:v>N-m</x:v>
      </x:c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</x:row>
  </x:sheetData>
  <x:mergeCells>
    <x:mergeCell ref="A1:N1"/>
    <x:mergeCell ref="A3:F3"/>
  </x:mergeCells>
  <x:dataValidations count="1">
    <x:dataValidation type="list" sqref="C12">
      <x:formula1>"GPa,MPa,Pa,Mpsi,psi"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Survey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SI survey stations — inclination and azimuth are radians</x:v>
      </x:c>
      <x:c r="B3" s="33" t="str">
        <x:v>SI survey stations — inclination and azimuth are radians</x:v>
      </x:c>
      <x:c r="C3" s="33" t="str">
        <x:v>SI survey stations — inclination and azimuth are radians</x:v>
      </x:c>
      <x:c r="D3" s="33" t="str">
        <x:v>SI survey stations — inclination and azimuth are radians</x:v>
      </x:c>
      <x:c r="E3" s="33" t="str">
        <x:v>SI survey stations — inclination and azimuth are radians</x:v>
      </x:c>
      <x:c r="F3" s="33" t="str">
        <x:v>SI survey stations — inclination and azimuth are radians</x:v>
      </x:c>
      <x:c r="G3" s="33" t="str">
        <x:v>SI survey stations — inclination and azimuth are radians</x:v>
      </x:c>
      <x:c r="H3" s="33" t="str">
        <x:v>SI survey stations — inclination and azimuth are radians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MD m</x:v>
      </x:c>
      <x:c r="B5" s="34" t="str">
        <x:v>Inclination rad</x:v>
      </x:c>
      <x:c r="C5" s="34" t="str">
        <x:v>Azimuth rad</x:v>
      </x:c>
      <x:c r="D5" s="34" t="str">
        <x:v>Hole ID m</x:v>
      </x:c>
      <x:c r="E5" s="32" t="str">
        <x:v>Exchange record ID</x:v>
      </x:c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6" t="n">
        <x:v>0</x:v>
      </x:c>
      <x:c r="B6" s="36" t="n">
        <x:v>0</x:v>
      </x:c>
      <x:c r="C6" s="36" t="n">
        <x:v>0.3490658503988659</x:v>
      </x:c>
      <x:c r="D6" s="36" t="n">
        <x:v>0.216</x:v>
      </x:c>
      <x:c r="E6" s="32" t="str">
        <x:v>survey-000</x:v>
      </x:c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6" t="n">
        <x:v>155.10875760000002</x:v>
      </x:c>
      <x:c r="B7" s="36" t="n">
        <x:v>0.008499753457212385</x:v>
      </x:c>
      <x:c r="C7" s="36" t="n">
        <x:v>0.36271432514946156</x:v>
      </x:c>
      <x:c r="D7" s="36" t="n">
        <x:v>0.216</x:v>
      </x:c>
      <x:c r="E7" s="32" t="str">
        <x:v>survey-001</x:v>
      </x:c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6" t="n">
        <x:v>307.974492</x:v>
      </x:c>
      <x:c r="B8" s="36" t="n">
        <x:v>0.010454522219446033</x:v>
      </x:c>
      <x:c r="C8" s="36" t="n">
        <x:v>0.36976545532751864</x:v>
      </x:c>
      <x:c r="D8" s="36" t="n">
        <x:v>0.216</x:v>
      </x:c>
      <x:c r="E8" s="32" t="str">
        <x:v>survey-002</x:v>
      </x:c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6" t="n">
        <x:v>460.2227016</x:v>
      </x:c>
      <x:c r="B9" s="36" t="n">
        <x:v>0.007766715171374767</x:v>
      </x:c>
      <x:c r="C9" s="36" t="n">
        <x:v>0.36681584889164826</x:v>
      </x:c>
      <x:c r="D9" s="36" t="n">
        <x:v>0.216</x:v>
      </x:c>
      <x:c r="E9" s="32" t="str">
        <x:v>survey-003</x:v>
      </x:c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6" t="n">
        <x:v>611.9649432</x:v>
      </x:c>
      <x:c r="B10" s="36" t="n">
        <x:v>0.004153883619746505</x:v>
      </x:c>
      <x:c r="C10" s="36" t="n">
        <x:v>0.3552792225359658</x:v>
      </x:c>
      <x:c r="D10" s="36" t="n">
        <x:v>0.216</x:v>
      </x:c>
      <x:c r="E10" s="32" t="str">
        <x:v>survey-004</x:v>
      </x:c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6" t="n">
        <x:v>763.5706344</x:v>
      </x:c>
      <x:c r="B11" s="36" t="n">
        <x:v>0.009145525280450286</x:v>
      </x:c>
      <x:c r="C11" s="36" t="n">
        <x:v>0.34074062986685294</x:v>
      </x:c>
      <x:c r="D11" s="36" t="n">
        <x:v>0.216</x:v>
      </x:c>
      <x:c r="E11" s="32" t="str">
        <x:v>survey-005</x:v>
      </x:c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6" t="n">
        <x:v>915.4786872000001</x:v>
      </x:c>
      <x:c r="B12" s="36" t="n">
        <x:v>0.010314895879286487</x:v>
      </x:c>
      <x:c r="C12" s="36" t="n">
        <x:v>0.3302337477698471</x:v>
      </x:c>
      <x:c r="D12" s="36" t="n">
        <x:v>0.216</x:v>
      </x:c>
      <x:c r="E12" s="32" t="str">
        <x:v>survey-006</x:v>
      </x:c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6" t="n">
        <x:v>1067.9740896</x:v>
      </x:c>
      <x:c r="B13" s="36" t="n">
        <x:v>0.006928957130417489</x:v>
      </x:c>
      <x:c r="C13" s="36" t="n">
        <x:v>0.32882003107573166</x:v>
      </x:c>
      <x:c r="D13" s="36" t="n">
        <x:v>0.216</x:v>
      </x:c>
      <x:c r="E13" s="32" t="str">
        <x:v>survey-007</x:v>
      </x:c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6" t="n">
        <x:v>1221.042516</x:v>
      </x:c>
      <x:c r="B14" s="36" t="n">
        <x:v>0.005148721293383272</x:v>
      </x:c>
      <x:c r="C14" s="36" t="n">
        <x:v>0.3371801581927845</x:v>
      </x:c>
      <x:c r="D14" s="36" t="n">
        <x:v>0.216</x:v>
      </x:c>
      <x:c r="E14" s="32" t="str">
        <x:v>survey-008</x:v>
      </x:c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36" t="n">
        <x:v>1374.3773376000001</x:v>
      </x:c>
      <x:c r="B15" s="36" t="n">
        <x:v>0.009669124056048585</x:v>
      </x:c>
      <x:c r="C15" s="36" t="n">
        <x:v>0.35129987184141864</x:v>
      </x:c>
      <x:c r="D15" s="36" t="n">
        <x:v>0.216</x:v>
      </x:c>
      <x:c r="E15" s="32" t="str">
        <x:v>survey-009</x:v>
      </x:c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6" t="n">
        <x:v>1527.5362896000001</x:v>
      </x:c>
      <x:c r="B16" s="36" t="n">
        <x:v>0.010035643198967393</x:v>
      </x:c>
      <x:c r="C16" s="36" t="n">
        <x:v>0.36433748135381633</x:v>
      </x:c>
      <x:c r="D16" s="36" t="n">
        <x:v>0.216</x:v>
      </x:c>
      <x:c r="E16" s="32" t="str">
        <x:v>survey-010</x:v>
      </x:c>
      <x:c r="F16" s="32"/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6" t="n">
        <x:v>1565.8667184</x:v>
      </x:c>
      <x:c r="B17" s="36" t="n">
        <x:v>0.20598375832037077</x:v>
      </x:c>
      <x:c r="C17" s="36" t="n">
        <x:v>0.43128831146031876</x:v>
      </x:c>
      <x:c r="D17" s="36" t="n">
        <x:v>0.216</x:v>
      </x:c>
      <x:c r="E17" s="32" t="str">
        <x:v>survey-011</x:v>
      </x:c>
      <x:c r="F17" s="32"/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6" t="n">
        <x:v>1603.5857184000001</x:v>
      </x:c>
      <x:c r="B18" s="36" t="n">
        <x:v>0.38554323176554733</x:v>
      </x:c>
      <x:c r="C18" s="36" t="n">
        <x:v>0.47877872040708447</x:v>
      </x:c>
      <x:c r="D18" s="36" t="n">
        <x:v>0.216</x:v>
      </x:c>
      <x:c r="E18" s="32" t="str">
        <x:v>survey-012</x:v>
      </x:c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6" t="n">
        <x:v>1640.9209752000002</x:v>
      </x:c>
      <x:c r="B19" s="36" t="n">
        <x:v>0.5509829915620899</x:v>
      </x:c>
      <x:c r="C19" s="36" t="n">
        <x:v>0.5133711461816121</x:v>
      </x:c>
      <x:c r="D19" s="36" t="n">
        <x:v>0.216</x:v>
      </x:c>
      <x:c r="E19" s="32" t="str">
        <x:v>survey-013</x:v>
      </x:c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6" t="n">
        <x:v>1678.2970752</x:v>
      </x:c>
      <x:c r="B20" s="36" t="n">
        <x:v>0.7084815032620583</x:v>
      </x:c>
      <x:c r="C20" s="36" t="n">
        <x:v>0.5371599838862948</x:v>
      </x:c>
      <x:c r="D20" s="36" t="n">
        <x:v>0.216</x:v>
      </x:c>
      <x:c r="E20" s="32" t="str">
        <x:v>survey-014</x:v>
      </x:c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6" t="n">
        <x:v>1716.1166592000002</x:v>
      </x:c>
      <x:c r="B21" s="36" t="n">
        <x:v>0.8696277530986946</x:v>
      </x:c>
      <x:c r="C21" s="36" t="n">
        <x:v>0.5575803361346284</x:v>
      </x:c>
      <x:c r="D21" s="36" t="n">
        <x:v>0.216</x:v>
      </x:c>
      <x:c r="E21" s="32" t="str">
        <x:v>survey-015</x:v>
      </x:c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6" t="n">
        <x:v>1754.5571208000001</x:v>
      </x:c>
      <x:c r="B22" s="36" t="n">
        <x:v>1.0435149064748896</x:v>
      </x:c>
      <x:c r="C22" s="36" t="n">
        <x:v>0.5837602749145435</x:v>
      </x:c>
      <x:c r="D22" s="36" t="n">
        <x:v>0.216</x:v>
      </x:c>
      <x:c r="E22" s="32" t="str">
        <x:v>survey-016</x:v>
      </x:c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6" t="n">
        <x:v>1793.4788616</x:v>
      </x:c>
      <x:c r="B23" s="36" t="n">
        <x:v>1.2305967489961618</x:v>
      </x:c>
      <x:c r="C23" s="36" t="n">
        <x:v>0.6219480789481793</x:v>
      </x:c>
      <x:c r="D23" s="36" t="n">
        <x:v>0.216</x:v>
      </x:c>
      <x:c r="E23" s="32" t="str">
        <x:v>survey-017</x:v>
      </x:c>
      <x:c r="F23" s="32"/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36" t="n">
        <x:v>1832.4975288000003</x:v>
      </x:c>
      <x:c r="B24" s="36" t="n">
        <x:v>1.422321167327739</x:v>
      </x:c>
      <x:c r="C24" s="36" t="n">
        <x:v>0.6724404542083752</x:v>
      </x:c>
      <x:c r="D24" s="36" t="n">
        <x:v>0.216</x:v>
      </x:c>
      <x:c r="E24" s="32" t="str">
        <x:v>survey-018</x:v>
      </x:c>
      <x:c r="F24" s="32"/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36" t="n">
        <x:v>1871.1787824</x:v>
      </x:c>
      <x:c r="B25" s="36" t="n">
        <x:v>1.607011908773779</x:v>
      </x:c>
      <x:c r="C25" s="36" t="n">
        <x:v>0.7294254542859901</x:v>
      </x:c>
      <x:c r="D25" s="36" t="n">
        <x:v>0.216</x:v>
      </x:c>
      <x:c r="E25" s="32" t="str">
        <x:v>survey-019</x:v>
      </x:c>
      <x:c r="F25" s="32"/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36" t="n">
        <x:v>1947.3607992000002</x:v>
      </x:c>
      <x:c r="B26" s="36" t="n">
        <x:v>1.5600974584801712</x:v>
      </x:c>
      <x:c r="C26" s="36" t="n">
        <x:v>0.775345066905961</x:v>
      </x:c>
      <x:c r="D26" s="36" t="n">
        <x:v>0.216</x:v>
      </x:c>
      <x:c r="E26" s="32" t="str">
        <x:v>survey-020</x:v>
      </x:c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36" t="n">
        <x:v>2022.9868608</x:v>
      </x:c>
      <x:c r="B27" s="36" t="n">
        <x:v>1.5621045871199648</x:v>
      </x:c>
      <x:c r="C27" s="36" t="n">
        <x:v>0.8168664498109061</x:v>
      </x:c>
      <x:c r="D27" s="36" t="n">
        <x:v>0.216</x:v>
      </x:c>
      <x:c r="E27" s="32" t="str">
        <x:v>survey-021</x:v>
      </x:c>
      <x:c r="F27" s="32"/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6" t="n">
        <x:v>2098.3837128</x:v>
      </x:c>
      <x:c r="B28" s="36" t="n">
        <x:v>1.5629597984534422</x:v>
      </x:c>
      <x:c r="C28" s="36" t="n">
        <x:v>0.8568519429740961</x:v>
      </x:c>
      <x:c r="D28" s="36" t="n">
        <x:v>0.216</x:v>
      </x:c>
      <x:c r="E28" s="32" t="str">
        <x:v>survey-022</x:v>
      </x:c>
      <x:c r="F28" s="32"/>
      <x:c r="G28" s="32"/>
      <x:c r="H28" s="32"/>
      <x:c r="I28" s="32"/>
      <x:c r="J28" s="32"/>
      <x:c r="K28" s="32"/>
      <x:c r="L28" s="32"/>
      <x:c r="M28" s="32"/>
      <x:c r="N28" s="32"/>
    </x:row>
    <x:row r="29">
      <x:c r="A29" s="36" t="n">
        <x:v>2173.9945344000002</x:v>
      </x:c>
      <x:c r="B29" s="36" t="n">
        <x:v>1.5629074385758823</x:v>
      </x:c>
      <x:c r="C29" s="36" t="n">
        <x:v>0.8946034146947335</x:v>
      </x:c>
      <x:c r="D29" s="36" t="n">
        <x:v>0.216</x:v>
      </x:c>
      <x:c r="E29" s="32" t="str">
        <x:v>survey-023</x:v>
      </x:c>
      <x:c r="F29" s="32"/>
      <x:c r="G29" s="32"/>
      <x:c r="H29" s="32"/>
      <x:c r="I29" s="32"/>
      <x:c r="J29" s="32"/>
      <x:c r="K29" s="32"/>
      <x:c r="L29" s="32"/>
      <x:c r="M29" s="32"/>
      <x:c r="N29" s="32"/>
    </x:row>
    <x:row r="30">
      <x:c r="A30" s="36" t="n">
        <x:v>2250.1543008</x:v>
      </x:c>
      <x:c r="B30" s="36" t="n">
        <x:v>1.5623314799227241</x:v>
      </x:c>
      <x:c r="C30" s="36" t="n">
        <x:v>0.9295274530271401</x:v>
      </x:c>
      <x:c r="D30" s="36" t="n">
        <x:v>0.216</x:v>
      </x:c>
      <x:c r="E30" s="32" t="str">
        <x:v>survey-024</x:v>
      </x:c>
      <x:c r="F30" s="32"/>
      <x:c r="G30" s="32"/>
      <x:c r="H30" s="32"/>
      <x:c r="I30" s="32"/>
      <x:c r="J30" s="32"/>
      <x:c r="K30" s="32"/>
      <x:c r="L30" s="32"/>
      <x:c r="M30" s="32"/>
      <x:c r="N30" s="32"/>
    </x:row>
    <x:row r="31">
      <x:c r="A31" s="36" t="n">
        <x:v>2326.9172664000002</x:v>
      </x:c>
      <x:c r="B31" s="36" t="n">
        <x:v>1.5615111751742867</x:v>
      </x:c>
      <x:c r="C31" s="36" t="n">
        <x:v>0.9611528190732773</x:v>
      </x:c>
      <x:c r="D31" s="36" t="n">
        <x:v>0.216</x:v>
      </x:c>
      <x:c r="E31" s="32" t="str">
        <x:v>survey-025</x:v>
      </x:c>
      <x:c r="F31" s="32"/>
      <x:c r="G31" s="32"/>
      <x:c r="H31" s="32"/>
      <x:c r="I31" s="32"/>
      <x:c r="J31" s="32"/>
      <x:c r="K31" s="32"/>
      <x:c r="L31" s="32"/>
      <x:c r="M31" s="32"/>
      <x:c r="N31" s="32"/>
    </x:row>
    <x:row r="32">
      <x:c r="A32" s="36" t="n">
        <x:v>2404.030752</x:v>
      </x:c>
      <x:c r="B32" s="36" t="n">
        <x:v>1.5605686973782098</x:v>
      </x:c>
      <x:c r="C32" s="36" t="n">
        <x:v>0.9891479002752662</x:v>
      </x:c>
      <x:c r="D32" s="36" t="n">
        <x:v>0.216</x:v>
      </x:c>
      <x:c r="E32" s="32" t="str">
        <x:v>survey-026</x:v>
      </x:c>
      <x:c r="F32" s="32"/>
      <x:c r="G32" s="32"/>
      <x:c r="H32" s="32"/>
      <x:c r="I32" s="32"/>
      <x:c r="J32" s="32"/>
      <x:c r="K32" s="32"/>
      <x:c r="L32" s="32"/>
      <x:c r="M32" s="32"/>
      <x:c r="N32" s="32"/>
    </x:row>
    <x:row r="33">
      <x:c r="A33" s="36" t="n">
        <x:v>2481.0637704</x:v>
      </x:c>
      <x:c r="B33" s="36" t="n">
        <x:v>1.5594516866569332</x:v>
      </x:c>
      <x:c r="C33" s="36" t="n">
        <x:v>1.0132858038303478</x:v>
      </x:c>
      <x:c r="D33" s="36" t="n">
        <x:v>0.216</x:v>
      </x:c>
      <x:c r="E33" s="32" t="str">
        <x:v>survey-027</x:v>
      </x:c>
      <x:c r="F33" s="32"/>
      <x:c r="G33" s="32"/>
      <x:c r="H33" s="32"/>
      <x:c r="I33" s="32"/>
      <x:c r="J33" s="32"/>
      <x:c r="K33" s="32"/>
      <x:c r="L33" s="32"/>
      <x:c r="M33" s="32"/>
      <x:c r="N33" s="32"/>
    </x:row>
    <x:row r="34">
      <x:c r="A34" s="36" t="n">
        <x:v>2557.6252632</x:v>
      </x:c>
      <x:c r="B34" s="36" t="n">
        <x:v>1.5579332502076986</x:v>
      </x:c>
      <x:c r="C34" s="36" t="n">
        <x:v>1.0335665297385221</x:v>
      </x:c>
      <x:c r="D34" s="36" t="n">
        <x:v>0.216</x:v>
      </x:c>
      <x:c r="E34" s="32" t="str">
        <x:v>survey-028</x:v>
      </x:c>
      <x:c r="F34" s="32"/>
      <x:c r="G34" s="32"/>
      <x:c r="H34" s="32"/>
      <x:c r="I34" s="32"/>
      <x:c r="J34" s="32"/>
      <x:c r="K34" s="32"/>
      <x:c r="L34" s="32"/>
      <x:c r="M34" s="32"/>
      <x:c r="N34" s="32"/>
    </x:row>
    <x:row r="35">
      <x:c r="A35" s="36" t="n">
        <x:v>2633.5658784</x:v>
      </x:c>
      <x:c r="B35" s="36" t="n">
        <x:v>1.5558039485202655</x:v>
      </x:c>
      <x:c r="C35" s="36" t="n">
        <x:v>1.0500598911698684</x:v>
      </x:c>
      <x:c r="D35" s="36" t="n">
        <x:v>0.216</x:v>
      </x:c>
      <x:c r="E35" s="32" t="str">
        <x:v>survey-029</x:v>
      </x:c>
      <x:c r="F35" s="32"/>
      <x:c r="G35" s="32"/>
      <x:c r="H35" s="32"/>
      <x:c r="I35" s="32"/>
      <x:c r="J35" s="32"/>
      <x:c r="K35" s="32"/>
      <x:c r="L35" s="32"/>
      <x:c r="M35" s="32"/>
      <x:c r="N35" s="32"/>
    </x:row>
    <x:row r="36">
      <x:c r="A36" s="36" t="n">
        <x:v>2709.0514272</x:v>
      </x:c>
      <x:c r="B36" s="36" t="n">
        <x:v>1.5529590618395142</x:v>
      </x:c>
      <x:c r="C36" s="36" t="n">
        <x:v>1.0630451408047061</x:v>
      </x:c>
      <x:c r="D36" s="36" t="n">
        <x:v>0.216</x:v>
      </x:c>
      <x:c r="E36" s="32" t="str">
        <x:v>survey-030</x:v>
      </x:c>
      <x:c r="F36" s="32"/>
      <x:c r="G36" s="32"/>
      <x:c r="H36" s="32"/>
      <x:c r="I36" s="32"/>
      <x:c r="J36" s="32"/>
      <x:c r="K36" s="32"/>
      <x:c r="L36" s="32"/>
      <x:c r="M36" s="32"/>
      <x:c r="N36" s="32"/>
    </x:row>
    <x:row r="37">
      <x:c r="A37" s="36" t="n">
        <x:v>2784.480588</x:v>
      </x:c>
      <x:c r="B37" s="36" t="n">
        <x:v>1.5494858566280458</x:v>
      </x:c>
      <x:c r="C37" s="36" t="n">
        <x:v>1.0729062510784741</x:v>
      </x:c>
      <x:c r="D37" s="36" t="n">
        <x:v>0.216</x:v>
      </x:c>
      <x:c r="E37" s="32" t="str">
        <x:v>survey-031</x:v>
      </x:c>
      <x:c r="F37" s="32"/>
      <x:c r="G37" s="32"/>
      <x:c r="H37" s="32"/>
      <x:c r="I37" s="32"/>
      <x:c r="J37" s="32"/>
      <x:c r="K37" s="32"/>
      <x:c r="L37" s="32"/>
      <x:c r="M37" s="32"/>
      <x:c r="N37" s="32"/>
    </x:row>
    <x:row r="38">
      <x:c r="A38" s="36" t="n">
        <x:v>2860.2800807999997</x:v>
      </x:c>
      <x:c r="B38" s="36" t="n">
        <x:v>1.5457333987362578</x:v>
      </x:c>
      <x:c r="C38" s="36" t="n">
        <x:v>1.0801319141817307</x:v>
      </x:c>
      <x:c r="D38" s="36" t="n">
        <x:v>0.216</x:v>
      </x:c>
      <x:c r="E38" s="32" t="str">
        <x:v>survey-032</x:v>
      </x:c>
      <x:c r="F38" s="32"/>
      <x:c r="G38" s="32"/>
      <x:c r="H38" s="32"/>
      <x:c r="I38" s="32"/>
      <x:c r="J38" s="32"/>
      <x:c r="K38" s="32"/>
      <x:c r="L38" s="32"/>
      <x:c r="M38" s="32"/>
      <x:c r="N38" s="32"/>
    </x:row>
    <x:row r="39">
      <x:c r="A39" s="36" t="n">
        <x:v>2936.688564</x:v>
      </x:c>
      <x:c r="B39" s="36" t="n">
        <x:v>1.5422776468173092</x:v>
      </x:c>
      <x:c r="C39" s="36" t="n">
        <x:v>1.0852806354751139</x:v>
      </x:c>
      <x:c r="D39" s="36" t="n">
        <x:v>0.216</x:v>
      </x:c>
      <x:c r="E39" s="32" t="str">
        <x:v>survey-033</x:v>
      </x:c>
      <x:c r="F39" s="32"/>
      <x:c r="G39" s="32"/>
      <x:c r="H39" s="32"/>
      <x:c r="I39" s="32"/>
      <x:c r="J39" s="32"/>
      <x:c r="K39" s="32"/>
      <x:c r="L39" s="32"/>
      <x:c r="M39" s="32"/>
      <x:c r="N39" s="32"/>
    </x:row>
    <x:row r="40">
      <x:c r="A40" s="36" t="n">
        <x:v>3013.6334952</x:v>
      </x:c>
      <x:c r="B40" s="36" t="n">
        <x:v>1.5397818259869571</x:v>
      </x:c>
      <x:c r="C40" s="36" t="n">
        <x:v>1.0889981867818619</x:v>
      </x:c>
      <x:c r="D40" s="36" t="n">
        <x:v>0.216</x:v>
      </x:c>
      <x:c r="E40" s="32" t="str">
        <x:v>survey-034</x:v>
      </x:c>
      <x:c r="F40" s="32"/>
      <x:c r="G40" s="32"/>
      <x:c r="H40" s="32"/>
      <x:c r="I40" s="32"/>
      <x:c r="J40" s="32"/>
      <x:c r="K40" s="32"/>
      <x:c r="L40" s="32"/>
      <x:c r="M40" s="32"/>
      <x:c r="N40" s="32"/>
    </x:row>
    <x:row r="41">
      <x:c r="A41" s="36" t="n">
        <x:v>3090.7698408</x:v>
      </x:c>
      <x:c r="B41" s="36" t="n">
        <x:v>1.5388917080684403</x:v>
      </x:c>
      <x:c r="C41" s="36" t="n">
        <x:v>1.0919303399252125</x:v>
      </x:c>
      <x:c r="D41" s="36" t="n">
        <x:v>0.216</x:v>
      </x:c>
      <x:c r="E41" s="32" t="str">
        <x:v>survey-035</x:v>
      </x:c>
      <x:c r="F41" s="32"/>
      <x:c r="G41" s="32"/>
      <x:c r="H41" s="32"/>
      <x:c r="I41" s="32"/>
      <x:c r="J41" s="32"/>
      <x:c r="K41" s="32"/>
      <x:c r="L41" s="32"/>
      <x:c r="M41" s="32"/>
      <x:c r="N41" s="32"/>
    </x:row>
    <x:row r="42">
      <x:c r="A42" s="36" t="n">
        <x:v>3167.6544215999998</x:v>
      </x:c>
      <x:c r="B42" s="36" t="n">
        <x:v>1.5399738122046764</x:v>
      </x:c>
      <x:c r="C42" s="36" t="n">
        <x:v>1.0947403200209231</x:v>
      </x:c>
      <x:c r="D42" s="36" t="n">
        <x:v>0.216</x:v>
      </x:c>
      <x:c r="E42" s="32" t="str">
        <x:v>survey-036</x:v>
      </x:c>
      <x:c r="F42" s="32"/>
      <x:c r="G42" s="32"/>
      <x:c r="H42" s="32"/>
      <x:c r="I42" s="32"/>
      <x:c r="J42" s="32"/>
      <x:c r="K42" s="32"/>
      <x:c r="L42" s="32"/>
      <x:c r="M42" s="32"/>
      <x:c r="N42" s="32"/>
    </x:row>
    <x:row r="43">
      <x:c r="A43" s="36" t="n">
        <x:v>3243.9723792</x:v>
      </x:c>
      <x:c r="B43" s="36" t="n">
        <x:v>1.5430455916881864</x:v>
      </x:c>
      <x:c r="C43" s="36" t="n">
        <x:v>1.0980389923071925</x:v>
      </x:c>
      <x:c r="D43" s="36" t="n">
        <x:v>0.216</x:v>
      </x:c>
      <x:c r="E43" s="32" t="str">
        <x:v>survey-037</x:v>
      </x:c>
      <x:c r="F43" s="32"/>
      <x:c r="G43" s="32"/>
      <x:c r="H43" s="32"/>
      <x:c r="I43" s="32"/>
      <x:c r="J43" s="32"/>
      <x:c r="K43" s="32"/>
      <x:c r="L43" s="32"/>
      <x:c r="M43" s="32"/>
      <x:c r="N43" s="32"/>
    </x:row>
    <x:row r="44">
      <x:c r="A44" s="36" t="n">
        <x:v>3319.6978056000003</x:v>
      </x:c>
      <x:c r="B44" s="36" t="n">
        <x:v>1.5477405273760516</x:v>
      </x:c>
      <x:c r="C44" s="36" t="n">
        <x:v>1.1023848621446584</x:v>
      </x:c>
      <x:c r="D44" s="36" t="n">
        <x:v>0.216</x:v>
      </x:c>
      <x:c r="E44" s="32" t="str">
        <x:v>survey-038</x:v>
      </x:c>
      <x:c r="F44" s="32"/>
      <x:c r="G44" s="32"/>
      <x:c r="H44" s="32"/>
      <x:c r="I44" s="32"/>
      <x:c r="J44" s="32"/>
      <x:c r="K44" s="32"/>
      <x:c r="L44" s="32"/>
      <x:c r="M44" s="32"/>
      <x:c r="N44" s="32"/>
    </x:row>
    <x:row r="45">
      <x:c r="A45" s="36" t="n">
        <x:v>3395.1068496000003</x:v>
      </x:c>
      <x:c r="B45" s="36" t="n">
        <x:v>1.5533430342749535</x:v>
      </x:c>
      <x:c r="C45" s="36" t="n">
        <x:v>1.1082840750163994</x:v>
      </x:c>
      <x:c r="D45" s="36" t="n">
        <x:v>0.216</x:v>
      </x:c>
      <x:c r="E45" s="32" t="str">
        <x:v>survey-039</x:v>
      </x:c>
      <x:c r="F45" s="32"/>
      <x:c r="G45" s="32"/>
      <x:c r="H45" s="32"/>
      <x:c r="I45" s="32"/>
      <x:c r="J45" s="32"/>
      <x:c r="K45" s="32"/>
      <x:c r="L45" s="32"/>
      <x:c r="M45" s="32"/>
      <x:c r="N45" s="32"/>
    </x:row>
    <x:row r="46">
      <x:c r="A46" s="36" t="n">
        <x:v>3470.6368992</x:v>
      </x:c>
      <x:c r="B46" s="36" t="n">
        <x:v>1.5589455411738549</x:v>
      </x:c>
      <x:c r="C46" s="36" t="n">
        <x:v>1.1161031500653338</x:v>
      </x:c>
      <x:c r="D46" s="36" t="n">
        <x:v>0.216</x:v>
      </x:c>
      <x:c r="E46" s="32" t="str">
        <x:v>survey-040</x:v>
      </x:c>
      <x:c r="F46" s="32"/>
      <x:c r="G46" s="32"/>
      <x:c r="H46" s="32"/>
      <x:c r="I46" s="32"/>
      <x:c r="J46" s="32"/>
      <x:c r="K46" s="32"/>
      <x:c r="L46" s="32"/>
      <x:c r="M46" s="32"/>
      <x:c r="N46" s="32"/>
    </x:row>
    <x:row r="47">
      <x:c r="A47" s="36" t="n">
        <x:v>3546.6631632</x:v>
      </x:c>
      <x:c r="B47" s="36" t="n">
        <x:v>1.5636404768617198</x:v>
      </x:c>
      <x:c r="C47" s="36" t="n">
        <x:v>1.1261387932643012</x:v>
      </x:c>
      <x:c r="D47" s="36" t="n">
        <x:v>0.216</x:v>
      </x:c>
      <x:c r="E47" s="32" t="str">
        <x:v>survey-041</x:v>
      </x:c>
      <x:c r="F47" s="32"/>
      <x:c r="G47" s="32"/>
      <x:c r="H47" s="32"/>
      <x:c r="I47" s="32"/>
      <x:c r="J47" s="32"/>
      <x:c r="K47" s="32"/>
      <x:c r="L47" s="32"/>
      <x:c r="M47" s="32"/>
      <x:c r="N47" s="32"/>
    </x:row>
    <x:row r="48">
      <x:c r="A48" s="36" t="n">
        <x:v>3623.3087808</x:v>
      </x:c>
      <x:c r="B48" s="36" t="n">
        <x:v>1.5667122563452298</x:v>
      </x:c>
      <x:c r="C48" s="36" t="n">
        <x:v>1.1385480842459808</x:v>
      </x:c>
      <x:c r="D48" s="36" t="n">
        <x:v>0.216</x:v>
      </x:c>
      <x:c r="E48" s="32" t="str">
        <x:v>survey-042</x:v>
      </x:c>
      <x:c r="F48" s="32"/>
      <x:c r="G48" s="32"/>
      <x:c r="H48" s="32"/>
      <x:c r="I48" s="32"/>
      <x:c r="J48" s="32"/>
      <x:c r="K48" s="32"/>
      <x:c r="L48" s="32"/>
      <x:c r="M48" s="32"/>
      <x:c r="N48" s="32"/>
    </x:row>
    <x:row r="49">
      <x:c r="A49" s="36" t="n">
        <x:v>3700.3805088</x:v>
      </x:c>
      <x:c r="B49" s="36" t="n">
        <x:v>1.5677943604814664</x:v>
      </x:c>
      <x:c r="C49" s="36" t="n">
        <x:v>1.1534182894729725</x:v>
      </x:c>
      <x:c r="D49" s="36" t="n">
        <x:v>0.216</x:v>
      </x:c>
      <x:c r="E49" s="32" t="str">
        <x:v>survey-043</x:v>
      </x:c>
      <x:c r="F49" s="32"/>
      <x:c r="G49" s="32"/>
      <x:c r="H49" s="32"/>
      <x:c r="I49" s="32"/>
      <x:c r="J49" s="32"/>
      <x:c r="K49" s="32"/>
      <x:c r="L49" s="32"/>
      <x:c r="M49" s="32"/>
      <x:c r="N49" s="32"/>
    </x:row>
    <x:row r="50">
      <x:c r="A50" s="36" t="n">
        <x:v>3777.4683912</x:v>
      </x:c>
      <x:c r="B50" s="36" t="n">
        <x:v>1.5669042425629494</x:v>
      </x:c>
      <x:c r="C50" s="36" t="n">
        <x:v>1.1706621424826766</x:v>
      </x:c>
      <x:c r="D50" s="36" t="n">
        <x:v>0.216</x:v>
      </x:c>
      <x:c r="E50" s="32" t="str">
        <x:v>survey-044</x:v>
      </x:c>
      <x:c r="F50" s="32"/>
      <x:c r="G50" s="32"/>
      <x:c r="H50" s="32"/>
      <x:c r="I50" s="32"/>
      <x:c r="J50" s="32"/>
      <x:c r="K50" s="32"/>
      <x:c r="L50" s="32"/>
      <x:c r="M50" s="32"/>
      <x:c r="N50" s="32"/>
    </x:row>
    <x:row r="51">
      <x:c r="A51" s="36" t="n">
        <x:v>3854.1542424</x:v>
      </x:c>
      <x:c r="B51" s="36" t="n">
        <x:v>1.5644084217325975</x:v>
      </x:c>
      <x:c r="C51" s="36" t="n">
        <x:v>1.190174923519973</x:v>
      </x:c>
      <x:c r="D51" s="36" t="n">
        <x:v>0.216</x:v>
      </x:c>
      <x:c r="E51" s="32" t="str">
        <x:v>survey-045</x:v>
      </x:c>
      <x:c r="F51" s="32"/>
      <x:c r="G51" s="32"/>
      <x:c r="H51" s="32"/>
      <x:c r="I51" s="32"/>
      <x:c r="J51" s="32"/>
      <x:c r="K51" s="32"/>
      <x:c r="L51" s="32"/>
      <x:c r="M51" s="32"/>
      <x:c r="N51" s="32"/>
    </x:row>
    <x:row r="52">
      <x:c r="A52" s="36" t="n">
        <x:v>3930.2240928</x:v>
      </x:c>
      <x:c r="B52" s="36" t="n">
        <x:v>1.5609526698136487</x:v>
      </x:c>
      <x:c r="C52" s="36" t="n">
        <x:v>1.2117297397821032</x:v>
      </x:c>
      <x:c r="D52" s="36" t="n">
        <x:v>0.216</x:v>
      </x:c>
      <x:c r="E52" s="32" t="str">
        <x:v>survey-046</x:v>
      </x:c>
      <x:c r="F52" s="32"/>
      <x:c r="G52" s="32"/>
      <x:c r="H52" s="32"/>
      <x:c r="I52" s="32"/>
      <x:c r="J52" s="32"/>
      <x:c r="K52" s="32"/>
      <x:c r="L52" s="32"/>
      <x:c r="M52" s="32"/>
      <x:c r="N52" s="32"/>
    </x:row>
    <x:row r="53">
      <x:c r="A53" s="36" t="n">
        <x:v>4005.779136</x:v>
      </x:c>
      <x:c r="B53" s="36" t="n">
        <x:v>1.5572002119218606</x:v>
      </x:c>
      <x:c r="C53" s="36" t="n">
        <x:v>1.2350473385887475</x:v>
      </x:c>
      <x:c r="D53" s="36" t="n">
        <x:v>0.216</x:v>
      </x:c>
      <x:c r="E53" s="32" t="str">
        <x:v>survey-047</x:v>
      </x:c>
      <x:c r="F53" s="32"/>
      <x:c r="G53" s="32"/>
      <x:c r="H53" s="32"/>
      <x:c r="I53" s="32"/>
      <x:c r="J53" s="32"/>
      <x:c r="K53" s="32"/>
      <x:c r="L53" s="32"/>
      <x:c r="M53" s="32"/>
      <x:c r="N53" s="32"/>
    </x:row>
    <x:row r="54">
      <x:c r="A54" s="36" t="n">
        <x:v>4081.1817792</x:v>
      </x:c>
      <x:c r="B54" s="36" t="n">
        <x:v>1.553727006710392</x:v>
      </x:c>
      <x:c r="C54" s="36" t="n">
        <x:v>1.2598135606745469</x:v>
      </x:c>
      <x:c r="D54" s="36" t="n">
        <x:v>0.216</x:v>
      </x:c>
      <x:c r="E54" s="32" t="str">
        <x:v>survey-048</x:v>
      </x:c>
      <x:c r="F54" s="32"/>
      <x:c r="G54" s="32"/>
      <x:c r="H54" s="32"/>
      <x:c r="I54" s="32"/>
      <x:c r="J54" s="32"/>
      <x:c r="K54" s="32"/>
      <x:c r="L54" s="32"/>
      <x:c r="M54" s="32"/>
      <x:c r="N54" s="32"/>
    </x:row>
    <x:row r="55">
      <x:c r="A55" s="36" t="n">
        <x:v>4156.8727632</x:v>
      </x:c>
      <x:c r="B55" s="36" t="n">
        <x:v>1.5508821200296412</x:v>
      </x:c>
      <x:c r="C55" s="36" t="n">
        <x:v>1.285679340189103</x:v>
      </x:c>
      <x:c r="D55" s="36" t="n">
        <x:v>0.216</x:v>
      </x:c>
      <x:c r="E55" s="32" t="str">
        <x:v>survey-049</x:v>
      </x:c>
      <x:c r="F55" s="32"/>
      <x:c r="G55" s="32"/>
      <x:c r="H55" s="32"/>
      <x:c r="I55" s="32"/>
      <x:c r="J55" s="32"/>
      <x:c r="K55" s="32"/>
      <x:c r="L55" s="32"/>
      <x:c r="M55" s="32"/>
      <x:c r="N55" s="32"/>
    </x:row>
    <x:row r="56">
      <x:c r="A56" s="36" t="n">
        <x:v>4233.1456104</x:v>
      </x:c>
      <x:c r="B56" s="36" t="n">
        <x:v>1.548752818342208</x:v>
      </x:c>
      <x:c r="C56" s="36" t="n">
        <x:v>1.3123479711595762</x:v>
      </x:c>
      <x:c r="D56" s="36" t="n">
        <x:v>0.216</x:v>
      </x:c>
      <x:c r="E56" s="32" t="str">
        <x:v>survey-050</x:v>
      </x:c>
      <x:c r="F56" s="32"/>
      <x:c r="G56" s="32"/>
      <x:c r="H56" s="32"/>
      <x:c r="I56" s="32"/>
      <x:c r="J56" s="32"/>
      <x:c r="K56" s="32"/>
      <x:c r="L56" s="32"/>
      <x:c r="M56" s="32"/>
      <x:c r="N56" s="32"/>
    </x:row>
    <x:row r="57">
      <x:c r="A57" s="36" t="n">
        <x:v>4309.9975776</x:v>
      </x:c>
      <x:c r="B57" s="36" t="n">
        <x:v>1.5472343818929732</x:v>
      </x:c>
      <x:c r="C57" s="36" t="n">
        <x:v>1.339487841028088</x:v>
      </x:c>
      <x:c r="D57" s="36" t="n">
        <x:v>0.216</x:v>
      </x:c>
      <x:c r="E57" s="32" t="str">
        <x:v>survey-051</x:v>
      </x:c>
      <x:c r="F57" s="32"/>
      <x:c r="G57" s="32"/>
      <x:c r="H57" s="32"/>
      <x:c r="I57" s="32"/>
      <x:c r="J57" s="32"/>
      <x:c r="K57" s="32"/>
      <x:c r="L57" s="32"/>
      <x:c r="M57" s="32"/>
      <x:c r="N57" s="32"/>
    </x:row>
    <x:row r="58">
      <x:c r="A58" s="36" t="n">
        <x:v>4387.1302656</x:v>
      </x:c>
      <x:c r="B58" s="36" t="n">
        <x:v>1.546117371171697</x:v>
      </x:c>
      <x:c r="C58" s="36" t="n">
        <x:v>1.366837150406839</x:v>
      </x:c>
      <x:c r="D58" s="36" t="n">
        <x:v>0.216</x:v>
      </x:c>
      <x:c r="E58" s="32" t="str">
        <x:v>survey-052</x:v>
      </x:c>
      <x:c r="F58" s="32"/>
      <x:c r="G58" s="32"/>
      <x:c r="H58" s="32"/>
      <x:c r="I58" s="32"/>
      <x:c r="J58" s="32"/>
      <x:c r="K58" s="32"/>
      <x:c r="L58" s="32"/>
      <x:c r="M58" s="32"/>
      <x:c r="N58" s="32"/>
    </x:row>
    <x:row r="59">
      <x:c r="A59" s="36" t="n">
        <x:v>4464.1026288</x:v>
      </x:c>
      <x:c r="B59" s="36" t="n">
        <x:v>1.54517489337562</x:v>
      </x:c>
      <x:c r="C59" s="36" t="n">
        <x:v>1.3941690064930703</x:v>
      </x:c>
      <x:c r="D59" s="36" t="n">
        <x:v>0.216</x:v>
      </x:c>
      <x:c r="E59" s="32" t="str">
        <x:v>survey-053</x:v>
      </x:c>
      <x:c r="F59" s="32"/>
      <x:c r="G59" s="32"/>
      <x:c r="H59" s="32"/>
      <x:c r="I59" s="32"/>
      <x:c r="J59" s="32"/>
      <x:c r="K59" s="32"/>
      <x:c r="L59" s="32"/>
      <x:c r="M59" s="32"/>
      <x:c r="N59" s="32"/>
    </x:row>
    <x:row r="60">
      <x:c r="A60" s="36" t="n">
        <x:v>4540.555308</x:v>
      </x:c>
      <x:c r="B60" s="36" t="n">
        <x:v>1.5443545886271826</x:v>
      </x:c>
      <x:c r="C60" s="36" t="n">
        <x:v>1.421343782946622</x:v>
      </x:c>
      <x:c r="D60" s="36" t="n">
        <x:v>0.216</x:v>
      </x:c>
      <x:c r="E60" s="32" t="str">
        <x:v>survey-054</x:v>
      </x:c>
      <x:c r="F60" s="32"/>
      <x:c r="G60" s="32"/>
      <x:c r="H60" s="32"/>
      <x:c r="I60" s="32"/>
      <x:c r="J60" s="32"/>
      <x:c r="K60" s="32"/>
      <x:c r="L60" s="32"/>
      <x:c r="M60" s="32"/>
      <x:c r="N60" s="32"/>
    </x:row>
    <x:row r="61">
      <x:c r="A61" s="36" t="n">
        <x:v>4616.3935104</x:v>
      </x:c>
      <x:c r="B61" s="36" t="n">
        <x:v>1.5437786299740244</x:v>
      </x:c>
      <x:c r="C61" s="36" t="n">
        <x:v>1.4482567600123746</x:v>
      </x:c>
      <x:c r="D61" s="36" t="n">
        <x:v>0.216</x:v>
      </x:c>
      <x:c r="E61" s="32" t="str">
        <x:v>survey-055</x:v>
      </x:c>
      <x:c r="F61" s="32"/>
      <x:c r="G61" s="32"/>
      <x:c r="H61" s="32"/>
      <x:c r="I61" s="32"/>
      <x:c r="J61" s="32"/>
      <x:c r="K61" s="32"/>
      <x:c r="L61" s="32"/>
      <x:c r="M61" s="32"/>
      <x:c r="N61" s="32"/>
    </x:row>
    <x:row r="62">
      <x:c r="A62" s="36" t="n">
        <x:v>4691.8360824</x:v>
      </x:c>
      <x:c r="B62" s="36" t="n">
        <x:v>1.5437262700964647</x:v>
      </x:c>
      <x:c r="C62" s="36" t="n">
        <x:v>1.4748730311052882</x:v>
      </x:c>
      <x:c r="D62" s="36" t="n">
        <x:v>0.216</x:v>
      </x:c>
      <x:c r="E62" s="32" t="str">
        <x:v>survey-056</x:v>
      </x:c>
      <x:c r="F62" s="32"/>
      <x:c r="G62" s="32"/>
      <x:c r="H62" s="32"/>
      <x:c r="I62" s="32"/>
      <x:c r="J62" s="32"/>
      <x:c r="K62" s="32"/>
      <x:c r="L62" s="32"/>
      <x:c r="M62" s="32"/>
      <x:c r="N62" s="32"/>
    </x:row>
    <x:row r="63">
      <x:c r="A63" s="36" t="n">
        <x:v>4767.3027336000005</x:v>
      </x:c>
      <x:c r="B63" s="36" t="n">
        <x:v>1.5445814814299417</x:v>
      </x:c>
      <x:c r="C63" s="36" t="n">
        <x:v>1.5012100495178828</x:v>
      </x:c>
      <x:c r="D63" s="36" t="n">
        <x:v>0.216</x:v>
      </x:c>
      <x:c r="E63" s="32" t="str">
        <x:v>survey-057</x:v>
      </x:c>
      <x:c r="F63" s="32"/>
      <x:c r="G63" s="32"/>
      <x:c r="H63" s="32"/>
      <x:c r="I63" s="32"/>
      <x:c r="J63" s="32"/>
      <x:c r="K63" s="32"/>
      <x:c r="L63" s="32"/>
      <x:c r="M63" s="32"/>
      <x:c r="N63" s="32"/>
    </x:row>
    <x:row r="64">
      <x:c r="A64" s="36" t="n">
        <x:v>4843.2018960000005</x:v>
      </x:c>
      <x:c r="B64" s="36" t="n">
        <x:v>1.5465886100697352</x:v>
      </x:c>
      <x:c r="C64" s="36" t="n">
        <x:v>1.5273376284202378</x:v>
      </x:c>
      <x:c r="D64" s="36" t="n">
        <x:v>0.216</x:v>
      </x:c>
      <x:c r="E64" s="32" t="str">
        <x:v>survey-058</x:v>
      </x:c>
      <x:c r="F64" s="32"/>
      <x:c r="G64" s="32"/>
      <x:c r="H64" s="32"/>
      <x:c r="I64" s="32"/>
      <x:c r="J64" s="32"/>
      <x:c r="K64" s="32"/>
      <x:c r="L64" s="32"/>
      <x:c r="M64" s="32"/>
      <x:c r="N64" s="32"/>
    </x:row>
    <x:row r="65">
      <x:c r="A65" s="36" t="n">
        <x:v>4919.7207168</x:v>
      </x:c>
      <x:c r="B65" s="36" t="n">
        <x:v>1.5498523757709646</x:v>
      </x:c>
      <x:c r="C65" s="36" t="n">
        <x:v>1.5533430342749535</x:v>
      </x:c>
      <x:c r="D65" s="36" t="n">
        <x:v>0.216</x:v>
      </x:c>
      <x:c r="E65" s="32" t="str">
        <x:v>survey-059</x:v>
      </x:c>
      <x:c r="F65" s="32"/>
      <x:c r="G65" s="32"/>
      <x:c r="H65" s="32"/>
      <x:c r="I65" s="32"/>
      <x:c r="J65" s="32"/>
      <x:c r="K65" s="32"/>
      <x:c r="L65" s="32"/>
      <x:c r="M65" s="32"/>
      <x:c r="N65" s="32"/>
    </x:row>
  </x:sheetData>
  <x:mergeCells>
    <x:mergeCell ref="A1:N1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Results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Operation profiles and governing buckling condition</x:v>
      </x:c>
      <x:c r="B3" s="33" t="str">
        <x:v>Operation profiles and governing buckling condition</x:v>
      </x:c>
      <x:c r="C3" s="33" t="str">
        <x:v>Operation profiles and governing buckling condition</x:v>
      </x:c>
      <x:c r="D3" s="33" t="str">
        <x:v>Operation profiles and governing buckling condition</x:v>
      </x:c>
      <x:c r="E3" s="33" t="str">
        <x:v>Operation profiles and governing buckling condition</x:v>
      </x:c>
      <x:c r="F3" s="33" t="str">
        <x:v>Operation profiles and governing buckling condition</x:v>
      </x:c>
      <x:c r="G3" s="33" t="str">
        <x:v>Operation profiles and governing buckling condition</x:v>
      </x:c>
      <x:c r="H3" s="33" t="str">
        <x:v>Operation profiles and governing buckling condition</x:v>
      </x:c>
      <x:c r="I3" s="33" t="str">
        <x:v>Operation profiles and governing buckling condition</x:v>
      </x:c>
      <x:c r="J3" s="33" t="str">
        <x:v>Operation profiles and governing buckling condition</x:v>
      </x:c>
      <x:c r="K3" s="32"/>
      <x:c r="L3" s="32"/>
      <x:c r="M3" s="32"/>
      <x:c r="N3" s="32"/>
    </x:row>
    <x:row r="4">
      <x:c r="A4" s="32" t="str">
        <x:f>'Unit Map'!$H$8</x:f>
        <x:v>m</x:v>
      </x:c>
      <x:c r="B4" s="32" t="str">
        <x:f>'Unit Map'!$H$14</x:f>
        <x:v>N</x:v>
      </x:c>
      <x:c r="C4" s="32" t="str">
        <x:f>'Unit Map'!$H$14</x:f>
        <x:v>N</x:v>
      </x:c>
      <x:c r="D4" s="32" t="str">
        <x:f>'Unit Map'!$H$16</x:f>
        <x:v>N-m</x:v>
      </x:c>
      <x:c r="E4" s="32" t="str">
        <x:f>'Unit Map'!$H$16</x:f>
        <x:v>N-m</x:v>
      </x:c>
      <x:c r="F4" s="32" t="str">
        <x:f>'Unit Map'!$H$16</x:f>
        <x:v>N-m</x:v>
      </x:c>
      <x:c r="G4" s="32" t="str">
        <x:f>'Unit Map'!$H$14</x:f>
        <x:v>N</x:v>
      </x:c>
      <x:c r="H4" s="32" t="str">
        <x:f>'Unit Map'!$H$14</x:f>
        <x:v>N</x:v>
      </x:c>
      <x:c r="I4" s="32"/>
      <x:c r="J4" s="32"/>
      <x:c r="K4" s="32"/>
      <x:c r="L4" s="32"/>
      <x:c r="M4" s="32"/>
      <x:c r="N4" s="32"/>
    </x:row>
    <x:row r="5">
      <x:c r="A5" s="34" t="str">
        <x:f>"MD "&amp;'Unit Map'!$H$8</x:f>
        <x:v>MD m</x:v>
      </x:c>
      <x:c r="B5" s="34" t="str">
        <x:f>"POOH "&amp;'Unit Map'!$H$14</x:f>
        <x:v>POOH N</x:v>
      </x:c>
      <x:c r="C5" s="34" t="str">
        <x:f>"RIH "&amp;'Unit Map'!$H$14</x:f>
        <x:v>RIH N</x:v>
      </x:c>
      <x:c r="D5" s="34" t="str">
        <x:f>"Slide torque "&amp;'Unit Map'!$H$16</x:f>
        <x:v>Slide torque N-m</x:v>
      </x:c>
      <x:c r="E5" s="34" t="str">
        <x:f>"Rotate torque "&amp;'Unit Map'!$H$16</x:f>
        <x:v>Rotate torque N-m</x:v>
      </x:c>
      <x:c r="F5" s="34" t="str">
        <x:f>"Backream torque "&amp;'Unit Map'!$H$16</x:f>
        <x:v>Backream torque N-m</x:v>
      </x:c>
      <x:c r="G5" s="34" t="str">
        <x:f>"Sinusoidal limit "&amp;'Unit Map'!$H$14</x:f>
        <x:v>Sinusoidal limit N</x:v>
      </x:c>
      <x:c r="H5" s="34" t="str">
        <x:f>"Helical limit "&amp;'Unit Map'!$H$14</x:f>
        <x:v>Helical limit N</x:v>
      </x:c>
      <x:c r="I5" s="34" t="str">
        <x:v>Buckling status</x:v>
      </x:c>
      <x:c r="J5" s="34" t="str">
        <x:v>Governing</x:v>
      </x:c>
      <x:c r="K5" s="32" t="str">
        <x:v>Exchange record ID</x:v>
      </x:c>
      <x:c r="L5" s="32"/>
      <x:c r="M5" s="32"/>
      <x:c r="N5" s="32"/>
    </x:row>
    <x:row r="6">
      <x:c r="A6" s="35" t="n">
        <x:f>Calc!A6*'Unit Map'!$I$8</x:f>
        <x:v>0</x:v>
      </x:c>
      <x:c r="B6" s="35" t="n">
        <x:f>Calc!G6*'Unit Map'!$I$14</x:f>
        <x:v>120000</x:v>
      </x:c>
      <x:c r="C6" s="35" t="n">
        <x:f>Calc!H6*'Unit Map'!$I$14</x:f>
        <x:v>120000</x:v>
      </x:c>
      <x:c r="D6" s="35" t="n">
        <x:f>Calc!I6*'Unit Map'!$I$16</x:f>
        <x:v>26000</x:v>
      </x:c>
      <x:c r="E6" s="35" t="n">
        <x:f>Calc!J6*'Unit Map'!$I$16</x:f>
        <x:v>26000</x:v>
      </x:c>
      <x:c r="F6" s="35" t="n">
        <x:f>Calc!K6*'Unit Map'!$I$16</x:f>
        <x:v>26000</x:v>
      </x:c>
      <x:c r="G6" s="35" t="n">
        <x:f>Calc!L6*'Unit Map'!$I$14</x:f>
        <x:v>0</x:v>
      </x:c>
      <x:c r="H6" s="35" t="n">
        <x:f>Calc!M6*'Unit Map'!$I$14</x:f>
        <x:v>0</x:v>
      </x:c>
      <x:c r="I6" s="35" t="str">
        <x:f>Calc!N6</x:f>
        <x:v>PASS</x:v>
      </x:c>
      <x:c r="J6" s="35" t="str">
        <x:f>IF(C6=MIN($C$6:$C$65),"GOVERNING","")</x:f>
        <x:v>GOVERNING</x:v>
      </x:c>
      <x:c r="K6" s="32" t="str">
        <x:f>Survey!E6</x:f>
        <x:v>survey-000</x:v>
      </x:c>
      <x:c r="L6" s="32"/>
      <x:c r="M6" s="32"/>
      <x:c r="N6" s="32"/>
    </x:row>
    <x:row r="7">
      <x:c r="A7" s="35" t="n">
        <x:f>Calc!A7*'Unit Map'!$I$8</x:f>
        <x:v>155.10875760000002</x:v>
      </x:c>
      <x:c r="B7" s="35" t="n">
        <x:f>Calc!G7*'Unit Map'!$I$14</x:f>
        <x:v>154510.13539941903</x:v>
      </x:c>
      <x:c r="C7" s="35" t="n">
        <x:f>Calc!H7*'Unit Map'!$I$14</x:f>
        <x:v>154369.6247643189</x:v>
      </x:c>
      <x:c r="D7" s="35" t="n">
        <x:f>Calc!I7*'Unit Map'!$I$16</x:f>
        <x:v>26004.461212664428</x:v>
      </x:c>
      <x:c r="E7" s="35" t="n">
        <x:f>Calc!J7*'Unit Map'!$I$16</x:f>
        <x:v>26008.922425328856</x:v>
      </x:c>
      <x:c r="F7" s="35" t="n">
        <x:f>Calc!K7*'Unit Map'!$I$16</x:f>
        <x:v>26011.153031661073</x:v>
      </x:c>
      <x:c r="G7" s="35" t="n">
        <x:f>Calc!L7*'Unit Map'!$I$14</x:f>
        <x:v>3045.9878423456744</x:v>
      </x:c>
      <x:c r="H7" s="35" t="n">
        <x:f>Calc!M7*'Unit Map'!$I$14</x:f>
        <x:v>6091.975684691349</x:v>
      </x:c>
      <x:c r="I7" s="35" t="str">
        <x:f>Calc!N7</x:f>
        <x:v>PASS</x:v>
      </x:c>
      <x:c r="J7" s="35" t="str">
        <x:f>IF(C7=MIN($C$6:$C$65),"GOVERNING","")</x:f>
      </x:c>
      <x:c r="K7" s="32" t="str">
        <x:f>Survey!E7</x:f>
        <x:v>survey-001</x:v>
      </x:c>
      <x:c r="L7" s="32"/>
      <x:c r="M7" s="32"/>
      <x:c r="N7" s="32"/>
    </x:row>
    <x:row r="8">
      <x:c r="A8" s="35" t="n">
        <x:f>Calc!A8*'Unit Map'!$I$8</x:f>
        <x:v>307.974492</x:v>
      </x:c>
      <x:c r="B8" s="35" t="n">
        <x:f>Calc!G8*'Unit Map'!$I$14</x:f>
        <x:v>188467.9142173173</x:v>
      </x:c>
      <x:c r="C8" s="35" t="n">
        <x:f>Calc!H8*'Unit Map'!$I$14</x:f>
        <x:v>188295.53791614895</x:v>
      </x:c>
      <x:c r="D8" s="35" t="n">
        <x:f>Calc!I8*'Unit Map'!$I$16</x:f>
        <x:v>26001.011734897667</x:v>
      </x:c>
      <x:c r="E8" s="35" t="n">
        <x:f>Calc!J8*'Unit Map'!$I$16</x:f>
        <x:v>26002.02346979533</x:v>
      </x:c>
      <x:c r="F8" s="35" t="n">
        <x:f>Calc!K8*'Unit Map'!$I$16</x:f>
        <x:v>26002.529337244167</x:v>
      </x:c>
      <x:c r="G8" s="35" t="n">
        <x:f>Calc!L8*'Unit Map'!$I$14</x:f>
        <x:v>1461.161274893059</x:v>
      </x:c>
      <x:c r="H8" s="35" t="n">
        <x:f>Calc!M8*'Unit Map'!$I$14</x:f>
        <x:v>2922.322549786118</x:v>
      </x:c>
      <x:c r="I8" s="35" t="str">
        <x:f>Calc!N8</x:f>
        <x:v>PASS</x:v>
      </x:c>
      <x:c r="J8" s="35" t="str">
        <x:f>IF(C8=MIN($C$6:$C$65),"GOVERNING","")</x:f>
      </x:c>
      <x:c r="K8" s="32" t="str">
        <x:f>Survey!E8</x:f>
        <x:v>survey-002</x:v>
      </x:c>
      <x:c r="L8" s="32"/>
      <x:c r="M8" s="32"/>
      <x:c r="N8" s="32"/>
    </x:row>
    <x:row r="9">
      <x:c r="A9" s="35" t="n">
        <x:f>Calc!A9*'Unit Map'!$I$8</x:f>
        <x:v>460.2227016</x:v>
      </x:c>
      <x:c r="B9" s="35" t="n">
        <x:f>Calc!G9*'Unit Map'!$I$14</x:f>
        <x:v>222294.45447042436</x:v>
      </x:c>
      <x:c r="C9" s="35" t="n">
        <x:f>Calc!H9*'Unit Map'!$I$14</x:f>
        <x:v>222078.4629496525</x:v>
      </x:c>
      <x:c r="D9" s="35" t="n">
        <x:f>Calc!I9*'Unit Map'!$I$16</x:f>
        <x:v>26001.384783222413</x:v>
      </x:c>
      <x:c r="E9" s="35" t="n">
        <x:f>Calc!J9*'Unit Map'!$I$16</x:f>
        <x:v>26002.769566444822</x:v>
      </x:c>
      <x:c r="F9" s="35" t="n">
        <x:f>Calc!K9*'Unit Map'!$I$16</x:f>
        <x:v>26003.46195805603</x:v>
      </x:c>
      <x:c r="G9" s="35" t="n">
        <x:f>Calc!L9*'Unit Map'!$I$14</x:f>
        <x:v>1712.910460216405</x:v>
      </x:c>
      <x:c r="H9" s="35" t="n">
        <x:f>Calc!M9*'Unit Map'!$I$14</x:f>
        <x:v>3425.82092043281</x:v>
      </x:c>
      <x:c r="I9" s="35" t="str">
        <x:f>Calc!N9</x:f>
        <x:v>PASS</x:v>
      </x:c>
      <x:c r="J9" s="35" t="str">
        <x:f>IF(C9=MIN($C$6:$C$65),"GOVERNING","")</x:f>
      </x:c>
      <x:c r="K9" s="32" t="str">
        <x:f>Survey!E9</x:f>
        <x:v>survey-003</x:v>
      </x:c>
      <x:c r="L9" s="32"/>
      <x:c r="M9" s="32"/>
      <x:c r="N9" s="32"/>
    </x:row>
    <x:row r="10">
      <x:c r="A10" s="35" t="n">
        <x:f>Calc!A10*'Unit Map'!$I$8</x:f>
        <x:v>611.9649432</x:v>
      </x:c>
      <x:c r="B10" s="35" t="n">
        <x:f>Calc!G10*'Unit Map'!$I$14</x:f>
        <x:v>256016.06229413615</x:v>
      </x:c>
      <x:c r="C10" s="35" t="n">
        <x:f>Calc!H10*'Unit Map'!$I$14</x:f>
        <x:v>255741.63319933537</x:v>
      </x:c>
      <x:c r="D10" s="35" t="n">
        <x:f>Calc!I10*'Unit Map'!$I$16</x:f>
        <x:v>26001.855392975416</x:v>
      </x:c>
      <x:c r="E10" s="35" t="n">
        <x:f>Calc!J10*'Unit Map'!$I$16</x:f>
        <x:v>26003.710785950836</x:v>
      </x:c>
      <x:c r="F10" s="35" t="n">
        <x:f>Calc!K10*'Unit Map'!$I$16</x:f>
        <x:v>26004.638482438542</x:v>
      </x:c>
      <x:c r="G10" s="35" t="n">
        <x:f>Calc!L10*'Unit Map'!$I$14</x:f>
        <x:v>1986.0243471491665</x:v>
      </x:c>
      <x:c r="H10" s="35" t="n">
        <x:f>Calc!M10*'Unit Map'!$I$14</x:f>
        <x:v>3972.048694298333</x:v>
      </x:c>
      <x:c r="I10" s="35" t="str">
        <x:f>Calc!N10</x:f>
        <x:v>PASS</x:v>
      </x:c>
      <x:c r="J10" s="35" t="str">
        <x:f>IF(C10=MIN($C$6:$C$65),"GOVERNING","")</x:f>
      </x:c>
      <x:c r="K10" s="32" t="str">
        <x:f>Survey!E10</x:f>
        <x:v>survey-004</x:v>
      </x:c>
      <x:c r="L10" s="32"/>
      <x:c r="M10" s="32"/>
      <x:c r="N10" s="32"/>
    </x:row>
    <x:row r="11">
      <x:c r="A11" s="35" t="n">
        <x:f>Calc!A11*'Unit Map'!$I$8</x:f>
        <x:v>763.5706344</x:v>
      </x:c>
      <x:c r="B11" s="35" t="n">
        <x:f>Calc!G11*'Unit Map'!$I$14</x:f>
        <x:v>289718.4655474009</x:v>
      </x:c>
      <x:c r="C11" s="35" t="n">
        <x:f>Calc!H11*'Unit Map'!$I$14</x:f>
        <x:v>289363.3695426456</x:v>
      </x:c>
      <x:c r="D11" s="35" t="n">
        <x:f>Calc!I11*'Unit Map'!$I$16</x:f>
        <x:v>26002.561174391056</x:v>
      </x:c>
      <x:c r="E11" s="35" t="n">
        <x:f>Calc!J11*'Unit Map'!$I$16</x:f>
        <x:v>26005.12234878211</x:v>
      </x:c>
      <x:c r="F11" s="35" t="n">
        <x:f>Calc!K11*'Unit Map'!$I$16</x:f>
        <x:v>26006.40293597764</x:v>
      </x:c>
      <x:c r="G11" s="35" t="n">
        <x:f>Calc!L11*'Unit Map'!$I$14</x:f>
        <x:v>2334.434457092405</x:v>
      </x:c>
      <x:c r="H11" s="35" t="n">
        <x:f>Calc!M11*'Unit Map'!$I$14</x:f>
        <x:v>4668.86891418481</x:v>
      </x:c>
      <x:c r="I11" s="35" t="str">
        <x:f>Calc!N11</x:f>
        <x:v>PASS</x:v>
      </x:c>
      <x:c r="J11" s="35" t="str">
        <x:f>IF(C11=MIN($C$6:$C$65),"GOVERNING","")</x:f>
      </x:c>
      <x:c r="K11" s="32" t="str">
        <x:f>Survey!E11</x:f>
        <x:v>survey-005</x:v>
      </x:c>
      <x:c r="L11" s="32"/>
      <x:c r="M11" s="32"/>
      <x:c r="N11" s="32"/>
    </x:row>
    <x:row r="12">
      <x:c r="A12" s="35" t="n">
        <x:f>Calc!A12*'Unit Map'!$I$8</x:f>
        <x:v>915.4786872000001</x:v>
      </x:c>
      <x:c r="B12" s="35" t="n">
        <x:f>Calc!G12*'Unit Map'!$I$14</x:f>
        <x:v>323457.1728441087</x:v>
      </x:c>
      <x:c r="C12" s="35" t="n">
        <x:f>Calc!H12*'Unit Map'!$I$14</x:f>
        <x:v>323083.07275547064</x:v>
      </x:c>
      <x:c r="D12" s="35" t="n">
        <x:f>Calc!I12*'Unit Map'!$I$16</x:f>
        <x:v>26000.60337966328</x:v>
      </x:c>
      <x:c r="E12" s="35" t="n">
        <x:f>Calc!J12*'Unit Map'!$I$16</x:f>
        <x:v>26001.206759326556</x:v>
      </x:c>
      <x:c r="F12" s="35" t="n">
        <x:f>Calc!K12*'Unit Map'!$I$16</x:f>
        <x:v>26001.5084491582</x:v>
      </x:c>
      <x:c r="G12" s="35" t="n">
        <x:f>Calc!L12*'Unit Map'!$I$14</x:f>
        <x:v>1131.943624491696</x:v>
      </x:c>
      <x:c r="H12" s="35" t="n">
        <x:f>Calc!M12*'Unit Map'!$I$14</x:f>
        <x:v>2263.887248983392</x:v>
      </x:c>
      <x:c r="I12" s="35" t="str">
        <x:f>Calc!N12</x:f>
        <x:v>PASS</x:v>
      </x:c>
      <x:c r="J12" s="35" t="str">
        <x:f>IF(C12=MIN($C$6:$C$65),"GOVERNING","")</x:f>
      </x:c>
      <x:c r="K12" s="32" t="str">
        <x:f>Survey!E12</x:f>
        <x:v>survey-006</x:v>
      </x:c>
      <x:c r="L12" s="32"/>
      <x:c r="M12" s="32"/>
      <x:c r="N12" s="32"/>
    </x:row>
    <x:row r="13">
      <x:c r="A13" s="35" t="n">
        <x:f>Calc!A13*'Unit Map'!$I$8</x:f>
        <x:v>1067.9740896</x:v>
      </x:c>
      <x:c r="B13" s="35" t="n">
        <x:f>Calc!G13*'Unit Map'!$I$14</x:f>
        <x:v>357344.30678427016</x:v>
      </x:c>
      <x:c r="C13" s="35" t="n">
        <x:f>Calc!H13*'Unit Map'!$I$14</x:f>
        <x:v>356915.17598741263</x:v>
      </x:c>
      <x:c r="D13" s="35" t="n">
        <x:f>Calc!I13*'Unit Map'!$I$16</x:f>
        <x:v>26001.747224985967</x:v>
      </x:c>
      <x:c r="E13" s="35" t="n">
        <x:f>Calc!J13*'Unit Map'!$I$16</x:f>
        <x:v>26003.49444997194</x:v>
      </x:c>
      <x:c r="F13" s="35" t="n">
        <x:f>Calc!K13*'Unit Map'!$I$16</x:f>
        <x:v>26004.36806246492</x:v>
      </x:c>
      <x:c r="G13" s="35" t="n">
        <x:f>Calc!L13*'Unit Map'!$I$14</x:f>
        <x:v>1922.4980265136417</x:v>
      </x:c>
      <x:c r="H13" s="35" t="n">
        <x:f>Calc!M13*'Unit Map'!$I$14</x:f>
        <x:v>3844.9960530272833</x:v>
      </x:c>
      <x:c r="I13" s="35" t="str">
        <x:f>Calc!N13</x:f>
        <x:v>PASS</x:v>
      </x:c>
      <x:c r="J13" s="35" t="str">
        <x:f>IF(C13=MIN($C$6:$C$65),"GOVERNING","")</x:f>
      </x:c>
      <x:c r="K13" s="32" t="str">
        <x:f>Survey!E13</x:f>
        <x:v>survey-007</x:v>
      </x:c>
      <x:c r="L13" s="32"/>
      <x:c r="M13" s="32"/>
      <x:c r="N13" s="32"/>
    </x:row>
    <x:row r="14">
      <x:c r="A14" s="35" t="n">
        <x:f>Calc!A14*'Unit Map'!$I$8</x:f>
        <x:v>1221.042516</x:v>
      </x:c>
      <x:c r="B14" s="35" t="n">
        <x:f>Calc!G14*'Unit Map'!$I$14</x:f>
        <x:v>391345.68470615847</x:v>
      </x:c>
      <x:c r="C14" s="35" t="n">
        <x:f>Calc!H14*'Unit Map'!$I$14</x:f>
        <x:v>390887.50027428183</x:v>
      </x:c>
      <x:c r="D14" s="35" t="n">
        <x:f>Calc!I14*'Unit Map'!$I$16</x:f>
        <x:v>26000.922452911855</x:v>
      </x:c>
      <x:c r="E14" s="35" t="n">
        <x:f>Calc!J14*'Unit Map'!$I$16</x:f>
        <x:v>26001.844905823713</x:v>
      </x:c>
      <x:c r="F14" s="35" t="n">
        <x:f>Calc!K14*'Unit Map'!$I$16</x:f>
        <x:v>26002.30613227964</x:v>
      </x:c>
      <x:c r="G14" s="35" t="n">
        <x:f>Calc!L14*'Unit Map'!$I$14</x:f>
        <x:v>1394.2772985072377</x:v>
      </x:c>
      <x:c r="H14" s="35" t="n">
        <x:f>Calc!M14*'Unit Map'!$I$14</x:f>
        <x:v>2788.5545970144753</x:v>
      </x:c>
      <x:c r="I14" s="35" t="str">
        <x:f>Calc!N14</x:f>
        <x:v>PASS</x:v>
      </x:c>
      <x:c r="J14" s="35" t="str">
        <x:f>IF(C14=MIN($C$6:$C$65),"GOVERNING","")</x:f>
      </x:c>
      <x:c r="K14" s="32" t="str">
        <x:f>Survey!E14</x:f>
        <x:v>survey-008</x:v>
      </x:c>
      <x:c r="L14" s="32"/>
      <x:c r="M14" s="32"/>
      <x:c r="N14" s="32"/>
    </x:row>
    <x:row r="15">
      <x:c r="A15" s="35" t="n">
        <x:f>Calc!A15*'Unit Map'!$I$8</x:f>
        <x:v>1374.3773376000001</x:v>
      </x:c>
      <x:c r="B15" s="35" t="n">
        <x:f>Calc!G15*'Unit Map'!$I$14</x:f>
        <x:v>425428.63075766864</x:v>
      </x:c>
      <x:c r="C15" s="35" t="n">
        <x:f>Calc!H15*'Unit Map'!$I$14</x:f>
        <x:v>424896.5556028249</x:v>
      </x:c>
      <x:c r="D15" s="35" t="n">
        <x:f>Calc!I15*'Unit Map'!$I$16</x:f>
        <x:v>26002.346030454206</x:v>
      </x:c>
      <x:c r="E15" s="35" t="n">
        <x:f>Calc!J15*'Unit Map'!$I$16</x:f>
        <x:v>26004.692060908415</x:v>
      </x:c>
      <x:c r="F15" s="35" t="n">
        <x:f>Calc!K15*'Unit Map'!$I$16</x:f>
        <x:v>26005.865076135517</x:v>
      </x:c>
      <x:c r="G15" s="35" t="n">
        <x:f>Calc!L15*'Unit Map'!$I$14</x:f>
        <x:v>2221.60215796265</x:v>
      </x:c>
      <x:c r="H15" s="35" t="n">
        <x:f>Calc!M15*'Unit Map'!$I$14</x:f>
        <x:v>4443.2043159253</x:v>
      </x:c>
      <x:c r="I15" s="35" t="str">
        <x:f>Calc!N15</x:f>
        <x:v>PASS</x:v>
      </x:c>
      <x:c r="J15" s="35" t="str">
        <x:f>IF(C15=MIN($C$6:$C$65),"GOVERNING","")</x:f>
      </x:c>
      <x:c r="K15" s="32" t="str">
        <x:f>Survey!E15</x:f>
        <x:v>survey-009</x:v>
      </x:c>
      <x:c r="L15" s="32"/>
      <x:c r="M15" s="32"/>
      <x:c r="N15" s="32"/>
    </x:row>
    <x:row r="16">
      <x:c r="A16" s="35" t="n">
        <x:f>Calc!A16*'Unit Map'!$I$8</x:f>
        <x:v>1527.5362896000001</x:v>
      </x:c>
      <x:c r="B16" s="35" t="n">
        <x:f>Calc!G16*'Unit Map'!$I$14</x:f>
        <x:v>459438.75162258657</x:v>
      </x:c>
      <x:c r="C16" s="35" t="n">
        <x:f>Calc!H16*'Unit Map'!$I$14</x:f>
        <x:v>458900.33700830623</x:v>
      </x:c>
      <x:c r="D16" s="35" t="n">
        <x:f>Calc!I16*'Unit Map'!$I$16</x:f>
        <x:v>26000.201277837114</x:v>
      </x:c>
      <x:c r="E16" s="35" t="n">
        <x:f>Calc!J16*'Unit Map'!$I$16</x:f>
        <x:v>26000.402555674227</x:v>
      </x:c>
      <x:c r="F16" s="35" t="n">
        <x:f>Calc!K16*'Unit Map'!$I$16</x:f>
        <x:v>26000.50319459278</x:v>
      </x:c>
      <x:c r="G16" s="35" t="n">
        <x:f>Calc!L16*'Unit Map'!$I$14</x:f>
        <x:v>651.098429003259</x:v>
      </x:c>
      <x:c r="H16" s="35" t="n">
        <x:f>Calc!M16*'Unit Map'!$I$14</x:f>
        <x:v>1302.196858006518</x:v>
      </x:c>
      <x:c r="I16" s="35" t="str">
        <x:f>Calc!N16</x:f>
        <x:v>PASS</x:v>
      </x:c>
      <x:c r="J16" s="35" t="str">
        <x:f>IF(C16=MIN($C$6:$C$65),"GOVERNING","")</x:f>
      </x:c>
      <x:c r="K16" s="32" t="str">
        <x:f>Survey!E16</x:f>
        <x:v>survey-010</x:v>
      </x:c>
      <x:c r="L16" s="32"/>
      <x:c r="M16" s="32"/>
      <x:c r="N16" s="32"/>
    </x:row>
    <x:row r="17">
      <x:c r="A17" s="35" t="n">
        <x:f>Calc!A17*'Unit Map'!$I$8</x:f>
        <x:v>1565.8667184</x:v>
      </x:c>
      <x:c r="B17" s="35" t="n">
        <x:f>Calc!G17*'Unit Map'!$I$14</x:f>
        <x:v>468349.8132751307</x:v>
      </x:c>
      <x:c r="C17" s="35" t="n">
        <x:f>Calc!H17*'Unit Map'!$I$14</x:f>
        <x:v>467010.8206480392</x:v>
      </x:c>
      <x:c r="D17" s="35" t="n">
        <x:f>Calc!I17*'Unit Map'!$I$16</x:f>
        <x:v>26025.418351906752</x:v>
      </x:c>
      <x:c r="E17" s="35" t="n">
        <x:f>Calc!J17*'Unit Map'!$I$16</x:f>
        <x:v>26050.836703813504</x:v>
      </x:c>
      <x:c r="F17" s="35" t="n">
        <x:f>Calc!K17*'Unit Map'!$I$16</x:f>
        <x:v>26063.54587976688</x:v>
      </x:c>
      <x:c r="G17" s="35" t="n">
        <x:f>Calc!L17*'Unit Map'!$I$14</x:f>
        <x:v>14625.870276492271</x:v>
      </x:c>
      <x:c r="H17" s="35" t="n">
        <x:f>Calc!M17*'Unit Map'!$I$14</x:f>
        <x:v>29251.740552984542</x:v>
      </x:c>
      <x:c r="I17" s="35" t="str">
        <x:f>Calc!N17</x:f>
        <x:v>PASS</x:v>
      </x:c>
      <x:c r="J17" s="35" t="str">
        <x:f>IF(C17=MIN($C$6:$C$65),"GOVERNING","")</x:f>
      </x:c>
      <x:c r="K17" s="32" t="str">
        <x:f>Survey!E17</x:f>
        <x:v>survey-011</x:v>
      </x:c>
      <x:c r="L17" s="32"/>
      <x:c r="M17" s="32"/>
      <x:c r="N17" s="32"/>
    </x:row>
    <x:row r="18">
      <x:c r="A18" s="35" t="n">
        <x:f>Calc!A18*'Unit Map'!$I$8</x:f>
        <x:v>1603.5857184000001</x:v>
      </x:c>
      <x:c r="B18" s="35" t="n">
        <x:f>Calc!G18*'Unit Map'!$I$14</x:f>
        <x:v>477086.71589363687</x:v>
      </x:c>
      <x:c r="C18" s="35" t="n">
        <x:f>Calc!H18*'Unit Map'!$I$14</x:f>
        <x:v>475023.9437135505</x:v>
      </x:c>
      <x:c r="D18" s="35" t="n">
        <x:f>Calc!I18*'Unit Map'!$I$16</x:f>
        <x:v>26022.980000807587</x:v>
      </x:c>
      <x:c r="E18" s="35" t="n">
        <x:f>Calc!J18*'Unit Map'!$I$16</x:f>
        <x:v>26045.960001615174</x:v>
      </x:c>
      <x:c r="F18" s="35" t="n">
        <x:f>Calc!K18*'Unit Map'!$I$16</x:f>
        <x:v>26057.450002018966</x:v>
      </x:c>
      <x:c r="G18" s="35" t="n">
        <x:f>Calc!L18*'Unit Map'!$I$14</x:f>
        <x:v>14018.927722546516</x:v>
      </x:c>
      <x:c r="H18" s="35" t="n">
        <x:f>Calc!M18*'Unit Map'!$I$14</x:f>
        <x:v>28037.85544509303</x:v>
      </x:c>
      <x:c r="I18" s="35" t="str">
        <x:f>Calc!N18</x:f>
        <x:v>PASS</x:v>
      </x:c>
      <x:c r="J18" s="35" t="str">
        <x:f>IF(C18=MIN($C$6:$C$65),"GOVERNING","")</x:f>
      </x:c>
      <x:c r="K18" s="32" t="str">
        <x:f>Survey!E18</x:f>
        <x:v>survey-012</x:v>
      </x:c>
      <x:c r="L18" s="32"/>
      <x:c r="M18" s="32"/>
      <x:c r="N18" s="32"/>
    </x:row>
    <x:row r="19">
      <x:c r="A19" s="35" t="n">
        <x:f>Calc!A19*'Unit Map'!$I$8</x:f>
        <x:v>1640.9209752000002</x:v>
      </x:c>
      <x:c r="B19" s="35" t="n">
        <x:f>Calc!G19*'Unit Map'!$I$14</x:f>
        <x:v>485707.09476391843</x:v>
      </x:c>
      <x:c r="C19" s="35" t="n">
        <x:f>Calc!H19*'Unit Map'!$I$14</x:f>
        <x:v>482983.18016497383</x:v>
      </x:c>
      <x:c r="D19" s="35" t="n">
        <x:f>Calc!I19*'Unit Map'!$I$16</x:f>
        <x:v>26020.99127179875</x:v>
      </x:c>
      <x:c r="E19" s="35" t="n">
        <x:f>Calc!J19*'Unit Map'!$I$16</x:f>
        <x:v>26041.982543597504</x:v>
      </x:c>
      <x:c r="F19" s="35" t="n">
        <x:f>Calc!K19*'Unit Map'!$I$16</x:f>
        <x:v>26052.478179496877</x:v>
      </x:c>
      <x:c r="G19" s="35" t="n">
        <x:f>Calc!L19*'Unit Map'!$I$14</x:f>
        <x:v>13467.273080777122</x:v>
      </x:c>
      <x:c r="H19" s="35" t="n">
        <x:f>Calc!M19*'Unit Map'!$I$14</x:f>
        <x:v>26934.546161554244</x:v>
      </x:c>
      <x:c r="I19" s="35" t="str">
        <x:f>Calc!N19</x:f>
        <x:v>PASS</x:v>
      </x:c>
      <x:c r="J19" s="35" t="str">
        <x:f>IF(C19=MIN($C$6:$C$65),"GOVERNING","")</x:f>
      </x:c>
      <x:c r="K19" s="32" t="str">
        <x:f>Survey!E19</x:f>
        <x:v>survey-013</x:v>
      </x:c>
      <x:c r="L19" s="32"/>
      <x:c r="M19" s="32"/>
      <x:c r="N19" s="32"/>
    </x:row>
    <x:row r="20">
      <x:c r="A20" s="35" t="n">
        <x:f>Calc!A20*'Unit Map'!$I$8</x:f>
        <x:v>1678.2970752</x:v>
      </x:c>
      <x:c r="B20" s="35" t="n">
        <x:f>Calc!G20*'Unit Map'!$I$14</x:f>
        <x:v>494320.8872486618</x:v>
      </x:c>
      <x:c r="C20" s="35" t="n">
        <x:f>Calc!H20*'Unit Map'!$I$14</x:f>
        <x:v>490967.14040348405</x:v>
      </x:c>
      <x:c r="D20" s="35" t="n">
        <x:f>Calc!I20*'Unit Map'!$I$16</x:f>
        <x:v>26019.997173817905</x:v>
      </x:c>
      <x:c r="E20" s="35" t="n">
        <x:f>Calc!J20*'Unit Map'!$I$16</x:f>
        <x:v>26039.994347635806</x:v>
      </x:c>
      <x:c r="F20" s="35" t="n">
        <x:f>Calc!K20*'Unit Map'!$I$16</x:f>
        <x:v>26049.99293454476</x:v>
      </x:c>
      <x:c r="G20" s="35" t="n">
        <x:f>Calc!L20*'Unit Map'!$I$14</x:f>
        <x:v>13137.332179016305</x:v>
      </x:c>
      <x:c r="H20" s="35" t="n">
        <x:f>Calc!M20*'Unit Map'!$I$14</x:f>
        <x:v>26274.66435803261</x:v>
      </x:c>
      <x:c r="I20" s="35" t="str">
        <x:f>Calc!N20</x:f>
        <x:v>PASS</x:v>
      </x:c>
      <x:c r="J20" s="35" t="str">
        <x:f>IF(C20=MIN($C$6:$C$65),"GOVERNING","")</x:f>
      </x:c>
      <x:c r="K20" s="32" t="str">
        <x:f>Survey!E20</x:f>
        <x:v>survey-014</x:v>
      </x:c>
      <x:c r="L20" s="32"/>
      <x:c r="M20" s="32"/>
      <x:c r="N20" s="32"/>
    </x:row>
    <x:row r="21">
      <x:c r="A21" s="35" t="n">
        <x:f>Calc!A21*'Unit Map'!$I$8</x:f>
        <x:v>1716.1166592000002</x:v>
      </x:c>
      <x:c r="B21" s="35" t="n">
        <x:f>Calc!G21*'Unit Map'!$I$14</x:f>
        <x:v>503044.30107654614</x:v>
      </x:c>
      <x:c r="C21" s="35" t="n">
        <x:f>Calc!H21*'Unit Map'!$I$14</x:f>
        <x:v>499038.4189947745</x:v>
      </x:c>
      <x:c r="D21" s="35" t="n">
        <x:f>Calc!I21*'Unit Map'!$I$16</x:f>
        <x:v>26020.705293761857</x:v>
      </x:c>
      <x:c r="E21" s="35" t="n">
        <x:f>Calc!J21*'Unit Map'!$I$16</x:f>
        <x:v>26041.410587523715</x:v>
      </x:c>
      <x:c r="F21" s="35" t="n">
        <x:f>Calc!K21*'Unit Map'!$I$16</x:f>
        <x:v>26051.763234404643</x:v>
      </x:c>
      <x:c r="G21" s="35" t="n">
        <x:f>Calc!L21*'Unit Map'!$I$14</x:f>
        <x:v>13289.302478170144</x:v>
      </x:c>
      <x:c r="H21" s="35" t="n">
        <x:f>Calc!M21*'Unit Map'!$I$14</x:f>
        <x:v>26578.60495634029</x:v>
      </x:c>
      <x:c r="I21" s="35" t="str">
        <x:f>Calc!N21</x:f>
        <x:v>PASS</x:v>
      </x:c>
      <x:c r="J21" s="35" t="str">
        <x:f>IF(C21=MIN($C$6:$C$65),"GOVERNING","")</x:f>
      </x:c>
      <x:c r="K21" s="32" t="str">
        <x:f>Survey!E21</x:f>
        <x:v>survey-015</x:v>
      </x:c>
      <x:c r="L21" s="32"/>
      <x:c r="M21" s="32"/>
      <x:c r="N21" s="32"/>
    </x:row>
    <x:row r="22">
      <x:c r="A22" s="35" t="n">
        <x:f>Calc!A22*'Unit Map'!$I$8</x:f>
        <x:v>1754.5571208000001</x:v>
      </x:c>
      <x:c r="B22" s="35" t="n">
        <x:f>Calc!G22*'Unit Map'!$I$14</x:f>
        <x:v>511938.37316616287</x:v>
      </x:c>
      <x:c r="C22" s="35" t="n">
        <x:f>Calc!H22*'Unit Map'!$I$14</x:f>
        <x:v>507214.75489862217</x:v>
      </x:c>
      <x:c r="D22" s="35" t="n">
        <x:f>Calc!I22*'Unit Map'!$I$16</x:f>
        <x:v>26022.788123898168</x:v>
      </x:c>
      <x:c r="E22" s="35" t="n">
        <x:f>Calc!J22*'Unit Map'!$I$16</x:f>
        <x:v>26045.576247796333</x:v>
      </x:c>
      <x:c r="F22" s="35" t="n">
        <x:f>Calc!K22*'Unit Map'!$I$16</x:f>
        <x:v>26056.97030974542</x:v>
      </x:c>
      <x:c r="G22" s="35" t="n">
        <x:f>Calc!L22*'Unit Map'!$I$14</x:f>
        <x:v>13828.652103940169</x:v>
      </x:c>
      <x:c r="H22" s="35" t="n">
        <x:f>Calc!M22*'Unit Map'!$I$14</x:f>
        <x:v>27657.304207880337</x:v>
      </x:c>
      <x:c r="I22" s="35" t="str">
        <x:f>Calc!N22</x:f>
        <x:v>PASS</x:v>
      </x:c>
      <x:c r="J22" s="35" t="str">
        <x:f>IF(C22=MIN($C$6:$C$65),"GOVERNING","")</x:f>
      </x:c>
      <x:c r="K22" s="32" t="str">
        <x:f>Survey!E22</x:f>
        <x:v>survey-016</x:v>
      </x:c>
      <x:c r="L22" s="32"/>
      <x:c r="M22" s="32"/>
      <x:c r="N22" s="32"/>
    </x:row>
    <x:row r="23">
      <x:c r="A23" s="35" t="n">
        <x:f>Calc!A23*'Unit Map'!$I$8</x:f>
        <x:v>1793.4788616</x:v>
      </x:c>
      <x:c r="B23" s="35" t="n">
        <x:f>Calc!G23*'Unit Map'!$I$14</x:f>
        <x:v>520975.0329266632</x:v>
      </x:c>
      <x:c r="C23" s="35" t="n">
        <x:f>Calc!H23*'Unit Map'!$I$14</x:f>
        <x:v>515462.2266916272</x:v>
      </x:c>
      <x:c r="D23" s="35" t="n">
        <x:f>Calc!I23*'Unit Map'!$I$16</x:f>
        <x:v>26025.05671796798</x:v>
      </x:c>
      <x:c r="E23" s="35" t="n">
        <x:f>Calc!J23*'Unit Map'!$I$16</x:f>
        <x:v>26050.113435935953</x:v>
      </x:c>
      <x:c r="F23" s="35" t="n">
        <x:f>Calc!K23*'Unit Map'!$I$16</x:f>
        <x:v>26062.641794919942</x:v>
      </x:c>
      <x:c r="G23" s="35" t="n">
        <x:f>Calc!L23*'Unit Map'!$I$14</x:f>
        <x:v>14410.724855994376</x:v>
      </x:c>
      <x:c r="H23" s="35" t="n">
        <x:f>Calc!M23*'Unit Map'!$I$14</x:f>
        <x:v>28821.449711988753</x:v>
      </x:c>
      <x:c r="I23" s="35" t="str">
        <x:f>Calc!N23</x:f>
        <x:v>PASS</x:v>
      </x:c>
      <x:c r="J23" s="35" t="str">
        <x:f>IF(C23=MIN($C$6:$C$65),"GOVERNING","")</x:f>
      </x:c>
      <x:c r="K23" s="32" t="str">
        <x:f>Survey!E23</x:f>
        <x:v>survey-017</x:v>
      </x:c>
      <x:c r="L23" s="32"/>
      <x:c r="M23" s="32"/>
      <x:c r="N23" s="32"/>
    </x:row>
    <x:row r="24">
      <x:c r="A24" s="35" t="n">
        <x:f>Calc!A24*'Unit Map'!$I$8</x:f>
        <x:v>1832.4975288000003</x:v>
      </x:c>
      <x:c r="B24" s="35" t="n">
        <x:f>Calc!G24*'Unit Map'!$I$14</x:f>
        <x:v>530050.028756666</x:v>
      </x:c>
      <x:c r="C24" s="35" t="n">
        <x:f>Calc!H24*'Unit Map'!$I$14</x:f>
        <x:v>523714.4049053724</x:v>
      </x:c>
      <x:c r="D24" s="35" t="n">
        <x:f>Calc!I24*'Unit Map'!$I$16</x:f>
        <x:v>26026.12445931618</x:v>
      </x:c>
      <x:c r="E24" s="35" t="n">
        <x:f>Calc!J24*'Unit Map'!$I$16</x:f>
        <x:v>26052.248918632355</x:v>
      </x:c>
      <x:c r="F24" s="35" t="n">
        <x:f>Calc!K24*'Unit Map'!$I$16</x:f>
        <x:v>26065.311148290446</x:v>
      </x:c>
      <x:c r="G24" s="35" t="n">
        <x:f>Calc!L24*'Unit Map'!$I$14</x:f>
        <x:v>14696.276085690224</x:v>
      </x:c>
      <x:c r="H24" s="35" t="n">
        <x:f>Calc!M24*'Unit Map'!$I$14</x:f>
        <x:v>29392.55217138045</x:v>
      </x:c>
      <x:c r="I24" s="35" t="str">
        <x:f>Calc!N24</x:f>
        <x:v>PASS</x:v>
      </x:c>
      <x:c r="J24" s="35" t="str">
        <x:f>IF(C24=MIN($C$6:$C$65),"GOVERNING","")</x:f>
      </x:c>
      <x:c r="K24" s="32" t="str">
        <x:f>Survey!E24</x:f>
        <x:v>survey-018</x:v>
      </x:c>
      <x:c r="L24" s="32"/>
      <x:c r="M24" s="32"/>
      <x:c r="N24" s="32"/>
    </x:row>
    <x:row r="25">
      <x:c r="A25" s="35" t="n">
        <x:f>Calc!A25*'Unit Map'!$I$8</x:f>
        <x:v>1871.1787824</x:v>
      </x:c>
      <x:c r="B25" s="35" t="n">
        <x:f>Calc!G25*'Unit Map'!$I$14</x:f>
        <x:v>539037.0019643743</x:v>
      </x:c>
      <x:c r="C25" s="35" t="n">
        <x:f>Calc!H25*'Unit Map'!$I$14</x:f>
        <x:v>531904.7691480203</x:v>
      </x:c>
      <x:c r="D25" s="35" t="n">
        <x:f>Calc!I25*'Unit Map'!$I$16</x:f>
        <x:v>26025.292334640668</x:v>
      </x:c>
      <x:c r="E25" s="35" t="n">
        <x:f>Calc!J25*'Unit Map'!$I$16</x:f>
        <x:v>26050.584669281336</x:v>
      </x:c>
      <x:c r="F25" s="35" t="n">
        <x:f>Calc!K25*'Unit Map'!$I$16</x:f>
        <x:v>26063.23083660167</x:v>
      </x:c>
      <x:c r="G25" s="35" t="n">
        <x:f>Calc!L25*'Unit Map'!$I$14</x:f>
        <x:v>14523.257963276968</x:v>
      </x:c>
      <x:c r="H25" s="35" t="n">
        <x:f>Calc!M25*'Unit Map'!$I$14</x:f>
        <x:v>29046.515926553937</x:v>
      </x:c>
      <x:c r="I25" s="35" t="str">
        <x:f>Calc!N25</x:f>
        <x:v>PASS</x:v>
      </x:c>
      <x:c r="J25" s="35" t="str">
        <x:f>IF(C25=MIN($C$6:$C$65),"GOVERNING","")</x:f>
      </x:c>
      <x:c r="K25" s="32" t="str">
        <x:f>Survey!E25</x:f>
        <x:v>survey-019</x:v>
      </x:c>
      <x:c r="L25" s="32"/>
      <x:c r="M25" s="32"/>
      <x:c r="N25" s="32"/>
    </x:row>
    <x:row r="26">
      <x:c r="A26" s="35" t="n">
        <x:f>Calc!A26*'Unit Map'!$I$8</x:f>
        <x:v>1947.3607992000002</x:v>
      </x:c>
      <x:c r="B26" s="35" t="n">
        <x:f>Calc!G26*'Unit Map'!$I$14</x:f>
        <x:v>556218.7098983912</x:v>
      </x:c>
      <x:c r="C26" s="35" t="n">
        <x:f>Calc!H26*'Unit Map'!$I$14</x:f>
        <x:v>548553.5110684601</x:v>
      </x:c>
      <x:c r="D26" s="35" t="n">
        <x:f>Calc!I26*'Unit Map'!$I$16</x:f>
        <x:v>26016.921670931075</x:v>
      </x:c>
      <x:c r="E26" s="35" t="n">
        <x:f>Calc!J26*'Unit Map'!$I$16</x:f>
        <x:v>26033.84334186215</x:v>
      </x:c>
      <x:c r="F26" s="35" t="n">
        <x:f>Calc!K26*'Unit Map'!$I$16</x:f>
        <x:v>26042.304177327685</x:v>
      </x:c>
      <x:c r="G26" s="35" t="n">
        <x:f>Calc!L26*'Unit Map'!$I$14</x:f>
        <x:v>8464.771745150709</x:v>
      </x:c>
      <x:c r="H26" s="35" t="n">
        <x:f>Calc!M26*'Unit Map'!$I$14</x:f>
        <x:v>16929.543490301417</x:v>
      </x:c>
      <x:c r="I26" s="35" t="str">
        <x:f>Calc!N26</x:f>
        <x:v>PASS</x:v>
      </x:c>
      <x:c r="J26" s="35" t="str">
        <x:f>IF(C26=MIN($C$6:$C$65),"GOVERNING","")</x:f>
      </x:c>
      <x:c r="K26" s="32" t="str">
        <x:f>Survey!E26</x:f>
        <x:v>survey-020</x:v>
      </x:c>
      <x:c r="L26" s="32"/>
      <x:c r="M26" s="32"/>
      <x:c r="N26" s="32"/>
    </x:row>
    <x:row r="27">
      <x:c r="A27" s="35" t="n">
        <x:f>Calc!A27*'Unit Map'!$I$8</x:f>
        <x:v>2022.9868608</x:v>
      </x:c>
      <x:c r="B27" s="35" t="n">
        <x:f>Calc!G27*'Unit Map'!$I$14</x:f>
        <x:v>573178.0120435266</x:v>
      </x:c>
      <x:c r="C27" s="35" t="n">
        <x:f>Calc!H27*'Unit Map'!$I$14</x:f>
        <x:v>565177.7735507294</x:v>
      </x:c>
      <x:c r="D27" s="35" t="n">
        <x:f>Calc!I27*'Unit Map'!$I$16</x:f>
        <x:v>26010.637509295997</x:v>
      </x:c>
      <x:c r="E27" s="35" t="n">
        <x:f>Calc!J27*'Unit Map'!$I$16</x:f>
        <x:v>26021.275018591994</x:v>
      </x:c>
      <x:c r="F27" s="35" t="n">
        <x:f>Calc!K27*'Unit Map'!$I$16</x:f>
        <x:v>26026.593773239994</x:v>
      </x:c>
      <x:c r="G27" s="35" t="n">
        <x:f>Calc!L27*'Unit Map'!$I$14</x:f>
        <x:v>6736.03129578184</x:v>
      </x:c>
      <x:c r="H27" s="35" t="n">
        <x:f>Calc!M27*'Unit Map'!$I$14</x:f>
        <x:v>13472.06259156368</x:v>
      </x:c>
      <x:c r="I27" s="35" t="str">
        <x:f>Calc!N27</x:f>
        <x:v>PASS</x:v>
      </x:c>
      <x:c r="J27" s="35" t="str">
        <x:f>IF(C27=MIN($C$6:$C$65),"GOVERNING","")</x:f>
      </x:c>
      <x:c r="K27" s="32" t="str">
        <x:f>Survey!E27</x:f>
        <x:v>survey-021</x:v>
      </x:c>
      <x:c r="L27" s="32"/>
      <x:c r="M27" s="32"/>
      <x:c r="N27" s="32"/>
    </x:row>
    <x:row r="28">
      <x:c r="A28" s="35" t="n">
        <x:f>Calc!A28*'Unit Map'!$I$8</x:f>
        <x:v>2098.3837128</x:v>
      </x:c>
      <x:c r="B28" s="35" t="n">
        <x:f>Calc!G28*'Unit Map'!$I$14</x:f>
        <x:v>590079.5868524231</x:v>
      </x:c>
      <x:c r="C28" s="35" t="n">
        <x:f>Calc!H28*'Unit Map'!$I$14</x:f>
        <x:v>581757.977354576</x:v>
      </x:c>
      <x:c r="D28" s="35" t="n">
        <x:f>Calc!I28*'Unit Map'!$I$16</x:f>
        <x:v>26010.203529410333</x:v>
      </x:c>
      <x:c r="E28" s="35" t="n">
        <x:f>Calc!J28*'Unit Map'!$I$16</x:f>
        <x:v>26020.407058820667</x:v>
      </x:c>
      <x:c r="F28" s="35" t="n">
        <x:f>Calc!K28*'Unit Map'!$I$16</x:f>
        <x:v>26025.508823525834</x:v>
      </x:c>
      <x:c r="G28" s="35" t="n">
        <x:f>Calc!L28*'Unit Map'!$I$14</x:f>
        <x:v>6607.2154035717995</x:v>
      </x:c>
      <x:c r="H28" s="35" t="n">
        <x:f>Calc!M28*'Unit Map'!$I$14</x:f>
        <x:v>13214.430807143599</x:v>
      </x:c>
      <x:c r="I28" s="35" t="str">
        <x:f>Calc!N28</x:f>
        <x:v>PASS</x:v>
      </x:c>
      <x:c r="J28" s="35" t="str">
        <x:f>IF(C28=MIN($C$6:$C$65),"GOVERNING","")</x:f>
      </x:c>
      <x:c r="K28" s="32" t="str">
        <x:f>Survey!E28</x:f>
        <x:v>survey-022</x:v>
      </x:c>
      <x:c r="L28" s="32"/>
      <x:c r="M28" s="32"/>
      <x:c r="N28" s="32"/>
    </x:row>
    <x:row r="29">
      <x:c r="A29" s="35" t="n">
        <x:f>Calc!A29*'Unit Map'!$I$8</x:f>
        <x:v>2173.9945344000002</x:v>
      </x:c>
      <x:c r="B29" s="35" t="n">
        <x:f>Calc!G29*'Unit Map'!$I$14</x:f>
        <x:v>607020.0895864788</x:v>
      </x:c>
      <x:c r="C29" s="35" t="n">
        <x:f>Calc!H29*'Unit Map'!$I$14</x:f>
        <x:v>598394.2715607802</x:v>
      </x:c>
      <x:c r="D29" s="35" t="n">
        <x:f>Calc!I29*'Unit Map'!$I$16</x:f>
        <x:v>26009.65862075928</x:v>
      </x:c>
      <x:c r="E29" s="35" t="n">
        <x:f>Calc!J29*'Unit Map'!$I$16</x:f>
        <x:v>26019.31724151856</x:v>
      </x:c>
      <x:c r="F29" s="35" t="n">
        <x:f>Calc!K29*'Unit Map'!$I$16</x:f>
        <x:v>26024.1465518982</x:v>
      </x:c>
      <x:c r="G29" s="35" t="n">
        <x:f>Calc!L29*'Unit Map'!$I$14</x:f>
        <x:v>6419.267007502434</x:v>
      </x:c>
      <x:c r="H29" s="35" t="n">
        <x:f>Calc!M29*'Unit Map'!$I$14</x:f>
        <x:v>12838.534015004869</x:v>
      </x:c>
      <x:c r="I29" s="35" t="str">
        <x:f>Calc!N29</x:f>
        <x:v>PASS</x:v>
      </x:c>
      <x:c r="J29" s="35" t="str">
        <x:f>IF(C29=MIN($C$6:$C$65),"GOVERNING","")</x:f>
      </x:c>
      <x:c r="K29" s="32" t="str">
        <x:f>Survey!E29</x:f>
        <x:v>survey-023</x:v>
      </x:c>
      <x:c r="L29" s="32"/>
      <x:c r="M29" s="32"/>
      <x:c r="N29" s="32"/>
    </x:row>
    <x:row r="30">
      <x:c r="A30" s="35" t="n">
        <x:f>Calc!A30*'Unit Map'!$I$8</x:f>
        <x:v>2250.1543008</x:v>
      </x:c>
      <x:c r="B30" s="35" t="n">
        <x:f>Calc!G30*'Unit Map'!$I$14</x:f>
        <x:v>624072.1267373553</x:v>
      </x:c>
      <x:c r="C30" s="35" t="n">
        <x:f>Calc!H30*'Unit Map'!$I$14</x:f>
        <x:v>615162.8034411283</x:v>
      </x:c>
      <x:c r="D30" s="35" t="n">
        <x:f>Calc!I30*'Unit Map'!$I$16</x:f>
        <x:v>26009.00129233928</x:v>
      </x:c>
      <x:c r="E30" s="35" t="n">
        <x:f>Calc!J30*'Unit Map'!$I$16</x:f>
        <x:v>26018.002584678557</x:v>
      </x:c>
      <x:c r="F30" s="35" t="n">
        <x:f>Calc!K30*'Unit Map'!$I$16</x:f>
        <x:v>26022.503230848197</x:v>
      </x:c>
      <x:c r="G30" s="35" t="n">
        <x:f>Calc!L30*'Unit Map'!$I$14</x:f>
        <x:v>6174.609456279386</x:v>
      </x:c>
      <x:c r="H30" s="35" t="n">
        <x:f>Calc!M30*'Unit Map'!$I$14</x:f>
        <x:v>12349.218912558772</x:v>
      </x:c>
      <x:c r="I30" s="35" t="str">
        <x:f>Calc!N30</x:f>
        <x:v>PASS</x:v>
      </x:c>
      <x:c r="J30" s="35" t="str">
        <x:f>IF(C30=MIN($C$6:$C$65),"GOVERNING","")</x:f>
      </x:c>
      <x:c r="K30" s="32" t="str">
        <x:f>Survey!E30</x:f>
        <x:v>survey-024</x:v>
      </x:c>
      <x:c r="L30" s="32"/>
      <x:c r="M30" s="32"/>
      <x:c r="N30" s="32"/>
    </x:row>
    <x:row r="31">
      <x:c r="A31" s="35" t="n">
        <x:f>Calc!A31*'Unit Map'!$I$8</x:f>
        <x:v>2326.9172664000002</x:v>
      </x:c>
      <x:c r="B31" s="35" t="n">
        <x:f>Calc!G31*'Unit Map'!$I$14</x:f>
        <x:v>641245.7493002525</x:v>
      </x:c>
      <x:c r="C31" s="35" t="n">
        <x:f>Calc!H31*'Unit Map'!$I$14</x:f>
        <x:v>632077.6149666572</x:v>
      </x:c>
      <x:c r="D31" s="35" t="n">
        <x:f>Calc!I31*'Unit Map'!$I$16</x:f>
        <x:v>26008.217250436443</x:v>
      </x:c>
      <x:c r="E31" s="35" t="n">
        <x:f>Calc!J31*'Unit Map'!$I$16</x:f>
        <x:v>26016.43450087289</x:v>
      </x:c>
      <x:c r="F31" s="35" t="n">
        <x:f>Calc!K31*'Unit Map'!$I$16</x:f>
        <x:v>26020.54312609111</x:v>
      </x:c>
      <x:c r="G31" s="35" t="n">
        <x:f>Calc!L31*'Unit Map'!$I$14</x:f>
        <x:v>5876.344539699765</x:v>
      </x:c>
      <x:c r="H31" s="35" t="n">
        <x:f>Calc!M31*'Unit Map'!$I$14</x:f>
        <x:v>11752.68907939953</x:v>
      </x:c>
      <x:c r="I31" s="35" t="str">
        <x:f>Calc!N31</x:f>
        <x:v>PASS</x:v>
      </x:c>
      <x:c r="J31" s="35" t="str">
        <x:f>IF(C31=MIN($C$6:$C$65),"GOVERNING","")</x:f>
      </x:c>
      <x:c r="K31" s="32" t="str">
        <x:f>Survey!E31</x:f>
        <x:v>survey-025</x:v>
      </x:c>
      <x:c r="L31" s="32"/>
      <x:c r="M31" s="32"/>
      <x:c r="N31" s="32"/>
    </x:row>
    <x:row r="32">
      <x:c r="A32" s="35" t="n">
        <x:f>Calc!A32*'Unit Map'!$I$8</x:f>
        <x:v>2404.030752</x:v>
      </x:c>
      <x:c r="B32" s="35" t="n">
        <x:f>Calc!G32*'Unit Map'!$I$14</x:f>
        <x:v>658482.8943766345</x:v>
      </x:c>
      <x:c r="C32" s="35" t="n">
        <x:f>Calc!H32*'Unit Map'!$I$14</x:f>
        <x:v>649084.5607830377</x:v>
      </x:c>
      <x:c r="D32" s="35" t="n">
        <x:f>Calc!I32*'Unit Map'!$I$16</x:f>
        <x:v>26007.308826505054</x:v>
      </x:c>
      <x:c r="E32" s="35" t="n">
        <x:f>Calc!J32*'Unit Map'!$I$16</x:f>
        <x:v>26014.617653010104</x:v>
      </x:c>
      <x:c r="F32" s="35" t="n">
        <x:f>Calc!K32*'Unit Map'!$I$16</x:f>
        <x:v>26018.27206626263</x:v>
      </x:c>
      <x:c r="G32" s="35" t="n">
        <x:f>Calc!L32*'Unit Map'!$I$14</x:f>
        <x:v>5529.406533740687</x:v>
      </x:c>
      <x:c r="H32" s="35" t="n">
        <x:f>Calc!M32*'Unit Map'!$I$14</x:f>
        <x:v>11058.813067481375</x:v>
      </x:c>
      <x:c r="I32" s="35" t="str">
        <x:f>Calc!N32</x:f>
        <x:v>PASS</x:v>
      </x:c>
      <x:c r="J32" s="35" t="str">
        <x:f>IF(C32=MIN($C$6:$C$65),"GOVERNING","")</x:f>
      </x:c>
      <x:c r="K32" s="32" t="str">
        <x:f>Survey!E32</x:f>
        <x:v>survey-026</x:v>
      </x:c>
      <x:c r="L32" s="32"/>
      <x:c r="M32" s="32"/>
      <x:c r="N32" s="32"/>
    </x:row>
    <x:row r="33">
      <x:c r="A33" s="35" t="n">
        <x:f>Calc!A33*'Unit Map'!$I$8</x:f>
        <x:v>2481.0637704</x:v>
      </x:c>
      <x:c r="B33" s="35" t="n">
        <x:f>Calc!G33*'Unit Map'!$I$14</x:f>
        <x:v>675686.2595691354</x:v>
      </x:c>
      <x:c r="C33" s="35" t="n">
        <x:f>Calc!H33*'Unit Map'!$I$14</x:f>
        <x:v>666089.5530951733</x:v>
      </x:c>
      <x:c r="D33" s="35" t="n">
        <x:f>Calc!I33*'Unit Map'!$I$16</x:f>
        <x:v>26006.298338951598</x:v>
      </x:c>
      <x:c r="E33" s="35" t="n">
        <x:f>Calc!J33*'Unit Map'!$I$16</x:f>
        <x:v>26012.596677903195</x:v>
      </x:c>
      <x:c r="F33" s="35" t="n">
        <x:f>Calc!K33*'Unit Map'!$I$16</x:f>
        <x:v>26015.745847378996</x:v>
      </x:c>
      <x:c r="G33" s="35" t="n">
        <x:f>Calc!L33*'Unit Map'!$I$14</x:f>
        <x:v>5135.638179379317</x:v>
      </x:c>
      <x:c r="H33" s="35" t="n">
        <x:f>Calc!M33*'Unit Map'!$I$14</x:f>
        <x:v>10271.276358758634</x:v>
      </x:c>
      <x:c r="I33" s="35" t="str">
        <x:f>Calc!N33</x:f>
        <x:v>PASS</x:v>
      </x:c>
      <x:c r="J33" s="35" t="str">
        <x:f>IF(C33=MIN($C$6:$C$65),"GOVERNING","")</x:f>
      </x:c>
      <x:c r="K33" s="32" t="str">
        <x:f>Survey!E33</x:f>
        <x:v>survey-027</x:v>
      </x:c>
      <x:c r="L33" s="32"/>
      <x:c r="M33" s="32"/>
      <x:c r="N33" s="32"/>
    </x:row>
    <x:row r="34">
      <x:c r="A34" s="35" t="n">
        <x:f>Calc!A34*'Unit Map'!$I$8</x:f>
        <x:v>2557.6252632</x:v>
      </x:c>
      <x:c r="B34" s="35" t="n">
        <x:f>Calc!G34*'Unit Map'!$I$14</x:f>
        <x:v>692768.7105823595</x:v>
      </x:c>
      <x:c r="C34" s="35" t="n">
        <x:f>Calc!H34*'Unit Map'!$I$14</x:f>
        <x:v>683006.0673463177</x:v>
      </x:c>
      <x:c r="D34" s="35" t="n">
        <x:f>Calc!I34*'Unit Map'!$I$16</x:f>
        <x:v>26005.268492196028</x:v>
      </x:c>
      <x:c r="E34" s="35" t="n">
        <x:f>Calc!J34*'Unit Map'!$I$16</x:f>
        <x:v>26010.536984392053</x:v>
      </x:c>
      <x:c r="F34" s="35" t="n">
        <x:f>Calc!K34*'Unit Map'!$I$16</x:f>
        <x:v>26013.17123049007</x:v>
      </x:c>
      <x:c r="G34" s="35" t="n">
        <x:f>Calc!L34*'Unit Map'!$I$14</x:f>
        <x:v>4711.485253484027</x:v>
      </x:c>
      <x:c r="H34" s="35" t="n">
        <x:f>Calc!M34*'Unit Map'!$I$14</x:f>
        <x:v>9422.970506968055</x:v>
      </x:c>
      <x:c r="I34" s="35" t="str">
        <x:f>Calc!N34</x:f>
        <x:v>PASS</x:v>
      </x:c>
      <x:c r="J34" s="35" t="str">
        <x:f>IF(C34=MIN($C$6:$C$65),"GOVERNING","")</x:f>
      </x:c>
      <x:c r="K34" s="32" t="str">
        <x:f>Survey!E34</x:f>
        <x:v>survey-028</x:v>
      </x:c>
      <x:c r="L34" s="32"/>
      <x:c r="M34" s="32"/>
      <x:c r="N34" s="32"/>
    </x:row>
    <x:row r="35">
      <x:c r="A35" s="35" t="n">
        <x:f>Calc!A35*'Unit Map'!$I$8</x:f>
        <x:v>2633.5658784</x:v>
      </x:c>
      <x:c r="B35" s="35" t="n">
        <x:f>Calc!G35*'Unit Map'!$I$14</x:f>
        <x:v>709697.6280845449</x:v>
      </x:c>
      <x:c r="C35" s="35" t="n">
        <x:f>Calc!H35*'Unit Map'!$I$14</x:f>
        <x:v>699800.3995342111</x:v>
      </x:c>
      <x:c r="D35" s="35" t="n">
        <x:f>Calc!I35*'Unit Map'!$I$16</x:f>
        <x:v>26004.273083728775</x:v>
      </x:c>
      <x:c r="E35" s="35" t="n">
        <x:f>Calc!J35*'Unit Map'!$I$16</x:f>
        <x:v>26008.54616745755</x:v>
      </x:c>
      <x:c r="F35" s="35" t="n">
        <x:f>Calc!K35*'Unit Map'!$I$16</x:f>
        <x:v>26010.682709321936</x:v>
      </x:c>
      <x:c r="G35" s="35" t="n">
        <x:f>Calc!L35*'Unit Map'!$I$14</x:f>
        <x:v>4260.430722586636</x:v>
      </x:c>
      <x:c r="H35" s="35" t="n">
        <x:f>Calc!M35*'Unit Map'!$I$14</x:f>
        <x:v>8520.861445173272</x:v>
      </x:c>
      <x:c r="I35" s="35" t="str">
        <x:f>Calc!N35</x:f>
        <x:v>PASS</x:v>
      </x:c>
      <x:c r="J35" s="35" t="str">
        <x:f>IF(C35=MIN($C$6:$C$65),"GOVERNING","")</x:f>
      </x:c>
      <x:c r="K35" s="32" t="str">
        <x:f>Survey!E35</x:f>
        <x:v>survey-029</x:v>
      </x:c>
      <x:c r="L35" s="32"/>
      <x:c r="M35" s="32"/>
      <x:c r="N35" s="32"/>
    </x:row>
    <x:row r="36">
      <x:c r="A36" s="35" t="n">
        <x:f>Calc!A36*'Unit Map'!$I$8</x:f>
        <x:v>2709.0514272</x:v>
      </x:c>
      <x:c r="B36" s="35" t="n">
        <x:f>Calc!G36*'Unit Map'!$I$14</x:f>
        <x:v>726511.6770373742</x:v>
      </x:c>
      <x:c r="C36" s="35" t="n">
        <x:f>Calc!H36*'Unit Map'!$I$14</x:f>
        <x:v>716507.5171333092</x:v>
      </x:c>
      <x:c r="D36" s="35" t="n">
        <x:f>Calc!I36*'Unit Map'!$I$16</x:f>
        <x:v>26003.395070480972</x:v>
      </x:c>
      <x:c r="E36" s="35" t="n">
        <x:f>Calc!J36*'Unit Map'!$I$16</x:f>
        <x:v>26006.790140961944</x:v>
      </x:c>
      <x:c r="F36" s="35" t="n">
        <x:f>Calc!K36*'Unit Map'!$I$16</x:f>
        <x:v>26008.48767620243</x:v>
      </x:c>
      <x:c r="G36" s="35" t="n">
        <x:f>Calc!L36*'Unit Map'!$I$14</x:f>
        <x:v>3809.012087543358</x:v>
      </x:c>
      <x:c r="H36" s="35" t="n">
        <x:f>Calc!M36*'Unit Map'!$I$14</x:f>
        <x:v>7618.024175086716</x:v>
      </x:c>
      <x:c r="I36" s="35" t="str">
        <x:f>Calc!N36</x:f>
        <x:v>PASS</x:v>
      </x:c>
      <x:c r="J36" s="35" t="str">
        <x:f>IF(C36=MIN($C$6:$C$65),"GOVERNING","")</x:f>
      </x:c>
      <x:c r="K36" s="32" t="str">
        <x:f>Survey!E36</x:f>
        <x:v>survey-030</x:v>
      </x:c>
      <x:c r="L36" s="32"/>
      <x:c r="M36" s="32"/>
      <x:c r="N36" s="32"/>
    </x:row>
    <x:row r="37">
      <x:c r="A37" s="35" t="n">
        <x:f>Calc!A37*'Unit Map'!$I$8</x:f>
        <x:v>2784.480588</x:v>
      </x:c>
      <x:c r="B37" s="35" t="n">
        <x:f>Calc!G37*'Unit Map'!$I$14</x:f>
        <x:v>743301.7566949244</x:v>
      </x:c>
      <x:c r="C37" s="35" t="n">
        <x:f>Calc!H37*'Unit Map'!$I$14</x:f>
        <x:v>733213.5635852496</x:v>
      </x:c>
      <x:c r="D37" s="35" t="n">
        <x:f>Calc!I37*'Unit Map'!$I$16</x:f>
        <x:v>26002.66805427811</x:v>
      </x:c>
      <x:c r="E37" s="35" t="n">
        <x:f>Calc!J37*'Unit Map'!$I$16</x:f>
        <x:v>26005.336108556217</x:v>
      </x:c>
      <x:c r="F37" s="35" t="n">
        <x:f>Calc!K37*'Unit Map'!$I$16</x:f>
        <x:v>26006.670135695273</x:v>
      </x:c>
      <x:c r="G37" s="35" t="n">
        <x:f>Calc!L37*'Unit Map'!$I$14</x:f>
        <x:v>3377.9059561717727</x:v>
      </x:c>
      <x:c r="H37" s="35" t="n">
        <x:f>Calc!M37*'Unit Map'!$I$14</x:f>
        <x:v>6755.811912343545</x:v>
      </x:c>
      <x:c r="I37" s="35" t="str">
        <x:f>Calc!N37</x:f>
        <x:v>PASS</x:v>
      </x:c>
      <x:c r="J37" s="35" t="str">
        <x:f>IF(C37=MIN($C$6:$C$65),"GOVERNING","")</x:f>
      </x:c>
      <x:c r="K37" s="32" t="str">
        <x:f>Survey!E37</x:f>
        <x:v>survey-031</x:v>
      </x:c>
      <x:c r="L37" s="32"/>
      <x:c r="M37" s="32"/>
      <x:c r="N37" s="32"/>
    </x:row>
    <x:row r="38">
      <x:c r="A38" s="35" t="n">
        <x:f>Calc!A38*'Unit Map'!$I$8</x:f>
        <x:v>2860.2800807999997</x:v>
      </x:c>
      <x:c r="B38" s="35" t="n">
        <x:f>Calc!G38*'Unit Map'!$I$14</x:f>
        <x:v>760164.9276528626</x:v>
      </x:c>
      <x:c r="C38" s="35" t="n">
        <x:f>Calc!H38*'Unit Map'!$I$14</x:f>
        <x:v>750010.9735344269</x:v>
      </x:c>
      <x:c r="D38" s="35" t="n">
        <x:f>Calc!I38*'Unit Map'!$I$16</x:f>
        <x:v>26002.087912028153</x:v>
      </x:c>
      <x:c r="E38" s="35" t="n">
        <x:f>Calc!J38*'Unit Map'!$I$16</x:f>
        <x:v>26004.17582405631</x:v>
      </x:c>
      <x:c r="F38" s="35" t="n">
        <x:f>Calc!K38*'Unit Map'!$I$16</x:f>
        <x:v>26005.219780070387</x:v>
      </x:c>
      <x:c r="G38" s="35" t="n">
        <x:f>Calc!L38*'Unit Map'!$I$14</x:f>
        <x:v>2980.8684489930993</x:v>
      </x:c>
      <x:c r="H38" s="35" t="n">
        <x:f>Calc!M38*'Unit Map'!$I$14</x:f>
        <x:v>5961.7368979861985</x:v>
      </x:c>
      <x:c r="I38" s="35" t="str">
        <x:f>Calc!N38</x:f>
        <x:v>PASS</x:v>
      </x:c>
      <x:c r="J38" s="35" t="str">
        <x:f>IF(C38=MIN($C$6:$C$65),"GOVERNING","")</x:f>
      </x:c>
      <x:c r="K38" s="32" t="str">
        <x:f>Survey!E38</x:f>
        <x:v>survey-032</x:v>
      </x:c>
      <x:c r="L38" s="32"/>
      <x:c r="M38" s="32"/>
      <x:c r="N38" s="32"/>
    </x:row>
    <x:row r="39">
      <x:c r="A39" s="35" t="n">
        <x:f>Calc!A39*'Unit Map'!$I$8</x:f>
        <x:v>2936.688564</x:v>
      </x:c>
      <x:c r="B39" s="35" t="n">
        <x:f>Calc!G39*'Unit Map'!$I$14</x:f>
        <x:v>777155.6787109898</x:v>
      </x:c>
      <x:c r="C39" s="35" t="n">
        <x:f>Calc!H39*'Unit Map'!$I$14</x:f>
        <x:v>766951.240161732</x:v>
      </x:c>
      <x:c r="D39" s="35" t="n">
        <x:f>Calc!I39*'Unit Map'!$I$16</x:f>
        <x:v>26001.6028806786</x:v>
      </x:c>
      <x:c r="E39" s="35" t="n">
        <x:f>Calc!J39*'Unit Map'!$I$16</x:f>
        <x:v>26003.2057613572</x:v>
      </x:c>
      <x:c r="F39" s="35" t="n">
        <x:f>Calc!K39*'Unit Map'!$I$16</x:f>
        <x:v>26004.007201696502</x:v>
      </x:c>
      <x:c r="G39" s="35" t="n">
        <x:f>Calc!L39*'Unit Map'!$I$14</x:f>
        <x:v>2601.355278029806</x:v>
      </x:c>
      <x:c r="H39" s="35" t="n">
        <x:f>Calc!M39*'Unit Map'!$I$14</x:f>
        <x:v>5202.710556059612</x:v>
      </x:c>
      <x:c r="I39" s="35" t="str">
        <x:f>Calc!N39</x:f>
        <x:v>PASS</x:v>
      </x:c>
      <x:c r="J39" s="35" t="str">
        <x:f>IF(C39=MIN($C$6:$C$65),"GOVERNING","")</x:f>
      </x:c>
      <x:c r="K39" s="32" t="str">
        <x:f>Survey!E39</x:f>
        <x:v>survey-033</x:v>
      </x:c>
      <x:c r="L39" s="32"/>
      <x:c r="M39" s="32"/>
      <x:c r="N39" s="32"/>
    </x:row>
    <x:row r="40">
      <x:c r="A40" s="35" t="n">
        <x:f>Calc!A40*'Unit Map'!$I$8</x:f>
        <x:v>3013.6334952</x:v>
      </x:c>
      <x:c r="B40" s="35" t="n">
        <x:f>Calc!G40*'Unit Map'!$I$14</x:f>
        <x:v>794258.6529676841</x:v>
      </x:c>
      <x:c r="C40" s="35" t="n">
        <x:f>Calc!H40*'Unit Map'!$I$14</x:f>
        <x:v>784017.5061779759</x:v>
      </x:c>
      <x:c r="D40" s="35" t="n">
        <x:f>Calc!I40*'Unit Map'!$I$16</x:f>
        <x:v>26001.165486634298</x:v>
      </x:c>
      <x:c r="E40" s="35" t="n">
        <x:f>Calc!J40*'Unit Map'!$I$16</x:f>
        <x:v>26002.330973268596</x:v>
      </x:c>
      <x:c r="F40" s="35" t="n">
        <x:f>Calc!K40*'Unit Map'!$I$16</x:f>
        <x:v>26002.913716585746</x:v>
      </x:c>
      <x:c r="G40" s="35" t="n">
        <x:f>Calc!L40*'Unit Map'!$I$14</x:f>
        <x:v>2210.464287905019</x:v>
      </x:c>
      <x:c r="H40" s="35" t="n">
        <x:f>Calc!M40*'Unit Map'!$I$14</x:f>
        <x:v>4420.928575810038</x:v>
      </x:c>
      <x:c r="I40" s="35" t="str">
        <x:f>Calc!N40</x:f>
        <x:v>PASS</x:v>
      </x:c>
      <x:c r="J40" s="35" t="str">
        <x:f>IF(C40=MIN($C$6:$C$65),"GOVERNING","")</x:f>
      </x:c>
      <x:c r="K40" s="32" t="str">
        <x:f>Survey!E40</x:f>
        <x:v>survey-034</x:v>
      </x:c>
      <x:c r="L40" s="32"/>
      <x:c r="M40" s="32"/>
      <x:c r="N40" s="32"/>
    </x:row>
    <x:row r="41">
      <x:c r="A41" s="35" t="n">
        <x:f>Calc!A41*'Unit Map'!$I$8</x:f>
        <x:v>3090.7698408</x:v>
      </x:c>
      <x:c r="B41" s="35" t="n">
        <x:f>Calc!G41*'Unit Map'!$I$14</x:f>
        <x:v>811398.364236773</x:v>
      </x:c>
      <x:c r="C41" s="35" t="n">
        <x:f>Calc!H41*'Unit Map'!$I$14</x:f>
        <x:v>801132.0373323669</x:v>
      </x:c>
      <x:c r="D41" s="35" t="n">
        <x:f>Calc!I41*'Unit Map'!$I$16</x:f>
        <x:v>26000.79946864166</x:v>
      </x:c>
      <x:c r="E41" s="35" t="n">
        <x:f>Calc!J41*'Unit Map'!$I$16</x:f>
        <x:v>26001.59893728332</x:v>
      </x:c>
      <x:c r="F41" s="35" t="n">
        <x:f>Calc!K41*'Unit Map'!$I$16</x:f>
        <x:v>26001.998671604153</x:v>
      </x:c>
      <x:c r="G41" s="35" t="n">
        <x:f>Calc!L41*'Unit Map'!$I$14</x:f>
        <x:v>1828.4835133349245</x:v>
      </x:c>
      <x:c r="H41" s="35" t="n">
        <x:f>Calc!M41*'Unit Map'!$I$14</x:f>
        <x:v>3656.967026669849</x:v>
      </x:c>
      <x:c r="I41" s="35" t="str">
        <x:f>Calc!N41</x:f>
        <x:v>PASS</x:v>
      </x:c>
      <x:c r="J41" s="35" t="str">
        <x:f>IF(C41=MIN($C$6:$C$65),"GOVERNING","")</x:f>
      </x:c>
      <x:c r="K41" s="32" t="str">
        <x:f>Survey!E41</x:f>
        <x:v>survey-035</x:v>
      </x:c>
      <x:c r="L41" s="32"/>
      <x:c r="M41" s="32"/>
      <x:c r="N41" s="32"/>
    </x:row>
    <x:row r="42">
      <x:c r="A42" s="35" t="n">
        <x:f>Calc!A42*'Unit Map'!$I$8</x:f>
        <x:v>3167.6544215999998</x:v>
      </x:c>
      <x:c r="B42" s="35" t="n">
        <x:f>Calc!G42*'Unit Map'!$I$14</x:f>
        <x:v>828481.9159706458</x:v>
      </x:c>
      <x:c r="C42" s="35" t="n">
        <x:f>Calc!H42*'Unit Map'!$I$14</x:f>
        <x:v>818190.9258303377</x:v>
      </x:c>
      <x:c r="D42" s="35" t="n">
        <x:f>Calc!I42*'Unit Map'!$I$16</x:f>
        <x:v>26000.78305773989</x:v>
      </x:c>
      <x:c r="E42" s="35" t="n">
        <x:f>Calc!J42*'Unit Map'!$I$16</x:f>
        <x:v>26001.566115479778</x:v>
      </x:c>
      <x:c r="F42" s="35" t="n">
        <x:f>Calc!K42*'Unit Map'!$I$16</x:f>
        <x:v>26001.957644349724</x:v>
      </x:c>
      <x:c r="G42" s="35" t="n">
        <x:f>Calc!L42*'Unit Map'!$I$14</x:f>
        <x:v>1812.5797754308658</x:v>
      </x:c>
      <x:c r="H42" s="35" t="n">
        <x:f>Calc!M42*'Unit Map'!$I$14</x:f>
        <x:v>3625.1595508617315</x:v>
      </x:c>
      <x:c r="I42" s="35" t="str">
        <x:f>Calc!N42</x:f>
        <x:v>PASS</x:v>
      </x:c>
      <x:c r="J42" s="35" t="str">
        <x:f>IF(C42=MIN($C$6:$C$65),"GOVERNING","")</x:f>
      </x:c>
      <x:c r="K42" s="32" t="str">
        <x:f>Survey!E42</x:f>
        <x:v>survey-036</x:v>
      </x:c>
      <x:c r="L42" s="32"/>
      <x:c r="M42" s="32"/>
      <x:c r="N42" s="32"/>
    </x:row>
    <x:row r="43">
      <x:c r="A43" s="35" t="n">
        <x:f>Calc!A43*'Unit Map'!$I$8</x:f>
        <x:v>3243.9723792</x:v>
      </x:c>
      <x:c r="B43" s="35" t="n">
        <x:f>Calc!G43*'Unit Map'!$I$14</x:f>
        <x:v>845445.6518920356</x:v>
      </x:c>
      <x:c r="C43" s="35" t="n">
        <x:f>Calc!H43*'Unit Map'!$I$14</x:f>
        <x:v>835118.0075327385</x:v>
      </x:c>
      <x:c r="D43" s="35" t="n">
        <x:f>Calc!I43*'Unit Map'!$I$16</x:f>
        <x:v>26001.163771452902</x:v>
      </x:c>
      <x:c r="E43" s="35" t="n">
        <x:f>Calc!J43*'Unit Map'!$I$16</x:f>
        <x:v>26002.327542905805</x:v>
      </x:c>
      <x:c r="F43" s="35" t="n">
        <x:f>Calc!K43*'Unit Map'!$I$16</x:f>
        <x:v>26002.909428632258</x:v>
      </x:c>
      <x:c r="G43" s="35" t="n">
        <x:f>Calc!L43*'Unit Map'!$I$14</x:f>
        <x:v>2217.891733412791</x:v>
      </x:c>
      <x:c r="H43" s="35" t="n">
        <x:f>Calc!M43*'Unit Map'!$I$14</x:f>
        <x:v>4435.783466825582</x:v>
      </x:c>
      <x:c r="I43" s="35" t="str">
        <x:f>Calc!N43</x:f>
        <x:v>PASS</x:v>
      </x:c>
      <x:c r="J43" s="35" t="str">
        <x:f>IF(C43=MIN($C$6:$C$65),"GOVERNING","")</x:f>
      </x:c>
      <x:c r="K43" s="32" t="str">
        <x:f>Survey!E43</x:f>
        <x:v>survey-037</x:v>
      </x:c>
      <x:c r="L43" s="32"/>
      <x:c r="M43" s="32"/>
      <x:c r="N43" s="32"/>
    </x:row>
    <x:row r="44">
      <x:c r="A44" s="35" t="n">
        <x:f>Calc!A44*'Unit Map'!$I$8</x:f>
        <x:v>3319.6978056000003</x:v>
      </x:c>
      <x:c r="B44" s="35" t="n">
        <x:f>Calc!G44*'Unit Map'!$I$14</x:f>
        <x:v>862285.3093043673</x:v>
      </x:c>
      <x:c r="C44" s="35" t="n">
        <x:f>Calc!H44*'Unit Map'!$I$14</x:f>
        <x:v>851906.0400679975</x:v>
      </x:c>
      <x:c r="D44" s="35" t="n">
        <x:f>Calc!I44*'Unit Map'!$I$16</x:f>
        <x:v>26001.63908984706</x:v>
      </x:c>
      <x:c r="E44" s="35" t="n">
        <x:f>Calc!J44*'Unit Map'!$I$16</x:f>
        <x:v>26003.27817969412</x:v>
      </x:c>
      <x:c r="F44" s="35" t="n">
        <x:f>Calc!K44*'Unit Map'!$I$16</x:f>
        <x:v>26004.097724617648</x:v>
      </x:c>
      <x:c r="G44" s="35" t="n">
        <x:f>Calc!L44*'Unit Map'!$I$14</x:f>
        <x:v>2642.4110592528173</x:v>
      </x:c>
      <x:c r="H44" s="35" t="n">
        <x:f>Calc!M44*'Unit Map'!$I$14</x:f>
        <x:v>5284.8221185056345</x:v>
      </x:c>
      <x:c r="I44" s="35" t="str">
        <x:f>Calc!N44</x:f>
        <x:v>PASS</x:v>
      </x:c>
      <x:c r="J44" s="35" t="str">
        <x:f>IF(C44=MIN($C$6:$C$65),"GOVERNING","")</x:f>
      </x:c>
      <x:c r="K44" s="32" t="str">
        <x:f>Survey!E44</x:f>
        <x:v>survey-038</x:v>
      </x:c>
      <x:c r="L44" s="32"/>
      <x:c r="M44" s="32"/>
      <x:c r="N44" s="32"/>
    </x:row>
    <x:row r="45">
      <x:c r="A45" s="35" t="n">
        <x:f>Calc!A45*'Unit Map'!$I$8</x:f>
        <x:v>3395.1068496000003</x:v>
      </x:c>
      <x:c r="B45" s="35" t="n">
        <x:f>Calc!G45*'Unit Map'!$I$14</x:f>
        <x:v>879061.594945844</x:v>
      </x:c>
      <x:c r="C45" s="35" t="n">
        <x:f>Calc!H45*'Unit Map'!$I$14</x:f>
        <x:v>868616.94718898</x:v>
      </x:c>
      <x:c r="D45" s="35" t="n">
        <x:f>Calc!I45*'Unit Map'!$I$16</x:f>
        <x:v>26002.075768025694</x:v>
      </x:c>
      <x:c r="E45" s="35" t="n">
        <x:f>Calc!J45*'Unit Map'!$I$16</x:f>
        <x:v>26004.15153605139</x:v>
      </x:c>
      <x:c r="F45" s="35" t="n">
        <x:f>Calc!K45*'Unit Map'!$I$16</x:f>
        <x:v>26005.18942006424</x:v>
      </x:c>
      <x:c r="G45" s="35" t="n">
        <x:f>Calc!L45*'Unit Map'!$I$14</x:f>
        <x:v>2979.8716159706937</x:v>
      </x:c>
      <x:c r="H45" s="35" t="n">
        <x:f>Calc!M45*'Unit Map'!$I$14</x:f>
        <x:v>5959.743231941387</x:v>
      </x:c>
      <x:c r="I45" s="35" t="str">
        <x:f>Calc!N45</x:f>
        <x:v>PASS</x:v>
      </x:c>
      <x:c r="J45" s="35" t="str">
        <x:f>IF(C45=MIN($C$6:$C$65),"GOVERNING","")</x:f>
      </x:c>
      <x:c r="K45" s="32" t="str">
        <x:f>Survey!E45</x:f>
        <x:v>survey-039</x:v>
      </x:c>
      <x:c r="L45" s="32"/>
      <x:c r="M45" s="32"/>
      <x:c r="N45" s="32"/>
    </x:row>
    <x:row r="46">
      <x:c r="A46" s="35" t="n">
        <x:f>Calc!A46*'Unit Map'!$I$8</x:f>
        <x:v>3470.6368992</x:v>
      </x:c>
      <x:c r="B46" s="35" t="n">
        <x:f>Calc!G46*'Unit Map'!$I$14</x:f>
        <x:v>895870.7720675812</x:v>
      </x:c>
      <x:c r="C46" s="35" t="n">
        <x:f>Calc!H46*'Unit Map'!$I$14</x:f>
        <x:v>885348.6982656334</x:v>
      </x:c>
      <x:c r="D46" s="35" t="n">
        <x:f>Calc!I46*'Unit Map'!$I$16</x:f>
        <x:v>26002.458276931404</x:v>
      </x:c>
      <x:c r="E46" s="35" t="n">
        <x:f>Calc!J46*'Unit Map'!$I$16</x:f>
        <x:v>26004.916553862808</x:v>
      </x:c>
      <x:c r="F46" s="35" t="n">
        <x:f>Calc!K46*'Unit Map'!$I$16</x:f>
        <x:v>26006.145692328508</x:v>
      </x:c>
      <x:c r="G46" s="35" t="n">
        <x:f>Calc!L46*'Unit Map'!$I$14</x:f>
        <x:v>3240.2265772593487</x:v>
      </x:c>
      <x:c r="H46" s="35" t="n">
        <x:f>Calc!M46*'Unit Map'!$I$14</x:f>
        <x:v>6480.453154518697</x:v>
      </x:c>
      <x:c r="I46" s="35" t="str">
        <x:f>Calc!N46</x:f>
        <x:v>PASS</x:v>
      </x:c>
      <x:c r="J46" s="35" t="str">
        <x:f>IF(C46=MIN($C$6:$C$65),"GOVERNING","")</x:f>
      </x:c>
      <x:c r="K46" s="32" t="str">
        <x:f>Survey!E46</x:f>
        <x:v>survey-040</x:v>
      </x:c>
      <x:c r="L46" s="32"/>
      <x:c r="M46" s="32"/>
      <x:c r="N46" s="32"/>
    </x:row>
    <x:row r="47">
      <x:c r="A47" s="35" t="n">
        <x:f>Calc!A47*'Unit Map'!$I$8</x:f>
        <x:v>3546.6631632</x:v>
      </x:c>
      <x:c r="B47" s="35" t="n">
        <x:f>Calc!G47*'Unit Map'!$I$14</x:f>
        <x:v>912796.2996201845</x:v>
      </x:c>
      <x:c r="C47" s="35" t="n">
        <x:f>Calc!H47*'Unit Map'!$I$14</x:f>
        <x:v>902184.4548048641</x:v>
      </x:c>
      <x:c r="D47" s="35" t="n">
        <x:f>Calc!I47*'Unit Map'!$I$16</x:f>
        <x:v>26002.850229674583</x:v>
      </x:c>
      <x:c r="E47" s="35" t="n">
        <x:f>Calc!J47*'Unit Map'!$I$16</x:f>
        <x:v>26005.700459349162</x:v>
      </x:c>
      <x:c r="F47" s="35" t="n">
        <x:f>Calc!K47*'Unit Map'!$I$16</x:f>
        <x:v>26007.125574186455</x:v>
      </x:c>
      <x:c r="G47" s="35" t="n">
        <x:f>Calc!L47*'Unit Map'!$I$14</x:f>
        <x:v>3477.5866978427607</x:v>
      </x:c>
      <x:c r="H47" s="35" t="n">
        <x:f>Calc!M47*'Unit Map'!$I$14</x:f>
        <x:v>6955.173395685521</x:v>
      </x:c>
      <x:c r="I47" s="35" t="str">
        <x:f>Calc!N47</x:f>
        <x:v>PASS</x:v>
      </x:c>
      <x:c r="J47" s="35" t="str">
        <x:f>IF(C47=MIN($C$6:$C$65),"GOVERNING","")</x:f>
      </x:c>
      <x:c r="K47" s="32" t="str">
        <x:f>Survey!E47</x:f>
        <x:v>survey-041</x:v>
      </x:c>
      <x:c r="L47" s="32"/>
      <x:c r="M47" s="32"/>
      <x:c r="N47" s="32"/>
    </x:row>
    <x:row r="48">
      <x:c r="A48" s="35" t="n">
        <x:f>Calc!A48*'Unit Map'!$I$8</x:f>
        <x:v>3623.3087808</x:v>
      </x:c>
      <x:c r="B48" s="35" t="n">
        <x:f>Calc!G48*'Unit Map'!$I$14</x:f>
        <x:v>929866.6740240534</x:v>
      </x:c>
      <x:c r="C48" s="35" t="n">
        <x:f>Calc!H48*'Unit Map'!$I$14</x:f>
        <x:v>919150.4032984045</x:v>
      </x:c>
      <x:c r="D48" s="35" t="n">
        <x:f>Calc!I48*'Unit Map'!$I$16</x:f>
        <x:v>26003.315522652934</x:v>
      </x:c>
      <x:c r="E48" s="35" t="n">
        <x:f>Calc!J48*'Unit Map'!$I$16</x:f>
        <x:v>26006.63104530587</x:v>
      </x:c>
      <x:c r="F48" s="35" t="n">
        <x:f>Calc!K48*'Unit Map'!$I$16</x:f>
        <x:v>26008.288806632336</x:v>
      </x:c>
      <x:c r="G48" s="35" t="n">
        <x:f>Calc!L48*'Unit Map'!$I$14</x:f>
        <x:v>3735.52973462342</x:v>
      </x:c>
      <x:c r="H48" s="35" t="n">
        <x:f>Calc!M48*'Unit Map'!$I$14</x:f>
        <x:v>7471.05946924684</x:v>
      </x:c>
      <x:c r="I48" s="35" t="str">
        <x:f>Calc!N48</x:f>
        <x:v>PASS</x:v>
      </x:c>
      <x:c r="J48" s="35" t="str">
        <x:f>IF(C48=MIN($C$6:$C$65),"GOVERNING","")</x:f>
      </x:c>
      <x:c r="K48" s="32" t="str">
        <x:f>Survey!E48</x:f>
        <x:v>survey-042</x:v>
      </x:c>
      <x:c r="L48" s="32"/>
      <x:c r="M48" s="32"/>
      <x:c r="N48" s="32"/>
    </x:row>
    <x:row r="49">
      <x:c r="A49" s="35" t="n">
        <x:f>Calc!A49*'Unit Map'!$I$8</x:f>
        <x:v>3700.3805088</x:v>
      </x:c>
      <x:c r="B49" s="35" t="n">
        <x:f>Calc!G49*'Unit Map'!$I$14</x:f>
        <x:v>947040.6817547195</x:v>
      </x:c>
      <x:c r="C49" s="35" t="n">
        <x:f>Calc!H49*'Unit Map'!$I$14</x:f>
        <x:v>936201.9429977234</x:v>
      </x:c>
      <x:c r="D49" s="35" t="n">
        <x:f>Calc!I49*'Unit Map'!$I$16</x:f>
        <x:v>26003.888359995275</x:v>
      </x:c>
      <x:c r="E49" s="35" t="n">
        <x:f>Calc!J49*'Unit Map'!$I$16</x:f>
        <x:v>26007.776719990547</x:v>
      </x:c>
      <x:c r="F49" s="35" t="n">
        <x:f>Calc!K49*'Unit Map'!$I$16</x:f>
        <x:v>26009.720899988184</x:v>
      </x:c>
      <x:c r="G49" s="35" t="n">
        <x:f>Calc!L49*'Unit Map'!$I$14</x:f>
        <x:v>4034.182554764465</x:v>
      </x:c>
      <x:c r="H49" s="35" t="n">
        <x:f>Calc!M49*'Unit Map'!$I$14</x:f>
        <x:v>8068.36510952893</x:v>
      </x:c>
      <x:c r="I49" s="35" t="str">
        <x:f>Calc!N49</x:f>
        <x:v>PASS</x:v>
      </x:c>
      <x:c r="J49" s="35" t="str">
        <x:f>IF(C49=MIN($C$6:$C$65),"GOVERNING","")</x:f>
      </x:c>
      <x:c r="K49" s="32" t="str">
        <x:f>Survey!E49</x:f>
        <x:v>survey-043</x:v>
      </x:c>
      <x:c r="L49" s="32"/>
      <x:c r="M49" s="32"/>
      <x:c r="N49" s="32"/>
    </x:row>
    <x:row r="50">
      <x:c r="A50" s="35" t="n">
        <x:f>Calc!A50*'Unit Map'!$I$8</x:f>
        <x:v>3777.4683912</x:v>
      </x:c>
      <x:c r="B50" s="35" t="n">
        <x:f>Calc!G50*'Unit Map'!$I$14</x:f>
        <x:v>964227.9727141815</x:v>
      </x:c>
      <x:c r="C50" s="35" t="n">
        <x:f>Calc!H50*'Unit Map'!$I$14</x:f>
        <x:v>953247.3732166202</x:v>
      </x:c>
      <x:c r="D50" s="35" t="n">
        <x:f>Calc!I50*'Unit Map'!$I$16</x:f>
        <x:v>26004.50407851295</x:v>
      </x:c>
      <x:c r="E50" s="35" t="n">
        <x:f>Calc!J50*'Unit Map'!$I$16</x:f>
        <x:v>26009.0081570259</x:v>
      </x:c>
      <x:c r="F50" s="35" t="n">
        <x:f>Calc!K50*'Unit Map'!$I$16</x:f>
        <x:v>26011.260196282372</x:v>
      </x:c>
      <x:c r="G50" s="35" t="n">
        <x:f>Calc!L50*'Unit Map'!$I$14</x:f>
        <x:v>4341.399783443597</x:v>
      </x:c>
      <x:c r="H50" s="35" t="n">
        <x:f>Calc!M50*'Unit Map'!$I$14</x:f>
        <x:v>8682.799566887194</x:v>
      </x:c>
      <x:c r="I50" s="35" t="str">
        <x:f>Calc!N50</x:f>
        <x:v>PASS</x:v>
      </x:c>
      <x:c r="J50" s="35" t="str">
        <x:f>IF(C50=MIN($C$6:$C$65),"GOVERNING","")</x:f>
      </x:c>
      <x:c r="K50" s="32" t="str">
        <x:f>Survey!E50</x:f>
        <x:v>survey-044</x:v>
      </x:c>
      <x:c r="L50" s="32"/>
      <x:c r="M50" s="32"/>
      <x:c r="N50" s="32"/>
    </x:row>
    <x:row r="51">
      <x:c r="A51" s="35" t="n">
        <x:f>Calc!A51*'Unit Map'!$I$8</x:f>
        <x:v>3854.1542424</x:v>
      </x:c>
      <x:c r="B51" s="35" t="n">
        <x:f>Calc!G51*'Unit Map'!$I$14</x:f>
        <x:v>981335.4551047519</x:v>
      </x:c>
      <x:c r="C51" s="35" t="n">
        <x:f>Calc!H51*'Unit Map'!$I$14</x:f>
        <x:v>970194.0804175219</x:v>
      </x:c>
      <x:c r="D51" s="35" t="n">
        <x:f>Calc!I51*'Unit Map'!$I$16</x:f>
        <x:v>26005.10461227198</x:v>
      </x:c>
      <x:c r="E51" s="35" t="n">
        <x:f>Calc!J51*'Unit Map'!$I$16</x:f>
        <x:v>26010.209224543964</x:v>
      </x:c>
      <x:c r="F51" s="35" t="n">
        <x:f>Calc!K51*'Unit Map'!$I$16</x:f>
        <x:v>26012.761530679953</x:v>
      </x:c>
      <x:c r="G51" s="35" t="n">
        <x:f>Calc!L51*'Unit Map'!$I$14</x:f>
        <x:v>4633.867599663519</x:v>
      </x:c>
      <x:c r="H51" s="35" t="n">
        <x:f>Calc!M51*'Unit Map'!$I$14</x:f>
        <x:v>9267.735199327039</x:v>
      </x:c>
      <x:c r="I51" s="35" t="str">
        <x:f>Calc!N51</x:f>
        <x:v>PASS</x:v>
      </x:c>
      <x:c r="J51" s="35" t="str">
        <x:f>IF(C51=MIN($C$6:$C$65),"GOVERNING","")</x:f>
      </x:c>
      <x:c r="K51" s="32" t="str">
        <x:f>Survey!E51</x:f>
        <x:v>survey-045</x:v>
      </x:c>
      <x:c r="L51" s="32"/>
      <x:c r="M51" s="32"/>
      <x:c r="N51" s="32"/>
    </x:row>
    <x:row r="52">
      <x:c r="A52" s="35" t="n">
        <x:f>Calc!A52*'Unit Map'!$I$8</x:f>
        <x:v>3930.2240928</x:v>
      </x:c>
      <x:c r="B52" s="35" t="n">
        <x:f>Calc!G52*'Unit Map'!$I$14</x:f>
        <x:v>998314.2641407177</x:v>
      </x:c>
      <x:c r="C52" s="35" t="n">
        <x:f>Calc!H52*'Unit Map'!$I$14</x:f>
        <x:v>986995.911058625</x:v>
      </x:c>
      <x:c r="D52" s="35" t="n">
        <x:f>Calc!I52*'Unit Map'!$I$16</x:f>
        <x:v>26005.619064036895</x:v>
      </x:c>
      <x:c r="E52" s="35" t="n">
        <x:f>Calc!J52*'Unit Map'!$I$16</x:f>
        <x:v>26011.238128073786</x:v>
      </x:c>
      <x:c r="F52" s="35" t="n">
        <x:f>Calc!K52*'Unit Map'!$I$16</x:f>
        <x:v>26014.047660092234</x:v>
      </x:c>
      <x:c r="G52" s="35" t="n">
        <x:f>Calc!L52*'Unit Map'!$I$14</x:f>
        <x:v>4881.413205013298</x:v>
      </x:c>
      <x:c r="H52" s="35" t="n">
        <x:f>Calc!M52*'Unit Map'!$I$14</x:f>
        <x:v>9762.826410026595</x:v>
      </x:c>
      <x:c r="I52" s="35" t="str">
        <x:f>Calc!N52</x:f>
        <x:v>PASS</x:v>
      </x:c>
      <x:c r="J52" s="35" t="str">
        <x:f>IF(C52=MIN($C$6:$C$65),"GOVERNING","")</x:f>
      </x:c>
      <x:c r="K52" s="32" t="str">
        <x:f>Survey!E52</x:f>
        <x:v>survey-046</x:v>
      </x:c>
      <x:c r="L52" s="32"/>
      <x:c r="M52" s="32"/>
      <x:c r="N52" s="32"/>
    </x:row>
    <x:row r="53">
      <x:c r="A53" s="35" t="n">
        <x:f>Calc!A53*'Unit Map'!$I$8</x:f>
        <x:v>4005.779136</x:v>
      </x:c>
      <x:c r="B53" s="35" t="n">
        <x:f>Calc!G53*'Unit Map'!$I$14</x:f>
        <x:v>1015185.3615536197</x:v>
      </x:c>
      <x:c r="C53" s="35" t="n">
        <x:f>Calc!H53*'Unit Map'!$I$14</x:f>
        <x:v>1003676.8408510318</x:v>
      </x:c>
      <x:c r="D53" s="35" t="n">
        <x:f>Calc!I53*'Unit Map'!$I$16</x:f>
        <x:v>26006.037821950726</x:v>
      </x:c>
      <x:c r="E53" s="35" t="n">
        <x:f>Calc!J53*'Unit Map'!$I$16</x:f>
        <x:v>26012.075643901448</x:v>
      </x:c>
      <x:c r="F53" s="35" t="n">
        <x:f>Calc!K53*'Unit Map'!$I$16</x:f>
        <x:v>26015.09455487681</x:v>
      </x:c>
      <x:c r="G53" s="35" t="n">
        <x:f>Calc!L53*'Unit Map'!$I$14</x:f>
        <x:v>5077.246908811857</x:v>
      </x:c>
      <x:c r="H53" s="35" t="n">
        <x:f>Calc!M53*'Unit Map'!$I$14</x:f>
        <x:v>10154.493817623714</x:v>
      </x:c>
      <x:c r="I53" s="35" t="str">
        <x:f>Calc!N53</x:f>
        <x:v>PASS</x:v>
      </x:c>
      <x:c r="J53" s="35" t="str">
        <x:f>IF(C53=MIN($C$6:$C$65),"GOVERNING","")</x:f>
      </x:c>
      <x:c r="K53" s="32" t="str">
        <x:f>Survey!E53</x:f>
        <x:v>survey-047</x:v>
      </x:c>
      <x:c r="L53" s="32"/>
      <x:c r="M53" s="32"/>
      <x:c r="N53" s="32"/>
    </x:row>
    <x:row r="54">
      <x:c r="A54" s="35" t="n">
        <x:f>Calc!A54*'Unit Map'!$I$8</x:f>
        <x:v>4081.1817792</x:v>
      </x:c>
      <x:c r="B54" s="35" t="n">
        <x:f>Calc!G54*'Unit Map'!$I$14</x:f>
        <x:v>1032028.0125999552</x:v>
      </x:c>
      <x:c r="C54" s="35" t="n">
        <x:f>Calc!H54*'Unit Map'!$I$14</x:f>
        <x:v>1020318.5401385546</x:v>
      </x:c>
      <x:c r="D54" s="35" t="n">
        <x:f>Calc!I54*'Unit Map'!$I$16</x:f>
        <x:v>26006.380218342303</x:v>
      </x:c>
      <x:c r="E54" s="35" t="n">
        <x:f>Calc!J54*'Unit Map'!$I$16</x:f>
        <x:v>26012.760436684606</x:v>
      </x:c>
      <x:c r="F54" s="35" t="n">
        <x:f>Calc!K54*'Unit Map'!$I$16</x:f>
        <x:v>26015.950545855758</x:v>
      </x:c>
      <x:c r="G54" s="35" t="n">
        <x:f>Calc!L54*'Unit Map'!$I$14</x:f>
        <x:v>5224.495357305971</x:v>
      </x:c>
      <x:c r="H54" s="35" t="n">
        <x:f>Calc!M54*'Unit Map'!$I$14</x:f>
        <x:v>10448.990714611942</x:v>
      </x:c>
      <x:c r="I54" s="35" t="str">
        <x:f>Calc!N54</x:f>
        <x:v>PASS</x:v>
      </x:c>
      <x:c r="J54" s="35" t="str">
        <x:f>IF(C54=MIN($C$6:$C$65),"GOVERNING","")</x:f>
      </x:c>
      <x:c r="K54" s="32" t="str">
        <x:f>Survey!E54</x:f>
        <x:v>survey-048</x:v>
      </x:c>
      <x:c r="L54" s="32"/>
      <x:c r="M54" s="32"/>
      <x:c r="N54" s="32"/>
    </x:row>
    <x:row r="55">
      <x:c r="A55" s="35" t="n">
        <x:f>Calc!A55*'Unit Map'!$I$8</x:f>
        <x:v>4156.8727632</x:v>
      </x:c>
      <x:c r="B55" s="35" t="n">
        <x:f>Calc!G55*'Unit Map'!$I$14</x:f>
        <x:v>1048939.150757369</x:v>
      </x:c>
      <x:c r="C55" s="35" t="n">
        <x:f>Calc!H55*'Unit Map'!$I$14</x:f>
        <x:v>1037019.7969557836</x:v>
      </x:c>
      <x:c r="D55" s="35" t="n">
        <x:f>Calc!I55*'Unit Map'!$I$16</x:f>
        <x:v>26006.663732550864</x:v>
      </x:c>
      <x:c r="E55" s="35" t="n">
        <x:f>Calc!J55*'Unit Map'!$I$16</x:f>
        <x:v>26013.327465101727</x:v>
      </x:c>
      <x:c r="F55" s="35" t="n">
        <x:f>Calc!K55*'Unit Map'!$I$16</x:f>
        <x:v>26016.659331377163</x:v>
      </x:c>
      <x:c r="G55" s="35" t="n">
        <x:f>Calc!L55*'Unit Map'!$I$14</x:f>
        <x:v>5329.133078724494</x:v>
      </x:c>
      <x:c r="H55" s="35" t="n">
        <x:f>Calc!M55*'Unit Map'!$I$14</x:f>
        <x:v>10658.266157448988</x:v>
      </x:c>
      <x:c r="I55" s="35" t="str">
        <x:f>Calc!N55</x:f>
        <x:v>PASS</x:v>
      </x:c>
      <x:c r="J55" s="35" t="str">
        <x:f>IF(C55=MIN($C$6:$C$65),"GOVERNING","")</x:f>
      </x:c>
      <x:c r="K55" s="32" t="str">
        <x:f>Survey!E55</x:f>
        <x:v>survey-049</x:v>
      </x:c>
      <x:c r="L55" s="32"/>
      <x:c r="M55" s="32"/>
      <x:c r="N55" s="32"/>
    </x:row>
    <x:row r="56">
      <x:c r="A56" s="35" t="n">
        <x:f>Calc!A56*'Unit Map'!$I$8</x:f>
        <x:v>4233.1456104</x:v>
      </x:c>
      <x:c r="B56" s="35" t="n">
        <x:f>Calc!G56*'Unit Map'!$I$14</x:f>
        <x:v>1065983.2590436984</x:v>
      </x:c>
      <x:c r="C56" s="35" t="n">
        <x:f>Calc!H56*'Unit Map'!$I$14</x:f>
        <x:v>1053846.4739392952</x:v>
      </x:c>
      <x:c r="D56" s="35" t="n">
        <x:f>Calc!I56*'Unit Map'!$I$16</x:f>
        <x:v>26006.903443864474</x:v>
      </x:c>
      <x:c r="E56" s="35" t="n">
        <x:f>Calc!J56*'Unit Map'!$I$16</x:f>
        <x:v>26013.806887728948</x:v>
      </x:c>
      <x:c r="F56" s="35" t="n">
        <x:f>Calc!K56*'Unit Map'!$I$16</x:f>
        <x:v>26017.258609661185</x:v>
      </x:c>
      <x:c r="G56" s="35" t="n">
        <x:f>Calc!L56*'Unit Map'!$I$14</x:f>
        <x:v>5403.408250563843</x:v>
      </x:c>
      <x:c r="H56" s="35" t="n">
        <x:f>Calc!M56*'Unit Map'!$I$14</x:f>
        <x:v>10806.816501127685</x:v>
      </x:c>
      <x:c r="I56" s="35" t="str">
        <x:f>Calc!N56</x:f>
        <x:v>PASS</x:v>
      </x:c>
      <x:c r="J56" s="35" t="str">
        <x:f>IF(C56=MIN($C$6:$C$65),"GOVERNING","")</x:f>
      </x:c>
      <x:c r="K56" s="32" t="str">
        <x:f>Survey!E56</x:f>
        <x:v>survey-050</x:v>
      </x:c>
      <x:c r="L56" s="32"/>
      <x:c r="M56" s="32"/>
      <x:c r="N56" s="32"/>
    </x:row>
    <x:row r="57">
      <x:c r="A57" s="35" t="n">
        <x:f>Calc!A57*'Unit Map'!$I$8</x:f>
        <x:v>4309.9975776</x:v>
      </x:c>
      <x:c r="B57" s="35" t="n">
        <x:f>Calc!G57*'Unit Map'!$I$14</x:f>
        <x:v>1083158.5300937633</x:v>
      </x:c>
      <x:c r="C57" s="35" t="n">
        <x:f>Calc!H57*'Unit Map'!$I$14</x:f>
        <x:v>1070799.1602705836</x:v>
      </x:c>
      <x:c r="D57" s="35" t="n">
        <x:f>Calc!I57*'Unit Map'!$I$16</x:f>
        <x:v>26007.067064821153</x:v>
      </x:c>
      <x:c r="E57" s="35" t="n">
        <x:f>Calc!J57*'Unit Map'!$I$16</x:f>
        <x:v>26014.1341296423</x:v>
      </x:c>
      <x:c r="F57" s="35" t="n">
        <x:f>Calc!K57*'Unit Map'!$I$16</x:f>
        <x:v>26017.667662052878</x:v>
      </x:c>
      <x:c r="G57" s="35" t="n">
        <x:f>Calc!L57*'Unit Map'!$I$14</x:f>
        <x:v>5446.429733762008</x:v>
      </x:c>
      <x:c r="H57" s="35" t="n">
        <x:f>Calc!M57*'Unit Map'!$I$14</x:f>
        <x:v>10892.859467524017</x:v>
      </x:c>
      <x:c r="I57" s="35" t="str">
        <x:f>Calc!N57</x:f>
        <x:v>PASS</x:v>
      </x:c>
      <x:c r="J57" s="35" t="str">
        <x:f>IF(C57=MIN($C$6:$C$65),"GOVERNING","")</x:f>
      </x:c>
      <x:c r="K57" s="32" t="str">
        <x:f>Survey!E57</x:f>
        <x:v>survey-051</x:v>
      </x:c>
      <x:c r="L57" s="32"/>
      <x:c r="M57" s="32"/>
      <x:c r="N57" s="32"/>
    </x:row>
    <x:row r="58">
      <x:c r="A58" s="35" t="n">
        <x:f>Calc!A58*'Unit Map'!$I$8</x:f>
        <x:v>4387.1302656</x:v>
      </x:c>
      <x:c r="B58" s="35" t="n">
        <x:f>Calc!G58*'Unit Map'!$I$14</x:f>
        <x:v>1100397.3144771114</x:v>
      </x:c>
      <x:c r="C58" s="35" t="n">
        <x:f>Calc!H58*'Unit Map'!$I$14</x:f>
        <x:v>1087812.9940658004</x:v>
      </x:c>
      <x:c r="D58" s="35" t="n">
        <x:f>Calc!I58*'Unit Map'!$I$16</x:f>
        <x:v>26007.142181173174</x:v>
      </x:c>
      <x:c r="E58" s="35" t="n">
        <x:f>Calc!J58*'Unit Map'!$I$16</x:f>
        <x:v>26014.28436234635</x:v>
      </x:c>
      <x:c r="F58" s="35" t="n">
        <x:f>Calc!K58*'Unit Map'!$I$16</x:f>
        <x:v>26017.855452932938</x:v>
      </x:c>
      <x:c r="G58" s="35" t="n">
        <x:f>Calc!L58*'Unit Map'!$I$14</x:f>
        <x:v>5465.325847757959</x:v>
      </x:c>
      <x:c r="H58" s="35" t="n">
        <x:f>Calc!M58*'Unit Map'!$I$14</x:f>
        <x:v>10930.651695515919</x:v>
      </x:c>
      <x:c r="I58" s="35" t="str">
        <x:f>Calc!N58</x:f>
        <x:v>PASS</x:v>
      </x:c>
      <x:c r="J58" s="35" t="str">
        <x:f>IF(C58=MIN($C$6:$C$65),"GOVERNING","")</x:f>
      </x:c>
      <x:c r="K58" s="32" t="str">
        <x:f>Survey!E58</x:f>
        <x:v>survey-052</x:v>
      </x:c>
      <x:c r="L58" s="32"/>
      <x:c r="M58" s="32"/>
      <x:c r="N58" s="32"/>
    </x:row>
    <x:row r="59">
      <x:c r="A59" s="35" t="n">
        <x:f>Calc!A59*'Unit Map'!$I$8</x:f>
        <x:v>4464.1026288</x:v>
      </x:c>
      <x:c r="B59" s="35" t="n">
        <x:f>Calc!G59*'Unit Map'!$I$14</x:f>
        <x:v>1117600.1657298983</x:v>
      </x:c>
      <x:c r="C59" s="35" t="n">
        <x:f>Calc!H59*'Unit Map'!$I$14</x:f>
        <x:v>1104791.564922813</x:v>
      </x:c>
      <x:c r="D59" s="35" t="n">
        <x:f>Calc!I59*'Unit Map'!$I$16</x:f>
        <x:v>26007.12090256583</x:v>
      </x:c>
      <x:c r="E59" s="35" t="n">
        <x:f>Calc!J59*'Unit Map'!$I$16</x:f>
        <x:v>26014.241805131667</x:v>
      </x:c>
      <x:c r="F59" s="35" t="n">
        <x:f>Calc!K59*'Unit Map'!$I$16</x:f>
        <x:v>26017.802256414583</x:v>
      </x:c>
      <x:c r="G59" s="35" t="n">
        <x:f>Calc!L59*'Unit Map'!$I$14</x:f>
        <x:v>5462.8587766814835</x:v>
      </x:c>
      <x:c r="H59" s="35" t="n">
        <x:f>Calc!M59*'Unit Map'!$I$14</x:f>
        <x:v>10925.717553362967</x:v>
      </x:c>
      <x:c r="I59" s="35" t="str">
        <x:f>Calc!N59</x:f>
        <x:v>PASS</x:v>
      </x:c>
      <x:c r="J59" s="35" t="str">
        <x:f>IF(C59=MIN($C$6:$C$65),"GOVERNING","")</x:f>
      </x:c>
      <x:c r="K59" s="32" t="str">
        <x:f>Survey!E59</x:f>
        <x:v>survey-053</x:v>
      </x:c>
      <x:c r="L59" s="32"/>
      <x:c r="M59" s="32"/>
      <x:c r="N59" s="32"/>
    </x:row>
    <x:row r="60">
      <x:c r="A60" s="35" t="n">
        <x:f>Calc!A60*'Unit Map'!$I$8</x:f>
        <x:v>4540.555308</x:v>
      </x:c>
      <x:c r="B60" s="35" t="n">
        <x:f>Calc!G60*'Unit Map'!$I$14</x:f>
        <x:v>1134686.2127898713</x:v>
      </x:c>
      <x:c r="C60" s="35" t="n">
        <x:f>Calc!H60*'Unit Map'!$I$14</x:f>
        <x:v>1121656.1618409925</x:v>
      </x:c>
      <x:c r="D60" s="35" t="n">
        <x:f>Calc!I60*'Unit Map'!$I$16</x:f>
        <x:v>26007.03104200195</x:v>
      </x:c>
      <x:c r="E60" s="35" t="n">
        <x:f>Calc!J60*'Unit Map'!$I$16</x:f>
        <x:v>26014.0620840039</x:v>
      </x:c>
      <x:c r="F60" s="35" t="n">
        <x:f>Calc!K60*'Unit Map'!$I$16</x:f>
        <x:v>26017.577605004877</x:v>
      </x:c>
      <x:c r="G60" s="35" t="n">
        <x:f>Calc!L60*'Unit Map'!$I$14</x:f>
        <x:v>5446.698722331982</x:v>
      </x:c>
      <x:c r="H60" s="35" t="n">
        <x:f>Calc!M60*'Unit Map'!$I$14</x:f>
        <x:v>10893.397444663964</x:v>
      </x:c>
      <x:c r="I60" s="35" t="str">
        <x:f>Calc!N60</x:f>
        <x:v>PASS</x:v>
      </x:c>
      <x:c r="J60" s="35" t="str">
        <x:f>IF(C60=MIN($C$6:$C$65),"GOVERNING","")</x:f>
      </x:c>
      <x:c r="K60" s="32" t="str">
        <x:f>Survey!E60</x:f>
        <x:v>survey-054</x:v>
      </x:c>
      <x:c r="L60" s="32"/>
      <x:c r="M60" s="32"/>
      <x:c r="N60" s="32"/>
    </x:row>
    <x:row r="61">
      <x:c r="A61" s="35" t="n">
        <x:f>Calc!A61*'Unit Map'!$I$8</x:f>
        <x:v>4616.3935104</x:v>
      </x:c>
      <x:c r="B61" s="35" t="n">
        <x:f>Calc!G61*'Unit Map'!$I$14</x:f>
        <x:v>1151633.8485513218</x:v>
      </x:c>
      <x:c r="C61" s="35" t="n">
        <x:f>Calc!H61*'Unit Map'!$I$14</x:f>
        <x:v>1138386.296912006</x:v>
      </x:c>
      <x:c r="D61" s="35" t="n">
        <x:f>Calc!I61*'Unit Map'!$I$16</x:f>
        <x:v>26006.905646921376</x:v>
      </x:c>
      <x:c r="E61" s="35" t="n">
        <x:f>Calc!J61*'Unit Map'!$I$16</x:f>
        <x:v>26013.81129384275</x:v>
      </x:c>
      <x:c r="F61" s="35" t="n">
        <x:f>Calc!K61*'Unit Map'!$I$16</x:f>
        <x:v>26017.26411730344</x:v>
      </x:c>
      <x:c r="G61" s="35" t="n">
        <x:f>Calc!L61*'Unit Map'!$I$14</x:f>
        <x:v>5419.734744567189</x:v>
      </x:c>
      <x:c r="H61" s="35" t="n">
        <x:f>Calc!M61*'Unit Map'!$I$14</x:f>
        <x:v>10839.469489134379</x:v>
      </x:c>
      <x:c r="I61" s="35" t="str">
        <x:f>Calc!N61</x:f>
        <x:v>PASS</x:v>
      </x:c>
      <x:c r="J61" s="35" t="str">
        <x:f>IF(C61=MIN($C$6:$C$65),"GOVERNING","")</x:f>
      </x:c>
      <x:c r="K61" s="32" t="str">
        <x:f>Survey!E61</x:f>
        <x:v>survey-055</x:v>
      </x:c>
      <x:c r="L61" s="32"/>
      <x:c r="M61" s="32"/>
      <x:c r="N61" s="32"/>
    </x:row>
    <x:row r="62">
      <x:c r="A62" s="35" t="n">
        <x:f>Calc!A62*'Unit Map'!$I$8</x:f>
        <x:v>4691.8360824</x:v>
      </x:c>
      <x:c r="B62" s="35" t="n">
        <x:f>Calc!G62*'Unit Map'!$I$14</x:f>
        <x:v>1168491.854524314</x:v>
      </x:c>
      <x:c r="C62" s="35" t="n">
        <x:f>Calc!H62*'Unit Map'!$I$14</x:f>
        <x:v>1155030.372613192</x:v>
      </x:c>
      <x:c r="D62" s="35" t="n">
        <x:f>Calc!I62*'Unit Map'!$I$16</x:f>
        <x:v>26006.79228612985</x:v>
      </x:c>
      <x:c r="E62" s="35" t="n">
        <x:f>Calc!J62*'Unit Map'!$I$16</x:f>
        <x:v>26013.584572259704</x:v>
      </x:c>
      <x:c r="F62" s="35" t="n">
        <x:f>Calc!K62*'Unit Map'!$I$16</x:f>
        <x:v>26016.98071532463</x:v>
      </x:c>
      <x:c r="G62" s="35" t="n">
        <x:f>Calc!L62*'Unit Map'!$I$14</x:f>
        <x:v>5389.141729174255</x:v>
      </x:c>
      <x:c r="H62" s="35" t="n">
        <x:f>Calc!M62*'Unit Map'!$I$14</x:f>
        <x:v>10778.28345834851</x:v>
      </x:c>
      <x:c r="I62" s="35" t="str">
        <x:f>Calc!N62</x:f>
        <x:v>PASS</x:v>
      </x:c>
      <x:c r="J62" s="35" t="str">
        <x:f>IF(C62=MIN($C$6:$C$65),"GOVERNING","")</x:f>
      </x:c>
      <x:c r="K62" s="32" t="str">
        <x:f>Survey!E62</x:f>
        <x:v>survey-056</x:v>
      </x:c>
      <x:c r="L62" s="32"/>
      <x:c r="M62" s="32"/>
      <x:c r="N62" s="32"/>
    </x:row>
    <x:row r="63">
      <x:c r="A63" s="35" t="n">
        <x:f>Calc!A63*'Unit Map'!$I$8</x:f>
        <x:v>4767.3027336000005</x:v>
      </x:c>
      <x:c r="B63" s="35" t="n">
        <x:f>Calc!G63*'Unit Map'!$I$14</x:f>
        <x:v>1185354.175272814</x:v>
      </x:c>
      <x:c r="C63" s="35" t="n">
        <x:f>Calc!H63*'Unit Map'!$I$14</x:f>
        <x:v>1171680.8264845596</x:v>
      </x:c>
      <x:c r="D63" s="35" t="n">
        <x:f>Calc!I63*'Unit Map'!$I$16</x:f>
        <x:v>26006.726773348957</x:v>
      </x:c>
      <x:c r="E63" s="35" t="n">
        <x:f>Calc!J63*'Unit Map'!$I$16</x:f>
        <x:v>26013.45354669791</x:v>
      </x:c>
      <x:c r="F63" s="35" t="n">
        <x:f>Calc!K63*'Unit Map'!$I$16</x:f>
        <x:v>26016.81693337239</x:v>
      </x:c>
      <x:c r="G63" s="35" t="n">
        <x:f>Calc!L63*'Unit Map'!$I$14</x:f>
        <x:v>5362.233481314568</x:v>
      </x:c>
      <x:c r="H63" s="35" t="n">
        <x:f>Calc!M63*'Unit Map'!$I$14</x:f>
        <x:v>10724.466962629136</x:v>
      </x:c>
      <x:c r="I63" s="35" t="str">
        <x:f>Calc!N63</x:f>
        <x:v>PASS</x:v>
      </x:c>
      <x:c r="J63" s="35" t="str">
        <x:f>IF(C63=MIN($C$6:$C$65),"GOVERNING","")</x:f>
      </x:c>
      <x:c r="K63" s="32" t="str">
        <x:f>Survey!E63</x:f>
        <x:v>survey-057</x:v>
      </x:c>
      <x:c r="L63" s="32"/>
      <x:c r="M63" s="32"/>
      <x:c r="N63" s="32"/>
    </x:row>
    <x:row r="64">
      <x:c r="A64" s="35" t="n">
        <x:f>Calc!A64*'Unit Map'!$I$8</x:f>
        <x:v>4843.2018960000005</x:v>
      </x:c>
      <x:c r="B64" s="35" t="n">
        <x:f>Calc!G64*'Unit Map'!$I$14</x:f>
        <x:v>1202312.5490238403</x:v>
      </x:c>
      <x:c r="C64" s="35" t="n">
        <x:f>Calc!H64*'Unit Map'!$I$14</x:f>
        <x:v>1188427.2943145775</x:v>
      </x:c>
      <x:c r="D64" s="35" t="n">
        <x:f>Calc!I64*'Unit Map'!$I$16</x:f>
        <x:v>26006.728012992015</x:v>
      </x:c>
      <x:c r="E64" s="35" t="n">
        <x:f>Calc!J64*'Unit Map'!$I$16</x:f>
        <x:v>26013.456025984033</x:v>
      </x:c>
      <x:c r="F64" s="35" t="n">
        <x:f>Calc!K64*'Unit Map'!$I$16</x:f>
        <x:v>26016.82003248004</x:v>
      </x:c>
      <x:c r="G64" s="35" t="n">
        <x:f>Calc!L64*'Unit Map'!$I$14</x:f>
        <x:v>5347.425972648599</x:v>
      </x:c>
      <x:c r="H64" s="35" t="n">
        <x:f>Calc!M64*'Unit Map'!$I$14</x:f>
        <x:v>10694.851945297198</x:v>
      </x:c>
      <x:c r="I64" s="35" t="str">
        <x:f>Calc!N64</x:f>
        <x:v>PASS</x:v>
      </x:c>
      <x:c r="J64" s="35" t="str">
        <x:f>IF(C64=MIN($C$6:$C$65),"GOVERNING","")</x:f>
      </x:c>
      <x:c r="K64" s="32" t="str">
        <x:f>Survey!E64</x:f>
        <x:v>survey-058</x:v>
      </x:c>
      <x:c r="L64" s="32"/>
      <x:c r="M64" s="32"/>
      <x:c r="N64" s="32"/>
    </x:row>
    <x:row r="65">
      <x:c r="A65" s="35" t="n">
        <x:f>Calc!A65*'Unit Map'!$I$8</x:f>
        <x:v>4919.7207168</x:v>
      </x:c>
      <x:c r="B65" s="35" t="n">
        <x:f>Calc!G65*'Unit Map'!$I$14</x:f>
        <x:v>1219409.4015843999</x:v>
      </x:c>
      <x:c r="C65" s="35" t="n">
        <x:f>Calc!H65*'Unit Map'!$I$14</x:f>
        <x:v>1205310.4574943804</x:v>
      </x:c>
      <x:c r="D65" s="35" t="n">
        <x:f>Calc!I65*'Unit Map'!$I$16</x:f>
        <x:v>26006.784637839017</x:v>
      </x:c>
      <x:c r="E65" s="35" t="n">
        <x:f>Calc!J65*'Unit Map'!$I$16</x:f>
        <x:v>26013.569275678037</x:v>
      </x:c>
      <x:c r="F65" s="35" t="n">
        <x:f>Calc!K65*'Unit Map'!$I$16</x:f>
        <x:v>26016.961594597546</x:v>
      </x:c>
      <x:c r="G65" s="35" t="n">
        <x:f>Calc!L65*'Unit Map'!$I$14</x:f>
        <x:v>5348.094378791932</x:v>
      </x:c>
      <x:c r="H65" s="35" t="n">
        <x:f>Calc!M65*'Unit Map'!$I$14</x:f>
        <x:v>10696.188757583865</x:v>
      </x:c>
      <x:c r="I65" s="35" t="str">
        <x:f>Calc!N65</x:f>
        <x:v>PASS</x:v>
      </x:c>
      <x:c r="J65" s="35" t="str">
        <x:f>IF(C65=MIN($C$6:$C$65),"GOVERNING","")</x:f>
      </x:c>
      <x:c r="K65" s="32" t="str">
        <x:f>Survey!E65</x:f>
        <x:v>survey-059</x:v>
      </x:c>
      <x:c r="L65" s="32"/>
      <x:c r="M65" s="32"/>
      <x:c r="N65" s="32"/>
    </x:row>
  </x:sheetData>
  <x:mergeCells>
    <x:mergeCell ref="A1:N1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Graphs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2" t="str">
        <x:f>"MD "&amp;'Unit Map'!$H$8</x:f>
        <x:v>MD m</x:v>
      </x:c>
      <x:c r="B3" s="32" t="str">
        <x:f>"POOH "&amp;'Unit Map'!$H$14</x:f>
        <x:v>POOH N</x:v>
      </x:c>
      <x:c r="C3" s="32" t="str">
        <x:f>"RIH "&amp;'Unit Map'!$H$14</x:f>
        <x:v>RIH N</x:v>
      </x:c>
      <x:c r="D3" s="32" t="str">
        <x:f>"Rotate torque "&amp;'Unit Map'!$H$16</x:f>
        <x:v>Rotate torque N-m</x:v>
      </x:c>
      <x:c r="E3" s="32" t="str">
        <x:f>"MD "&amp;'Unit Map'!$H$8</x:f>
        <x:v>MD m</x:v>
      </x:c>
      <x:c r="F3" s="32" t="str">
        <x:f>"Rotate torque "&amp;'Unit Map'!$H$16</x:f>
        <x:v>Rotate torque N-m</x:v>
      </x:c>
      <x:c r="G3" s="32"/>
      <x:c r="H3" s="32"/>
      <x:c r="I3" s="32"/>
      <x:c r="J3" s="32"/>
      <x:c r="K3" s="32"/>
      <x:c r="L3" s="32"/>
      <x:c r="M3" s="32"/>
      <x:c r="N3" s="32"/>
    </x:row>
    <x:row r="4">
      <x:c r="A4" s="32" t="n">
        <x:f>Results!A6</x:f>
        <x:v>0</x:v>
      </x:c>
      <x:c r="B4" s="32" t="n">
        <x:f>Results!B6</x:f>
        <x:v>120000</x:v>
      </x:c>
      <x:c r="C4" s="32" t="n">
        <x:f>Results!C6</x:f>
        <x:v>120000</x:v>
      </x:c>
      <x:c r="D4" s="32" t="n">
        <x:f>Results!E6</x:f>
        <x:v>26000</x:v>
      </x:c>
      <x:c r="E4" s="32" t="n">
        <x:f>Results!A6</x:f>
        <x:v>0</x:v>
      </x:c>
      <x:c r="F4" s="32" t="n">
        <x:f>Results!E6</x:f>
        <x:v>26000</x:v>
      </x:c>
      <x:c r="G4" s="32"/>
      <x:c r="H4" s="32"/>
      <x:c r="I4" s="32"/>
      <x:c r="J4" s="32"/>
      <x:c r="K4" s="32"/>
      <x:c r="L4" s="32"/>
      <x:c r="M4" s="32"/>
      <x:c r="N4" s="32"/>
    </x:row>
    <x:row r="5">
      <x:c r="A5" s="32" t="n">
        <x:f>Results!A7</x:f>
        <x:v>155.10875760000002</x:v>
      </x:c>
      <x:c r="B5" s="32" t="n">
        <x:f>Results!B7</x:f>
        <x:v>154510.13539941903</x:v>
      </x:c>
      <x:c r="C5" s="32" t="n">
        <x:f>Results!C7</x:f>
        <x:v>154369.6247643189</x:v>
      </x:c>
      <x:c r="D5" s="32" t="n">
        <x:f>Results!E7</x:f>
        <x:v>26008.922425328856</x:v>
      </x:c>
      <x:c r="E5" s="32" t="n">
        <x:f>Results!A7</x:f>
        <x:v>155.10875760000002</x:v>
      </x:c>
      <x:c r="F5" s="32" t="n">
        <x:f>Results!E7</x:f>
        <x:v>26008.922425328856</x:v>
      </x:c>
      <x:c r="G5" s="32"/>
      <x:c r="H5" s="32"/>
      <x:c r="I5" s="32"/>
      <x:c r="J5" s="32"/>
      <x:c r="K5" s="32"/>
      <x:c r="L5" s="32"/>
      <x:c r="M5" s="32"/>
      <x:c r="N5" s="32"/>
    </x:row>
    <x:row r="6">
      <x:c r="A6" s="32" t="n">
        <x:f>Results!A8</x:f>
        <x:v>307.974492</x:v>
      </x:c>
      <x:c r="B6" s="32" t="n">
        <x:f>Results!B8</x:f>
        <x:v>188467.9142173173</x:v>
      </x:c>
      <x:c r="C6" s="32" t="n">
        <x:f>Results!C8</x:f>
        <x:v>188295.53791614895</x:v>
      </x:c>
      <x:c r="D6" s="32" t="n">
        <x:f>Results!E8</x:f>
        <x:v>26002.02346979533</x:v>
      </x:c>
      <x:c r="E6" s="32" t="n">
        <x:f>Results!A8</x:f>
        <x:v>307.974492</x:v>
      </x:c>
      <x:c r="F6" s="32" t="n">
        <x:f>Results!E8</x:f>
        <x:v>26002.02346979533</x:v>
      </x:c>
      <x:c r="G6" s="32"/>
      <x:c r="H6" s="32"/>
      <x:c r="I6" s="32"/>
      <x:c r="J6" s="32"/>
      <x:c r="K6" s="32"/>
      <x:c r="L6" s="32"/>
      <x:c r="M6" s="32"/>
      <x:c r="N6" s="32"/>
    </x:row>
    <x:row r="7">
      <x:c r="A7" s="32" t="n">
        <x:f>Results!A9</x:f>
        <x:v>460.2227016</x:v>
      </x:c>
      <x:c r="B7" s="32" t="n">
        <x:f>Results!B9</x:f>
        <x:v>222294.45447042436</x:v>
      </x:c>
      <x:c r="C7" s="32" t="n">
        <x:f>Results!C9</x:f>
        <x:v>222078.4629496525</x:v>
      </x:c>
      <x:c r="D7" s="32" t="n">
        <x:f>Results!E9</x:f>
        <x:v>26002.769566444822</x:v>
      </x:c>
      <x:c r="E7" s="32" t="n">
        <x:f>Results!A9</x:f>
        <x:v>460.2227016</x:v>
      </x:c>
      <x:c r="F7" s="32" t="n">
        <x:f>Results!E9</x:f>
        <x:v>26002.769566444822</x:v>
      </x:c>
      <x:c r="G7" s="32"/>
      <x:c r="H7" s="32"/>
      <x:c r="I7" s="32"/>
      <x:c r="J7" s="32"/>
      <x:c r="K7" s="32"/>
      <x:c r="L7" s="32"/>
      <x:c r="M7" s="32"/>
      <x:c r="N7" s="32"/>
    </x:row>
    <x:row r="8">
      <x:c r="A8" s="32" t="n">
        <x:f>Results!A10</x:f>
        <x:v>611.9649432</x:v>
      </x:c>
      <x:c r="B8" s="32" t="n">
        <x:f>Results!B10</x:f>
        <x:v>256016.06229413615</x:v>
      </x:c>
      <x:c r="C8" s="32" t="n">
        <x:f>Results!C10</x:f>
        <x:v>255741.63319933537</x:v>
      </x:c>
      <x:c r="D8" s="32" t="n">
        <x:f>Results!E10</x:f>
        <x:v>26003.710785950836</x:v>
      </x:c>
      <x:c r="E8" s="32" t="n">
        <x:f>Results!A10</x:f>
        <x:v>611.9649432</x:v>
      </x:c>
      <x:c r="F8" s="32" t="n">
        <x:f>Results!E10</x:f>
        <x:v>26003.710785950836</x:v>
      </x:c>
      <x:c r="G8" s="32"/>
      <x:c r="H8" s="32"/>
      <x:c r="I8" s="32"/>
      <x:c r="J8" s="32"/>
      <x:c r="K8" s="32"/>
      <x:c r="L8" s="32"/>
      <x:c r="M8" s="32"/>
      <x:c r="N8" s="32"/>
    </x:row>
    <x:row r="9">
      <x:c r="A9" s="32" t="n">
        <x:f>Results!A11</x:f>
        <x:v>763.5706344</x:v>
      </x:c>
      <x:c r="B9" s="32" t="n">
        <x:f>Results!B11</x:f>
        <x:v>289718.4655474009</x:v>
      </x:c>
      <x:c r="C9" s="32" t="n">
        <x:f>Results!C11</x:f>
        <x:v>289363.3695426456</x:v>
      </x:c>
      <x:c r="D9" s="32" t="n">
        <x:f>Results!E11</x:f>
        <x:v>26005.12234878211</x:v>
      </x:c>
      <x:c r="E9" s="32" t="n">
        <x:f>Results!A11</x:f>
        <x:v>763.5706344</x:v>
      </x:c>
      <x:c r="F9" s="32" t="n">
        <x:f>Results!E11</x:f>
        <x:v>26005.12234878211</x:v>
      </x:c>
      <x:c r="G9" s="32"/>
      <x:c r="H9" s="32"/>
      <x:c r="I9" s="32"/>
      <x:c r="J9" s="32"/>
      <x:c r="K9" s="32"/>
      <x:c r="L9" s="32"/>
      <x:c r="M9" s="32"/>
      <x:c r="N9" s="32"/>
    </x:row>
    <x:row r="10">
      <x:c r="A10" s="32" t="n">
        <x:f>Results!A12</x:f>
        <x:v>915.4786872000001</x:v>
      </x:c>
      <x:c r="B10" s="32" t="n">
        <x:f>Results!B12</x:f>
        <x:v>323457.1728441087</x:v>
      </x:c>
      <x:c r="C10" s="32" t="n">
        <x:f>Results!C12</x:f>
        <x:v>323083.07275547064</x:v>
      </x:c>
      <x:c r="D10" s="32" t="n">
        <x:f>Results!E12</x:f>
        <x:v>26001.206759326556</x:v>
      </x:c>
      <x:c r="E10" s="32" t="n">
        <x:f>Results!A12</x:f>
        <x:v>915.4786872000001</x:v>
      </x:c>
      <x:c r="F10" s="32" t="n">
        <x:f>Results!E12</x:f>
        <x:v>26001.206759326556</x:v>
      </x:c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 t="n">
        <x:f>Results!A13</x:f>
        <x:v>1067.9740896</x:v>
      </x:c>
      <x:c r="B11" s="32" t="n">
        <x:f>Results!B13</x:f>
        <x:v>357344.30678427016</x:v>
      </x:c>
      <x:c r="C11" s="32" t="n">
        <x:f>Results!C13</x:f>
        <x:v>356915.17598741263</x:v>
      </x:c>
      <x:c r="D11" s="32" t="n">
        <x:f>Results!E13</x:f>
        <x:v>26003.49444997194</x:v>
      </x:c>
      <x:c r="E11" s="32" t="n">
        <x:f>Results!A13</x:f>
        <x:v>1067.9740896</x:v>
      </x:c>
      <x:c r="F11" s="32" t="n">
        <x:f>Results!E13</x:f>
        <x:v>26003.49444997194</x:v>
      </x:c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 t="n">
        <x:f>Results!A14</x:f>
        <x:v>1221.042516</x:v>
      </x:c>
      <x:c r="B12" s="32" t="n">
        <x:f>Results!B14</x:f>
        <x:v>391345.68470615847</x:v>
      </x:c>
      <x:c r="C12" s="32" t="n">
        <x:f>Results!C14</x:f>
        <x:v>390887.50027428183</x:v>
      </x:c>
      <x:c r="D12" s="32" t="n">
        <x:f>Results!E14</x:f>
        <x:v>26001.844905823713</x:v>
      </x:c>
      <x:c r="E12" s="32" t="n">
        <x:f>Results!A14</x:f>
        <x:v>1221.042516</x:v>
      </x:c>
      <x:c r="F12" s="32" t="n">
        <x:f>Results!E14</x:f>
        <x:v>26001.844905823713</x:v>
      </x:c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 t="n">
        <x:f>Results!A15</x:f>
        <x:v>1374.3773376000001</x:v>
      </x:c>
      <x:c r="B13" s="32" t="n">
        <x:f>Results!B15</x:f>
        <x:v>425428.63075766864</x:v>
      </x:c>
      <x:c r="C13" s="32" t="n">
        <x:f>Results!C15</x:f>
        <x:v>424896.5556028249</x:v>
      </x:c>
      <x:c r="D13" s="32" t="n">
        <x:f>Results!E15</x:f>
        <x:v>26004.692060908415</x:v>
      </x:c>
      <x:c r="E13" s="32" t="n">
        <x:f>Results!A15</x:f>
        <x:v>1374.3773376000001</x:v>
      </x:c>
      <x:c r="F13" s="32" t="n">
        <x:f>Results!E15</x:f>
        <x:v>26004.692060908415</x:v>
      </x:c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2" t="n">
        <x:f>Results!A16</x:f>
        <x:v>1527.5362896000001</x:v>
      </x:c>
      <x:c r="B14" s="32" t="n">
        <x:f>Results!B16</x:f>
        <x:v>459438.75162258657</x:v>
      </x:c>
      <x:c r="C14" s="32" t="n">
        <x:f>Results!C16</x:f>
        <x:v>458900.33700830623</x:v>
      </x:c>
      <x:c r="D14" s="32" t="n">
        <x:f>Results!E16</x:f>
        <x:v>26000.402555674227</x:v>
      </x:c>
      <x:c r="E14" s="32" t="n">
        <x:f>Results!A16</x:f>
        <x:v>1527.5362896000001</x:v>
      </x:c>
      <x:c r="F14" s="32" t="n">
        <x:f>Results!E16</x:f>
        <x:v>26000.402555674227</x:v>
      </x:c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32" t="n">
        <x:f>Results!A17</x:f>
        <x:v>1565.8667184</x:v>
      </x:c>
      <x:c r="B15" s="32" t="n">
        <x:f>Results!B17</x:f>
        <x:v>468349.8132751307</x:v>
      </x:c>
      <x:c r="C15" s="32" t="n">
        <x:f>Results!C17</x:f>
        <x:v>467010.8206480392</x:v>
      </x:c>
      <x:c r="D15" s="32" t="n">
        <x:f>Results!E17</x:f>
        <x:v>26050.836703813504</x:v>
      </x:c>
      <x:c r="E15" s="32" t="n">
        <x:f>Results!A17</x:f>
        <x:v>1565.8667184</x:v>
      </x:c>
      <x:c r="F15" s="32" t="n">
        <x:f>Results!E17</x:f>
        <x:v>26050.836703813504</x:v>
      </x:c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2" t="n">
        <x:f>Results!A18</x:f>
        <x:v>1603.5857184000001</x:v>
      </x:c>
      <x:c r="B16" s="32" t="n">
        <x:f>Results!B18</x:f>
        <x:v>477086.71589363687</x:v>
      </x:c>
      <x:c r="C16" s="32" t="n">
        <x:f>Results!C18</x:f>
        <x:v>475023.9437135505</x:v>
      </x:c>
      <x:c r="D16" s="32" t="n">
        <x:f>Results!E18</x:f>
        <x:v>26045.960001615174</x:v>
      </x:c>
      <x:c r="E16" s="32" t="n">
        <x:f>Results!A18</x:f>
        <x:v>1603.5857184000001</x:v>
      </x:c>
      <x:c r="F16" s="32" t="n">
        <x:f>Results!E18</x:f>
        <x:v>26045.960001615174</x:v>
      </x:c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2" t="n">
        <x:f>Results!A19</x:f>
        <x:v>1640.9209752000002</x:v>
      </x:c>
      <x:c r="B17" s="32" t="n">
        <x:f>Results!B19</x:f>
        <x:v>485707.09476391843</x:v>
      </x:c>
      <x:c r="C17" s="32" t="n">
        <x:f>Results!C19</x:f>
        <x:v>482983.18016497383</x:v>
      </x:c>
      <x:c r="D17" s="32" t="n">
        <x:f>Results!E19</x:f>
        <x:v>26041.982543597504</x:v>
      </x:c>
      <x:c r="E17" s="32" t="n">
        <x:f>Results!A19</x:f>
        <x:v>1640.9209752000002</x:v>
      </x:c>
      <x:c r="F17" s="32" t="n">
        <x:f>Results!E19</x:f>
        <x:v>26041.982543597504</x:v>
      </x:c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2" t="n">
        <x:f>Results!A20</x:f>
        <x:v>1678.2970752</x:v>
      </x:c>
      <x:c r="B18" s="32" t="n">
        <x:f>Results!B20</x:f>
        <x:v>494320.8872486618</x:v>
      </x:c>
      <x:c r="C18" s="32" t="n">
        <x:f>Results!C20</x:f>
        <x:v>490967.14040348405</x:v>
      </x:c>
      <x:c r="D18" s="32" t="n">
        <x:f>Results!E20</x:f>
        <x:v>26039.994347635806</x:v>
      </x:c>
      <x:c r="E18" s="32" t="n">
        <x:f>Results!A20</x:f>
        <x:v>1678.2970752</x:v>
      </x:c>
      <x:c r="F18" s="32" t="n">
        <x:f>Results!E20</x:f>
        <x:v>26039.994347635806</x:v>
      </x:c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 t="n">
        <x:f>Results!A21</x:f>
        <x:v>1716.1166592000002</x:v>
      </x:c>
      <x:c r="B19" s="32" t="n">
        <x:f>Results!B21</x:f>
        <x:v>503044.30107654614</x:v>
      </x:c>
      <x:c r="C19" s="32" t="n">
        <x:f>Results!C21</x:f>
        <x:v>499038.4189947745</x:v>
      </x:c>
      <x:c r="D19" s="32" t="n">
        <x:f>Results!E21</x:f>
        <x:v>26041.410587523715</x:v>
      </x:c>
      <x:c r="E19" s="32" t="n">
        <x:f>Results!A21</x:f>
        <x:v>1716.1166592000002</x:v>
      </x:c>
      <x:c r="F19" s="32" t="n">
        <x:f>Results!E21</x:f>
        <x:v>26041.410587523715</x:v>
      </x:c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2" t="n">
        <x:f>Results!A22</x:f>
        <x:v>1754.5571208000001</x:v>
      </x:c>
      <x:c r="B20" s="32" t="n">
        <x:f>Results!B22</x:f>
        <x:v>511938.37316616287</x:v>
      </x:c>
      <x:c r="C20" s="32" t="n">
        <x:f>Results!C22</x:f>
        <x:v>507214.75489862217</x:v>
      </x:c>
      <x:c r="D20" s="32" t="n">
        <x:f>Results!E22</x:f>
        <x:v>26045.576247796333</x:v>
      </x:c>
      <x:c r="E20" s="32" t="n">
        <x:f>Results!A22</x:f>
        <x:v>1754.5571208000001</x:v>
      </x:c>
      <x:c r="F20" s="32" t="n">
        <x:f>Results!E22</x:f>
        <x:v>26045.576247796333</x:v>
      </x:c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2" t="n">
        <x:f>Results!A23</x:f>
        <x:v>1793.4788616</x:v>
      </x:c>
      <x:c r="B21" s="32" t="n">
        <x:f>Results!B23</x:f>
        <x:v>520975.0329266632</x:v>
      </x:c>
      <x:c r="C21" s="32" t="n">
        <x:f>Results!C23</x:f>
        <x:v>515462.2266916272</x:v>
      </x:c>
      <x:c r="D21" s="32" t="n">
        <x:f>Results!E23</x:f>
        <x:v>26050.113435935953</x:v>
      </x:c>
      <x:c r="E21" s="32" t="n">
        <x:f>Results!A23</x:f>
        <x:v>1793.4788616</x:v>
      </x:c>
      <x:c r="F21" s="32" t="n">
        <x:f>Results!E23</x:f>
        <x:v>26050.113435935953</x:v>
      </x:c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2" t="n">
        <x:f>Results!A24</x:f>
        <x:v>1832.4975288000003</x:v>
      </x:c>
      <x:c r="B22" s="32" t="n">
        <x:f>Results!B24</x:f>
        <x:v>530050.028756666</x:v>
      </x:c>
      <x:c r="C22" s="32" t="n">
        <x:f>Results!C24</x:f>
        <x:v>523714.4049053724</x:v>
      </x:c>
      <x:c r="D22" s="32" t="n">
        <x:f>Results!E24</x:f>
        <x:v>26052.248918632355</x:v>
      </x:c>
      <x:c r="E22" s="32" t="n">
        <x:f>Results!A24</x:f>
        <x:v>1832.4975288000003</x:v>
      </x:c>
      <x:c r="F22" s="32" t="n">
        <x:f>Results!E24</x:f>
        <x:v>26052.248918632355</x:v>
      </x:c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2" t="n">
        <x:f>Results!A25</x:f>
        <x:v>1871.1787824</x:v>
      </x:c>
      <x:c r="B23" s="32" t="n">
        <x:f>Results!B25</x:f>
        <x:v>539037.0019643743</x:v>
      </x:c>
      <x:c r="C23" s="32" t="n">
        <x:f>Results!C25</x:f>
        <x:v>531904.7691480203</x:v>
      </x:c>
      <x:c r="D23" s="32" t="n">
        <x:f>Results!E25</x:f>
        <x:v>26050.584669281336</x:v>
      </x:c>
      <x:c r="E23" s="32" t="n">
        <x:f>Results!A25</x:f>
        <x:v>1871.1787824</x:v>
      </x:c>
      <x:c r="F23" s="32" t="n">
        <x:f>Results!E25</x:f>
        <x:v>26050.584669281336</x:v>
      </x:c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32" t="n">
        <x:f>Results!A26</x:f>
        <x:v>1947.3607992000002</x:v>
      </x:c>
      <x:c r="B24" s="32" t="n">
        <x:f>Results!B26</x:f>
        <x:v>556218.7098983912</x:v>
      </x:c>
      <x:c r="C24" s="32" t="n">
        <x:f>Results!C26</x:f>
        <x:v>548553.5110684601</x:v>
      </x:c>
      <x:c r="D24" s="32" t="n">
        <x:f>Results!E26</x:f>
        <x:v>26033.84334186215</x:v>
      </x:c>
      <x:c r="E24" s="32" t="n">
        <x:f>Results!A26</x:f>
        <x:v>1947.3607992000002</x:v>
      </x:c>
      <x:c r="F24" s="32" t="n">
        <x:f>Results!E26</x:f>
        <x:v>26033.84334186215</x:v>
      </x:c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32" t="n">
        <x:f>Results!A27</x:f>
        <x:v>2022.9868608</x:v>
      </x:c>
      <x:c r="B25" s="32" t="n">
        <x:f>Results!B27</x:f>
        <x:v>573178.0120435266</x:v>
      </x:c>
      <x:c r="C25" s="32" t="n">
        <x:f>Results!C27</x:f>
        <x:v>565177.7735507294</x:v>
      </x:c>
      <x:c r="D25" s="32" t="n">
        <x:f>Results!E27</x:f>
        <x:v>26021.275018591994</x:v>
      </x:c>
      <x:c r="E25" s="32" t="n">
        <x:f>Results!A27</x:f>
        <x:v>2022.9868608</x:v>
      </x:c>
      <x:c r="F25" s="32" t="n">
        <x:f>Results!E27</x:f>
        <x:v>26021.275018591994</x:v>
      </x:c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32" t="n">
        <x:f>Results!A28</x:f>
        <x:v>2098.3837128</x:v>
      </x:c>
      <x:c r="B26" s="32" t="n">
        <x:f>Results!B28</x:f>
        <x:v>590079.5868524231</x:v>
      </x:c>
      <x:c r="C26" s="32" t="n">
        <x:f>Results!C28</x:f>
        <x:v>581757.977354576</x:v>
      </x:c>
      <x:c r="D26" s="32" t="n">
        <x:f>Results!E28</x:f>
        <x:v>26020.407058820667</x:v>
      </x:c>
      <x:c r="E26" s="32" t="n">
        <x:f>Results!A28</x:f>
        <x:v>2098.3837128</x:v>
      </x:c>
      <x:c r="F26" s="32" t="n">
        <x:f>Results!E28</x:f>
        <x:v>26020.407058820667</x:v>
      </x:c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32" t="n">
        <x:f>Results!A29</x:f>
        <x:v>2173.9945344000002</x:v>
      </x:c>
      <x:c r="B27" s="32" t="n">
        <x:f>Results!B29</x:f>
        <x:v>607020.0895864788</x:v>
      </x:c>
      <x:c r="C27" s="32" t="n">
        <x:f>Results!C29</x:f>
        <x:v>598394.2715607802</x:v>
      </x:c>
      <x:c r="D27" s="32" t="n">
        <x:f>Results!E29</x:f>
        <x:v>26019.31724151856</x:v>
      </x:c>
      <x:c r="E27" s="32" t="n">
        <x:f>Results!A29</x:f>
        <x:v>2173.9945344000002</x:v>
      </x:c>
      <x:c r="F27" s="32" t="n">
        <x:f>Results!E29</x:f>
        <x:v>26019.31724151856</x:v>
      </x:c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2" t="n">
        <x:f>Results!A30</x:f>
        <x:v>2250.1543008</x:v>
      </x:c>
      <x:c r="B28" s="32" t="n">
        <x:f>Results!B30</x:f>
        <x:v>624072.1267373553</x:v>
      </x:c>
      <x:c r="C28" s="32" t="n">
        <x:f>Results!C30</x:f>
        <x:v>615162.8034411283</x:v>
      </x:c>
      <x:c r="D28" s="32" t="n">
        <x:f>Results!E30</x:f>
        <x:v>26018.002584678557</x:v>
      </x:c>
      <x:c r="E28" s="32" t="n">
        <x:f>Results!A30</x:f>
        <x:v>2250.1543008</x:v>
      </x:c>
      <x:c r="F28" s="32" t="n">
        <x:f>Results!E30</x:f>
        <x:v>26018.002584678557</x:v>
      </x:c>
      <x:c r="G28" s="32"/>
      <x:c r="H28" s="32"/>
      <x:c r="I28" s="32"/>
      <x:c r="J28" s="32"/>
      <x:c r="K28" s="32"/>
      <x:c r="L28" s="32"/>
      <x:c r="M28" s="32"/>
      <x:c r="N28" s="32"/>
    </x:row>
    <x:row r="29">
      <x:c r="A29" s="32" t="n">
        <x:f>Results!A31</x:f>
        <x:v>2326.9172664000002</x:v>
      </x:c>
      <x:c r="B29" s="32" t="n">
        <x:f>Results!B31</x:f>
        <x:v>641245.7493002525</x:v>
      </x:c>
      <x:c r="C29" s="32" t="n">
        <x:f>Results!C31</x:f>
        <x:v>632077.6149666572</x:v>
      </x:c>
      <x:c r="D29" s="32" t="n">
        <x:f>Results!E31</x:f>
        <x:v>26016.43450087289</x:v>
      </x:c>
      <x:c r="E29" s="32" t="n">
        <x:f>Results!A31</x:f>
        <x:v>2326.9172664000002</x:v>
      </x:c>
      <x:c r="F29" s="32" t="n">
        <x:f>Results!E31</x:f>
        <x:v>26016.43450087289</x:v>
      </x:c>
      <x:c r="G29" s="32"/>
      <x:c r="H29" s="32"/>
      <x:c r="I29" s="32"/>
      <x:c r="J29" s="32"/>
      <x:c r="K29" s="32"/>
      <x:c r="L29" s="32"/>
      <x:c r="M29" s="32"/>
      <x:c r="N29" s="32"/>
    </x:row>
    <x:row r="30">
      <x:c r="A30" s="32" t="n">
        <x:f>Results!A32</x:f>
        <x:v>2404.030752</x:v>
      </x:c>
      <x:c r="B30" s="32" t="n">
        <x:f>Results!B32</x:f>
        <x:v>658482.8943766345</x:v>
      </x:c>
      <x:c r="C30" s="32" t="n">
        <x:f>Results!C32</x:f>
        <x:v>649084.5607830377</x:v>
      </x:c>
      <x:c r="D30" s="32" t="n">
        <x:f>Results!E32</x:f>
        <x:v>26014.617653010104</x:v>
      </x:c>
      <x:c r="E30" s="32" t="n">
        <x:f>Results!A32</x:f>
        <x:v>2404.030752</x:v>
      </x:c>
      <x:c r="F30" s="32" t="n">
        <x:f>Results!E32</x:f>
        <x:v>26014.617653010104</x:v>
      </x:c>
      <x:c r="G30" s="32"/>
      <x:c r="H30" s="32"/>
      <x:c r="I30" s="32"/>
      <x:c r="J30" s="32"/>
      <x:c r="K30" s="32"/>
      <x:c r="L30" s="32"/>
      <x:c r="M30" s="32"/>
      <x:c r="N30" s="32"/>
    </x:row>
    <x:row r="31">
      <x:c r="A31" s="32" t="n">
        <x:f>Results!A33</x:f>
        <x:v>2481.0637704</x:v>
      </x:c>
      <x:c r="B31" s="32" t="n">
        <x:f>Results!B33</x:f>
        <x:v>675686.2595691354</x:v>
      </x:c>
      <x:c r="C31" s="32" t="n">
        <x:f>Results!C33</x:f>
        <x:v>666089.5530951733</x:v>
      </x:c>
      <x:c r="D31" s="32" t="n">
        <x:f>Results!E33</x:f>
        <x:v>26012.596677903195</x:v>
      </x:c>
      <x:c r="E31" s="32" t="n">
        <x:f>Results!A33</x:f>
        <x:v>2481.0637704</x:v>
      </x:c>
      <x:c r="F31" s="32" t="n">
        <x:f>Results!E33</x:f>
        <x:v>26012.596677903195</x:v>
      </x:c>
      <x:c r="G31" s="32"/>
      <x:c r="H31" s="32"/>
      <x:c r="I31" s="32"/>
      <x:c r="J31" s="32"/>
      <x:c r="K31" s="32"/>
      <x:c r="L31" s="32"/>
      <x:c r="M31" s="32"/>
      <x:c r="N31" s="32"/>
    </x:row>
    <x:row r="32">
      <x:c r="A32" s="32" t="n">
        <x:f>Results!A34</x:f>
        <x:v>2557.6252632</x:v>
      </x:c>
      <x:c r="B32" s="32" t="n">
        <x:f>Results!B34</x:f>
        <x:v>692768.7105823595</x:v>
      </x:c>
      <x:c r="C32" s="32" t="n">
        <x:f>Results!C34</x:f>
        <x:v>683006.0673463177</x:v>
      </x:c>
      <x:c r="D32" s="32" t="n">
        <x:f>Results!E34</x:f>
        <x:v>26010.536984392053</x:v>
      </x:c>
      <x:c r="E32" s="32" t="n">
        <x:f>Results!A34</x:f>
        <x:v>2557.6252632</x:v>
      </x:c>
      <x:c r="F32" s="32" t="n">
        <x:f>Results!E34</x:f>
        <x:v>26010.536984392053</x:v>
      </x:c>
      <x:c r="G32" s="32"/>
      <x:c r="H32" s="32"/>
      <x:c r="I32" s="32"/>
      <x:c r="J32" s="32"/>
      <x:c r="K32" s="32"/>
      <x:c r="L32" s="32"/>
      <x:c r="M32" s="32"/>
      <x:c r="N32" s="32"/>
    </x:row>
    <x:row r="33">
      <x:c r="A33" s="32" t="n">
        <x:f>Results!A35</x:f>
        <x:v>2633.5658784</x:v>
      </x:c>
      <x:c r="B33" s="32" t="n">
        <x:f>Results!B35</x:f>
        <x:v>709697.6280845449</x:v>
      </x:c>
      <x:c r="C33" s="32" t="n">
        <x:f>Results!C35</x:f>
        <x:v>699800.3995342111</x:v>
      </x:c>
      <x:c r="D33" s="32" t="n">
        <x:f>Results!E35</x:f>
        <x:v>26008.54616745755</x:v>
      </x:c>
      <x:c r="E33" s="32" t="n">
        <x:f>Results!A35</x:f>
        <x:v>2633.5658784</x:v>
      </x:c>
      <x:c r="F33" s="32" t="n">
        <x:f>Results!E35</x:f>
        <x:v>26008.54616745755</x:v>
      </x:c>
      <x:c r="G33" s="32"/>
      <x:c r="H33" s="32"/>
      <x:c r="I33" s="32"/>
      <x:c r="J33" s="32"/>
      <x:c r="K33" s="32"/>
      <x:c r="L33" s="32"/>
      <x:c r="M33" s="32"/>
      <x:c r="N33" s="32"/>
    </x:row>
    <x:row r="34">
      <x:c r="A34" s="32" t="n">
        <x:f>Results!A36</x:f>
        <x:v>2709.0514272</x:v>
      </x:c>
      <x:c r="B34" s="32" t="n">
        <x:f>Results!B36</x:f>
        <x:v>726511.6770373742</x:v>
      </x:c>
      <x:c r="C34" s="32" t="n">
        <x:f>Results!C36</x:f>
        <x:v>716507.5171333092</x:v>
      </x:c>
      <x:c r="D34" s="32" t="n">
        <x:f>Results!E36</x:f>
        <x:v>26006.790140961944</x:v>
      </x:c>
      <x:c r="E34" s="32" t="n">
        <x:f>Results!A36</x:f>
        <x:v>2709.0514272</x:v>
      </x:c>
      <x:c r="F34" s="32" t="n">
        <x:f>Results!E36</x:f>
        <x:v>26006.790140961944</x:v>
      </x:c>
      <x:c r="G34" s="32"/>
      <x:c r="H34" s="32"/>
      <x:c r="I34" s="32"/>
      <x:c r="J34" s="32"/>
      <x:c r="K34" s="32"/>
      <x:c r="L34" s="32"/>
      <x:c r="M34" s="32"/>
      <x:c r="N34" s="32"/>
    </x:row>
    <x:row r="35">
      <x:c r="A35" s="32" t="n">
        <x:f>Results!A37</x:f>
        <x:v>2784.480588</x:v>
      </x:c>
      <x:c r="B35" s="32" t="n">
        <x:f>Results!B37</x:f>
        <x:v>743301.7566949244</x:v>
      </x:c>
      <x:c r="C35" s="32" t="n">
        <x:f>Results!C37</x:f>
        <x:v>733213.5635852496</x:v>
      </x:c>
      <x:c r="D35" s="32" t="n">
        <x:f>Results!E37</x:f>
        <x:v>26005.336108556217</x:v>
      </x:c>
      <x:c r="E35" s="32" t="n">
        <x:f>Results!A37</x:f>
        <x:v>2784.480588</x:v>
      </x:c>
      <x:c r="F35" s="32" t="n">
        <x:f>Results!E37</x:f>
        <x:v>26005.336108556217</x:v>
      </x:c>
      <x:c r="G35" s="32"/>
      <x:c r="H35" s="32"/>
      <x:c r="I35" s="32"/>
      <x:c r="J35" s="32"/>
      <x:c r="K35" s="32"/>
      <x:c r="L35" s="32"/>
      <x:c r="M35" s="32"/>
      <x:c r="N35" s="32"/>
    </x:row>
    <x:row r="36">
      <x:c r="A36" s="32" t="n">
        <x:f>Results!A38</x:f>
        <x:v>2860.2800807999997</x:v>
      </x:c>
      <x:c r="B36" s="32" t="n">
        <x:f>Results!B38</x:f>
        <x:v>760164.9276528626</x:v>
      </x:c>
      <x:c r="C36" s="32" t="n">
        <x:f>Results!C38</x:f>
        <x:v>750010.9735344269</x:v>
      </x:c>
      <x:c r="D36" s="32" t="n">
        <x:f>Results!E38</x:f>
        <x:v>26004.17582405631</x:v>
      </x:c>
      <x:c r="E36" s="32" t="n">
        <x:f>Results!A38</x:f>
        <x:v>2860.2800807999997</x:v>
      </x:c>
      <x:c r="F36" s="32" t="n">
        <x:f>Results!E38</x:f>
        <x:v>26004.17582405631</x:v>
      </x:c>
      <x:c r="G36" s="32"/>
      <x:c r="H36" s="32"/>
      <x:c r="I36" s="32"/>
      <x:c r="J36" s="32"/>
      <x:c r="K36" s="32"/>
      <x:c r="L36" s="32"/>
      <x:c r="M36" s="32"/>
      <x:c r="N36" s="32"/>
    </x:row>
    <x:row r="37">
      <x:c r="A37" s="32" t="n">
        <x:f>Results!A39</x:f>
        <x:v>2936.688564</x:v>
      </x:c>
      <x:c r="B37" s="32" t="n">
        <x:f>Results!B39</x:f>
        <x:v>777155.6787109898</x:v>
      </x:c>
      <x:c r="C37" s="32" t="n">
        <x:f>Results!C39</x:f>
        <x:v>766951.240161732</x:v>
      </x:c>
      <x:c r="D37" s="32" t="n">
        <x:f>Results!E39</x:f>
        <x:v>26003.2057613572</x:v>
      </x:c>
      <x:c r="E37" s="32" t="n">
        <x:f>Results!A39</x:f>
        <x:v>2936.688564</x:v>
      </x:c>
      <x:c r="F37" s="32" t="n">
        <x:f>Results!E39</x:f>
        <x:v>26003.2057613572</x:v>
      </x:c>
      <x:c r="G37" s="32"/>
      <x:c r="H37" s="32"/>
      <x:c r="I37" s="32"/>
      <x:c r="J37" s="32"/>
      <x:c r="K37" s="32"/>
      <x:c r="L37" s="32"/>
      <x:c r="M37" s="32"/>
      <x:c r="N37" s="32"/>
    </x:row>
    <x:row r="38">
      <x:c r="A38" s="32" t="n">
        <x:f>Results!A40</x:f>
        <x:v>3013.6334952</x:v>
      </x:c>
      <x:c r="B38" s="32" t="n">
        <x:f>Results!B40</x:f>
        <x:v>794258.6529676841</x:v>
      </x:c>
      <x:c r="C38" s="32" t="n">
        <x:f>Results!C40</x:f>
        <x:v>784017.5061779759</x:v>
      </x:c>
      <x:c r="D38" s="32" t="n">
        <x:f>Results!E40</x:f>
        <x:v>26002.330973268596</x:v>
      </x:c>
      <x:c r="E38" s="32" t="n">
        <x:f>Results!A40</x:f>
        <x:v>3013.6334952</x:v>
      </x:c>
      <x:c r="F38" s="32" t="n">
        <x:f>Results!E40</x:f>
        <x:v>26002.330973268596</x:v>
      </x:c>
      <x:c r="G38" s="32"/>
      <x:c r="H38" s="32"/>
      <x:c r="I38" s="32"/>
      <x:c r="J38" s="32"/>
      <x:c r="K38" s="32"/>
      <x:c r="L38" s="32"/>
      <x:c r="M38" s="32"/>
      <x:c r="N38" s="32"/>
    </x:row>
    <x:row r="39">
      <x:c r="A39" s="32" t="n">
        <x:f>Results!A41</x:f>
        <x:v>3090.7698408</x:v>
      </x:c>
      <x:c r="B39" s="32" t="n">
        <x:f>Results!B41</x:f>
        <x:v>811398.364236773</x:v>
      </x:c>
      <x:c r="C39" s="32" t="n">
        <x:f>Results!C41</x:f>
        <x:v>801132.0373323669</x:v>
      </x:c>
      <x:c r="D39" s="32" t="n">
        <x:f>Results!E41</x:f>
        <x:v>26001.59893728332</x:v>
      </x:c>
      <x:c r="E39" s="32" t="n">
        <x:f>Results!A41</x:f>
        <x:v>3090.7698408</x:v>
      </x:c>
      <x:c r="F39" s="32" t="n">
        <x:f>Results!E41</x:f>
        <x:v>26001.59893728332</x:v>
      </x:c>
      <x:c r="G39" s="32"/>
      <x:c r="H39" s="32"/>
      <x:c r="I39" s="32"/>
      <x:c r="J39" s="32"/>
      <x:c r="K39" s="32"/>
      <x:c r="L39" s="32"/>
      <x:c r="M39" s="32"/>
      <x:c r="N39" s="32"/>
    </x:row>
    <x:row r="40">
      <x:c r="A40" s="32" t="str">
        <x:f>"MD "&amp;'Unit Map'!$H$8</x:f>
        <x:v>MD m</x:v>
      </x:c>
      <x:c r="B40" s="32" t="str">
        <x:f>"Sinusoidal limit "&amp;'Unit Map'!$H$14</x:f>
        <x:v>Sinusoidal limit N</x:v>
      </x:c>
      <x:c r="C40" s="32" t="str">
        <x:f>"Helical limit "&amp;'Unit Map'!$H$14</x:f>
        <x:v>Helical limit N</x:v>
      </x:c>
      <x:c r="D40" s="32" t="str">
        <x:f>"RIH axial "&amp;'Unit Map'!$H$14</x:f>
        <x:v>RIH axial N</x:v>
      </x:c>
      <x:c r="E40" s="32" t="n">
        <x:f>Results!A42</x:f>
        <x:v>3167.6544215999998</x:v>
      </x:c>
      <x:c r="F40" s="32" t="n">
        <x:f>Results!E42</x:f>
        <x:v>26001.566115479778</x:v>
      </x:c>
      <x:c r="G40" s="32"/>
      <x:c r="H40" s="32"/>
      <x:c r="I40" s="32"/>
      <x:c r="J40" s="32"/>
      <x:c r="K40" s="32"/>
      <x:c r="L40" s="32"/>
      <x:c r="M40" s="32"/>
      <x:c r="N40" s="32"/>
    </x:row>
    <x:row r="41">
      <x:c r="A41" s="32" t="n">
        <x:f>Results!A6</x:f>
        <x:v>0</x:v>
      </x:c>
      <x:c r="B41" s="32" t="n">
        <x:f>Results!G6</x:f>
        <x:v>0</x:v>
      </x:c>
      <x:c r="C41" s="32" t="n">
        <x:f>Results!H6</x:f>
        <x:v>0</x:v>
      </x:c>
      <x:c r="D41" s="32" t="n">
        <x:f>Results!C6</x:f>
        <x:v>120000</x:v>
      </x:c>
      <x:c r="E41" s="32" t="n">
        <x:f>Results!A43</x:f>
        <x:v>3243.9723792</x:v>
      </x:c>
      <x:c r="F41" s="32" t="n">
        <x:f>Results!E43</x:f>
        <x:v>26002.327542905805</x:v>
      </x:c>
      <x:c r="G41" s="32"/>
      <x:c r="H41" s="32"/>
      <x:c r="I41" s="32"/>
      <x:c r="J41" s="32"/>
      <x:c r="K41" s="32"/>
      <x:c r="L41" s="32"/>
      <x:c r="M41" s="32"/>
      <x:c r="N41" s="32"/>
    </x:row>
    <x:row r="42">
      <x:c r="A42" s="32" t="n">
        <x:f>Results!A7</x:f>
        <x:v>155.10875760000002</x:v>
      </x:c>
      <x:c r="B42" s="32" t="n">
        <x:f>Results!G7</x:f>
        <x:v>3045.9878423456744</x:v>
      </x:c>
      <x:c r="C42" s="32" t="n">
        <x:f>Results!H7</x:f>
        <x:v>6091.975684691349</x:v>
      </x:c>
      <x:c r="D42" s="32" t="n">
        <x:f>Results!C7</x:f>
        <x:v>154369.6247643189</x:v>
      </x:c>
      <x:c r="E42" s="32" t="n">
        <x:f>Results!A44</x:f>
        <x:v>3319.6978056000003</x:v>
      </x:c>
      <x:c r="F42" s="32" t="n">
        <x:f>Results!E44</x:f>
        <x:v>26003.27817969412</x:v>
      </x:c>
      <x:c r="G42" s="32"/>
      <x:c r="H42" s="32"/>
      <x:c r="I42" s="32"/>
      <x:c r="J42" s="32"/>
      <x:c r="K42" s="32"/>
      <x:c r="L42" s="32"/>
      <x:c r="M42" s="32"/>
      <x:c r="N42" s="32"/>
    </x:row>
    <x:row r="43">
      <x:c r="A43" s="32" t="n">
        <x:f>Results!A8</x:f>
        <x:v>307.974492</x:v>
      </x:c>
      <x:c r="B43" s="32" t="n">
        <x:f>Results!G8</x:f>
        <x:v>1461.161274893059</x:v>
      </x:c>
      <x:c r="C43" s="32" t="n">
        <x:f>Results!H8</x:f>
        <x:v>2922.322549786118</x:v>
      </x:c>
      <x:c r="D43" s="32" t="n">
        <x:f>Results!C8</x:f>
        <x:v>188295.53791614895</x:v>
      </x:c>
      <x:c r="E43" s="32" t="n">
        <x:f>Results!A45</x:f>
        <x:v>3395.1068496000003</x:v>
      </x:c>
      <x:c r="F43" s="32" t="n">
        <x:f>Results!E45</x:f>
        <x:v>26004.15153605139</x:v>
      </x:c>
      <x:c r="G43" s="32"/>
      <x:c r="H43" s="32"/>
      <x:c r="I43" s="32"/>
      <x:c r="J43" s="32"/>
      <x:c r="K43" s="32"/>
      <x:c r="L43" s="32"/>
      <x:c r="M43" s="32"/>
      <x:c r="N43" s="32"/>
    </x:row>
    <x:row r="44">
      <x:c r="A44" s="32" t="n">
        <x:f>Results!A9</x:f>
        <x:v>460.2227016</x:v>
      </x:c>
      <x:c r="B44" s="32" t="n">
        <x:f>Results!G9</x:f>
        <x:v>1712.910460216405</x:v>
      </x:c>
      <x:c r="C44" s="32" t="n">
        <x:f>Results!H9</x:f>
        <x:v>3425.82092043281</x:v>
      </x:c>
      <x:c r="D44" s="32" t="n">
        <x:f>Results!C9</x:f>
        <x:v>222078.4629496525</x:v>
      </x:c>
      <x:c r="E44" s="32" t="n">
        <x:f>Results!A46</x:f>
        <x:v>3470.6368992</x:v>
      </x:c>
      <x:c r="F44" s="32" t="n">
        <x:f>Results!E46</x:f>
        <x:v>26004.916553862808</x:v>
      </x:c>
      <x:c r="G44" s="32"/>
      <x:c r="H44" s="32"/>
      <x:c r="I44" s="32"/>
      <x:c r="J44" s="32"/>
      <x:c r="K44" s="32"/>
      <x:c r="L44" s="32"/>
      <x:c r="M44" s="32"/>
      <x:c r="N44" s="32"/>
    </x:row>
    <x:row r="45">
      <x:c r="A45" s="32" t="n">
        <x:f>Results!A10</x:f>
        <x:v>611.9649432</x:v>
      </x:c>
      <x:c r="B45" s="32" t="n">
        <x:f>Results!G10</x:f>
        <x:v>1986.0243471491665</x:v>
      </x:c>
      <x:c r="C45" s="32" t="n">
        <x:f>Results!H10</x:f>
        <x:v>3972.048694298333</x:v>
      </x:c>
      <x:c r="D45" s="32" t="n">
        <x:f>Results!C10</x:f>
        <x:v>255741.63319933537</x:v>
      </x:c>
      <x:c r="E45" s="32" t="n">
        <x:f>Results!A47</x:f>
        <x:v>3546.6631632</x:v>
      </x:c>
      <x:c r="F45" s="32" t="n">
        <x:f>Results!E47</x:f>
        <x:v>26005.700459349162</x:v>
      </x:c>
      <x:c r="G45" s="32"/>
      <x:c r="H45" s="32"/>
      <x:c r="I45" s="32"/>
      <x:c r="J45" s="32"/>
      <x:c r="K45" s="32"/>
      <x:c r="L45" s="32"/>
      <x:c r="M45" s="32"/>
      <x:c r="N45" s="32"/>
    </x:row>
    <x:row r="46">
      <x:c r="A46" s="32" t="n">
        <x:f>Results!A11</x:f>
        <x:v>763.5706344</x:v>
      </x:c>
      <x:c r="B46" s="32" t="n">
        <x:f>Results!G11</x:f>
        <x:v>2334.434457092405</x:v>
      </x:c>
      <x:c r="C46" s="32" t="n">
        <x:f>Results!H11</x:f>
        <x:v>4668.86891418481</x:v>
      </x:c>
      <x:c r="D46" s="32" t="n">
        <x:f>Results!C11</x:f>
        <x:v>289363.3695426456</x:v>
      </x:c>
      <x:c r="E46" s="32" t="n">
        <x:f>Results!A48</x:f>
        <x:v>3623.3087808</x:v>
      </x:c>
      <x:c r="F46" s="32" t="n">
        <x:f>Results!E48</x:f>
        <x:v>26006.63104530587</x:v>
      </x:c>
      <x:c r="G46" s="32"/>
      <x:c r="H46" s="32"/>
      <x:c r="I46" s="32"/>
      <x:c r="J46" s="32"/>
      <x:c r="K46" s="32"/>
      <x:c r="L46" s="32"/>
      <x:c r="M46" s="32"/>
      <x:c r="N46" s="32"/>
    </x:row>
    <x:row r="47">
      <x:c r="A47" s="32" t="n">
        <x:f>Results!A12</x:f>
        <x:v>915.4786872000001</x:v>
      </x:c>
      <x:c r="B47" s="32" t="n">
        <x:f>Results!G12</x:f>
        <x:v>1131.943624491696</x:v>
      </x:c>
      <x:c r="C47" s="32" t="n">
        <x:f>Results!H12</x:f>
        <x:v>2263.887248983392</x:v>
      </x:c>
      <x:c r="D47" s="32" t="n">
        <x:f>Results!C12</x:f>
        <x:v>323083.07275547064</x:v>
      </x:c>
      <x:c r="E47" s="32" t="n">
        <x:f>Results!A49</x:f>
        <x:v>3700.3805088</x:v>
      </x:c>
      <x:c r="F47" s="32" t="n">
        <x:f>Results!E49</x:f>
        <x:v>26007.776719990547</x:v>
      </x:c>
      <x:c r="G47" s="32"/>
      <x:c r="H47" s="32"/>
      <x:c r="I47" s="32"/>
      <x:c r="J47" s="32"/>
      <x:c r="K47" s="32"/>
      <x:c r="L47" s="32"/>
      <x:c r="M47" s="32"/>
      <x:c r="N47" s="32"/>
    </x:row>
    <x:row r="48">
      <x:c r="A48" s="32" t="n">
        <x:f>Results!A13</x:f>
        <x:v>1067.9740896</x:v>
      </x:c>
      <x:c r="B48" s="32" t="n">
        <x:f>Results!G13</x:f>
        <x:v>1922.4980265136417</x:v>
      </x:c>
      <x:c r="C48" s="32" t="n">
        <x:f>Results!H13</x:f>
        <x:v>3844.9960530272833</x:v>
      </x:c>
      <x:c r="D48" s="32" t="n">
        <x:f>Results!C13</x:f>
        <x:v>356915.17598741263</x:v>
      </x:c>
      <x:c r="E48" s="32" t="n">
        <x:f>Results!A50</x:f>
        <x:v>3777.4683912</x:v>
      </x:c>
      <x:c r="F48" s="32" t="n">
        <x:f>Results!E50</x:f>
        <x:v>26009.0081570259</x:v>
      </x:c>
      <x:c r="G48" s="32"/>
      <x:c r="H48" s="32"/>
      <x:c r="I48" s="32"/>
      <x:c r="J48" s="32"/>
      <x:c r="K48" s="32"/>
      <x:c r="L48" s="32"/>
      <x:c r="M48" s="32"/>
      <x:c r="N48" s="32"/>
    </x:row>
    <x:row r="49">
      <x:c r="A49" s="32" t="n">
        <x:f>Results!A14</x:f>
        <x:v>1221.042516</x:v>
      </x:c>
      <x:c r="B49" s="32" t="n">
        <x:f>Results!G14</x:f>
        <x:v>1394.2772985072377</x:v>
      </x:c>
      <x:c r="C49" s="32" t="n">
        <x:f>Results!H14</x:f>
        <x:v>2788.5545970144753</x:v>
      </x:c>
      <x:c r="D49" s="32" t="n">
        <x:f>Results!C14</x:f>
        <x:v>390887.50027428183</x:v>
      </x:c>
      <x:c r="E49" s="32" t="n">
        <x:f>Results!A51</x:f>
        <x:v>3854.1542424</x:v>
      </x:c>
      <x:c r="F49" s="32" t="n">
        <x:f>Results!E51</x:f>
        <x:v>26010.209224543964</x:v>
      </x:c>
      <x:c r="G49" s="32"/>
      <x:c r="H49" s="32"/>
      <x:c r="I49" s="32"/>
      <x:c r="J49" s="32"/>
      <x:c r="K49" s="32"/>
      <x:c r="L49" s="32"/>
      <x:c r="M49" s="32"/>
      <x:c r="N49" s="32"/>
    </x:row>
    <x:row r="50">
      <x:c r="A50" s="32" t="n">
        <x:f>Results!A15</x:f>
        <x:v>1374.3773376000001</x:v>
      </x:c>
      <x:c r="B50" s="32" t="n">
        <x:f>Results!G15</x:f>
        <x:v>2221.60215796265</x:v>
      </x:c>
      <x:c r="C50" s="32" t="n">
        <x:f>Results!H15</x:f>
        <x:v>4443.2043159253</x:v>
      </x:c>
      <x:c r="D50" s="32" t="n">
        <x:f>Results!C15</x:f>
        <x:v>424896.5556028249</x:v>
      </x:c>
      <x:c r="E50" s="32" t="n">
        <x:f>Results!A52</x:f>
        <x:v>3930.2240928</x:v>
      </x:c>
      <x:c r="F50" s="32" t="n">
        <x:f>Results!E52</x:f>
        <x:v>26011.238128073786</x:v>
      </x:c>
      <x:c r="G50" s="32"/>
      <x:c r="H50" s="32"/>
      <x:c r="I50" s="32"/>
      <x:c r="J50" s="32"/>
      <x:c r="K50" s="32"/>
      <x:c r="L50" s="32"/>
      <x:c r="M50" s="32"/>
      <x:c r="N50" s="32"/>
    </x:row>
    <x:row r="51">
      <x:c r="A51" s="32" t="n">
        <x:f>Results!A16</x:f>
        <x:v>1527.5362896000001</x:v>
      </x:c>
      <x:c r="B51" s="32" t="n">
        <x:f>Results!G16</x:f>
        <x:v>651.098429003259</x:v>
      </x:c>
      <x:c r="C51" s="32" t="n">
        <x:f>Results!H16</x:f>
        <x:v>1302.196858006518</x:v>
      </x:c>
      <x:c r="D51" s="32" t="n">
        <x:f>Results!C16</x:f>
        <x:v>458900.33700830623</x:v>
      </x:c>
      <x:c r="E51" s="32" t="n">
        <x:f>Results!A53</x:f>
        <x:v>4005.779136</x:v>
      </x:c>
      <x:c r="F51" s="32" t="n">
        <x:f>Results!E53</x:f>
        <x:v>26012.075643901448</x:v>
      </x:c>
      <x:c r="G51" s="32"/>
      <x:c r="H51" s="32"/>
      <x:c r="I51" s="32"/>
      <x:c r="J51" s="32"/>
      <x:c r="K51" s="32"/>
      <x:c r="L51" s="32"/>
      <x:c r="M51" s="32"/>
      <x:c r="N51" s="32"/>
    </x:row>
    <x:row r="52">
      <x:c r="A52" s="32" t="n">
        <x:f>Results!A17</x:f>
        <x:v>1565.8667184</x:v>
      </x:c>
      <x:c r="B52" s="32" t="n">
        <x:f>Results!G17</x:f>
        <x:v>14625.870276492271</x:v>
      </x:c>
      <x:c r="C52" s="32" t="n">
        <x:f>Results!H17</x:f>
        <x:v>29251.740552984542</x:v>
      </x:c>
      <x:c r="D52" s="32" t="n">
        <x:f>Results!C17</x:f>
        <x:v>467010.8206480392</x:v>
      </x:c>
      <x:c r="E52" s="32" t="n">
        <x:f>Results!A54</x:f>
        <x:v>4081.1817792</x:v>
      </x:c>
      <x:c r="F52" s="32" t="n">
        <x:f>Results!E54</x:f>
        <x:v>26012.760436684606</x:v>
      </x:c>
      <x:c r="G52" s="32"/>
      <x:c r="H52" s="32"/>
      <x:c r="I52" s="32"/>
      <x:c r="J52" s="32"/>
      <x:c r="K52" s="32"/>
      <x:c r="L52" s="32"/>
      <x:c r="M52" s="32"/>
      <x:c r="N52" s="32"/>
    </x:row>
    <x:row r="53">
      <x:c r="A53" s="32" t="n">
        <x:f>Results!A18</x:f>
        <x:v>1603.5857184000001</x:v>
      </x:c>
      <x:c r="B53" s="32" t="n">
        <x:f>Results!G18</x:f>
        <x:v>14018.927722546516</x:v>
      </x:c>
      <x:c r="C53" s="32" t="n">
        <x:f>Results!H18</x:f>
        <x:v>28037.85544509303</x:v>
      </x:c>
      <x:c r="D53" s="32" t="n">
        <x:f>Results!C18</x:f>
        <x:v>475023.9437135505</x:v>
      </x:c>
      <x:c r="E53" s="32" t="n">
        <x:f>Results!A55</x:f>
        <x:v>4156.8727632</x:v>
      </x:c>
      <x:c r="F53" s="32" t="n">
        <x:f>Results!E55</x:f>
        <x:v>26013.327465101727</x:v>
      </x:c>
      <x:c r="G53" s="32"/>
      <x:c r="H53" s="32"/>
      <x:c r="I53" s="32"/>
      <x:c r="J53" s="32"/>
      <x:c r="K53" s="32"/>
      <x:c r="L53" s="32"/>
      <x:c r="M53" s="32"/>
      <x:c r="N53" s="32"/>
    </x:row>
    <x:row r="54">
      <x:c r="A54" s="32" t="n">
        <x:f>Results!A19</x:f>
        <x:v>1640.9209752000002</x:v>
      </x:c>
      <x:c r="B54" s="32" t="n">
        <x:f>Results!G19</x:f>
        <x:v>13467.273080777122</x:v>
      </x:c>
      <x:c r="C54" s="32" t="n">
        <x:f>Results!H19</x:f>
        <x:v>26934.546161554244</x:v>
      </x:c>
      <x:c r="D54" s="32" t="n">
        <x:f>Results!C19</x:f>
        <x:v>482983.18016497383</x:v>
      </x:c>
      <x:c r="E54" s="32" t="n">
        <x:f>Results!A56</x:f>
        <x:v>4233.1456104</x:v>
      </x:c>
      <x:c r="F54" s="32" t="n">
        <x:f>Results!E56</x:f>
        <x:v>26013.806887728948</x:v>
      </x:c>
      <x:c r="G54" s="32"/>
      <x:c r="H54" s="32"/>
      <x:c r="I54" s="32"/>
      <x:c r="J54" s="32"/>
      <x:c r="K54" s="32"/>
      <x:c r="L54" s="32"/>
      <x:c r="M54" s="32"/>
      <x:c r="N54" s="32"/>
    </x:row>
    <x:row r="55">
      <x:c r="A55" s="32" t="n">
        <x:f>Results!A20</x:f>
        <x:v>1678.2970752</x:v>
      </x:c>
      <x:c r="B55" s="32" t="n">
        <x:f>Results!G20</x:f>
        <x:v>13137.332179016305</x:v>
      </x:c>
      <x:c r="C55" s="32" t="n">
        <x:f>Results!H20</x:f>
        <x:v>26274.66435803261</x:v>
      </x:c>
      <x:c r="D55" s="32" t="n">
        <x:f>Results!C20</x:f>
        <x:v>490967.14040348405</x:v>
      </x:c>
      <x:c r="E55" s="32" t="n">
        <x:f>Results!A57</x:f>
        <x:v>4309.9975776</x:v>
      </x:c>
      <x:c r="F55" s="32" t="n">
        <x:f>Results!E57</x:f>
        <x:v>26014.1341296423</x:v>
      </x:c>
      <x:c r="G55" s="32"/>
      <x:c r="H55" s="32"/>
      <x:c r="I55" s="32"/>
      <x:c r="J55" s="32"/>
      <x:c r="K55" s="32"/>
      <x:c r="L55" s="32"/>
      <x:c r="M55" s="32"/>
      <x:c r="N55" s="32"/>
    </x:row>
    <x:row r="56">
      <x:c r="A56" s="32" t="n">
        <x:f>Results!A21</x:f>
        <x:v>1716.1166592000002</x:v>
      </x:c>
      <x:c r="B56" s="32" t="n">
        <x:f>Results!G21</x:f>
        <x:v>13289.302478170144</x:v>
      </x:c>
      <x:c r="C56" s="32" t="n">
        <x:f>Results!H21</x:f>
        <x:v>26578.60495634029</x:v>
      </x:c>
      <x:c r="D56" s="32" t="n">
        <x:f>Results!C21</x:f>
        <x:v>499038.4189947745</x:v>
      </x:c>
      <x:c r="E56" s="32" t="n">
        <x:f>Results!A58</x:f>
        <x:v>4387.1302656</x:v>
      </x:c>
      <x:c r="F56" s="32" t="n">
        <x:f>Results!E58</x:f>
        <x:v>26014.28436234635</x:v>
      </x:c>
      <x:c r="G56" s="32"/>
      <x:c r="H56" s="32"/>
      <x:c r="I56" s="32"/>
      <x:c r="J56" s="32"/>
      <x:c r="K56" s="32"/>
      <x:c r="L56" s="32"/>
      <x:c r="M56" s="32"/>
      <x:c r="N56" s="32"/>
    </x:row>
    <x:row r="57">
      <x:c r="A57" s="32" t="n">
        <x:f>Results!A22</x:f>
        <x:v>1754.5571208000001</x:v>
      </x:c>
      <x:c r="B57" s="32" t="n">
        <x:f>Results!G22</x:f>
        <x:v>13828.652103940169</x:v>
      </x:c>
      <x:c r="C57" s="32" t="n">
        <x:f>Results!H22</x:f>
        <x:v>27657.304207880337</x:v>
      </x:c>
      <x:c r="D57" s="32" t="n">
        <x:f>Results!C22</x:f>
        <x:v>507214.75489862217</x:v>
      </x:c>
      <x:c r="E57" s="32" t="n">
        <x:f>Results!A59</x:f>
        <x:v>4464.1026288</x:v>
      </x:c>
      <x:c r="F57" s="32" t="n">
        <x:f>Results!E59</x:f>
        <x:v>26014.241805131667</x:v>
      </x:c>
      <x:c r="G57" s="32"/>
      <x:c r="H57" s="32"/>
      <x:c r="I57" s="32"/>
      <x:c r="J57" s="32"/>
      <x:c r="K57" s="32"/>
      <x:c r="L57" s="32"/>
      <x:c r="M57" s="32"/>
      <x:c r="N57" s="32"/>
    </x:row>
    <x:row r="58">
      <x:c r="A58" s="32" t="str">
        <x:v>MD m</x:v>
      </x:c>
      <x:c r="B58" s="32" t="str">
        <x:v>Sinusoidal utilisation</x:v>
      </x:c>
      <x:c r="C58" s="32" t="str">
        <x:v>Helical utilisation</x:v>
      </x:c>
      <x:c r="D58" s="32" t="n">
        <x:f>Results!C23</x:f>
        <x:v>515462.2266916272</x:v>
      </x:c>
      <x:c r="E58" s="32" t="n">
        <x:f>Results!A60</x:f>
        <x:v>4540.555308</x:v>
      </x:c>
      <x:c r="F58" s="32" t="n">
        <x:f>Results!E60</x:f>
        <x:v>26014.0620840039</x:v>
      </x:c>
      <x:c r="G58" s="32"/>
      <x:c r="H58" s="32"/>
      <x:c r="I58" s="32"/>
      <x:c r="J58" s="32"/>
      <x:c r="K58" s="32"/>
      <x:c r="L58" s="32"/>
      <x:c r="M58" s="32"/>
      <x:c r="N58" s="32"/>
    </x:row>
    <x:row r="59">
      <x:c r="A59" s="32" t="n">
        <x:f>Results!A6</x:f>
        <x:v>0</x:v>
      </x:c>
      <x:c r="B59" s="32" t="n">
        <x:f>Results!G6/MAX(Results!B6,1)</x:f>
        <x:v>0</x:v>
      </x:c>
      <x:c r="C59" s="32" t="n">
        <x:f>Results!H6/MAX(Results!B6,1)</x:f>
        <x:v>0</x:v>
      </x:c>
      <x:c r="D59" s="32" t="n">
        <x:f>Results!C24</x:f>
        <x:v>523714.4049053724</x:v>
      </x:c>
      <x:c r="E59" s="32" t="n">
        <x:f>Results!A61</x:f>
        <x:v>4616.3935104</x:v>
      </x:c>
      <x:c r="F59" s="32" t="n">
        <x:f>Results!E61</x:f>
        <x:v>26013.81129384275</x:v>
      </x:c>
      <x:c r="G59" s="32"/>
      <x:c r="H59" s="32"/>
      <x:c r="I59" s="32"/>
      <x:c r="J59" s="32"/>
      <x:c r="K59" s="32"/>
      <x:c r="L59" s="32"/>
      <x:c r="M59" s="32"/>
      <x:c r="N59" s="32"/>
    </x:row>
    <x:row r="60">
      <x:c r="A60" s="32" t="n">
        <x:f>Results!A7</x:f>
        <x:v>155.10875760000002</x:v>
      </x:c>
      <x:c r="B60" s="32" t="n">
        <x:f>Results!G7/MAX(Results!B7,1)</x:f>
        <x:v>0.019713838412422538</x:v>
      </x:c>
      <x:c r="C60" s="32" t="n">
        <x:f>Results!H7/MAX(Results!B7,1)</x:f>
        <x:v>0.039427676824845076</x:v>
      </x:c>
      <x:c r="D60" s="32" t="n">
        <x:f>Results!C25</x:f>
        <x:v>531904.7691480203</x:v>
      </x:c>
      <x:c r="E60" s="32" t="n">
        <x:f>Results!A62</x:f>
        <x:v>4691.8360824</x:v>
      </x:c>
      <x:c r="F60" s="32" t="n">
        <x:f>Results!E62</x:f>
        <x:v>26013.584572259704</x:v>
      </x:c>
      <x:c r="G60" s="32"/>
      <x:c r="H60" s="32"/>
      <x:c r="I60" s="32"/>
      <x:c r="J60" s="32"/>
      <x:c r="K60" s="32"/>
      <x:c r="L60" s="32"/>
      <x:c r="M60" s="32"/>
      <x:c r="N60" s="32"/>
    </x:row>
    <x:row r="61">
      <x:c r="A61" s="32" t="n">
        <x:f>Results!A8</x:f>
        <x:v>307.974492</x:v>
      </x:c>
      <x:c r="B61" s="32" t="n">
        <x:f>Results!G8/MAX(Results!B8,1)</x:f>
        <x:v>0.0077528383595747395</x:v>
      </x:c>
      <x:c r="C61" s="32" t="n">
        <x:f>Results!H8/MAX(Results!B8,1)</x:f>
        <x:v>0.015505676719149479</x:v>
      </x:c>
      <x:c r="D61" s="32" t="n">
        <x:f>Results!C26</x:f>
        <x:v>548553.5110684601</x:v>
      </x:c>
      <x:c r="E61" s="32" t="n">
        <x:f>Results!A63</x:f>
        <x:v>4767.3027336000005</x:v>
      </x:c>
      <x:c r="F61" s="32" t="n">
        <x:f>Results!E63</x:f>
        <x:v>26013.45354669791</x:v>
      </x:c>
      <x:c r="G61" s="32"/>
      <x:c r="H61" s="32"/>
      <x:c r="I61" s="32"/>
      <x:c r="J61" s="32"/>
      <x:c r="K61" s="32"/>
      <x:c r="L61" s="32"/>
      <x:c r="M61" s="32"/>
      <x:c r="N61" s="32"/>
    </x:row>
    <x:row r="62">
      <x:c r="A62" s="32" t="n">
        <x:f>Results!A9</x:f>
        <x:v>460.2227016</x:v>
      </x:c>
      <x:c r="B62" s="32" t="n">
        <x:f>Results!G9/MAX(Results!B9,1)</x:f>
        <x:v>0.0077055924057894245</x:v>
      </x:c>
      <x:c r="C62" s="32" t="n">
        <x:f>Results!H9/MAX(Results!B9,1)</x:f>
        <x:v>0.015411184811578849</x:v>
      </x:c>
      <x:c r="D62" s="32" t="n">
        <x:f>Results!C27</x:f>
        <x:v>565177.7735507294</x:v>
      </x:c>
      <x:c r="E62" s="32" t="n">
        <x:f>Results!A64</x:f>
        <x:v>4843.2018960000005</x:v>
      </x:c>
      <x:c r="F62" s="32" t="n">
        <x:f>Results!E64</x:f>
        <x:v>26013.456025984033</x:v>
      </x:c>
      <x:c r="G62" s="32"/>
      <x:c r="H62" s="32"/>
      <x:c r="I62" s="32"/>
      <x:c r="J62" s="32"/>
      <x:c r="K62" s="32"/>
      <x:c r="L62" s="32"/>
      <x:c r="M62" s="32"/>
      <x:c r="N62" s="32"/>
    </x:row>
    <x:row r="63">
      <x:c r="A63" s="32" t="n">
        <x:f>Results!A10</x:f>
        <x:v>611.9649432</x:v>
      </x:c>
      <x:c r="B63" s="32" t="n">
        <x:f>Results!G10/MAX(Results!B10,1)</x:f>
        <x:v>0.00775742087958305</x:v>
      </x:c>
      <x:c r="C63" s="32" t="n">
        <x:f>Results!H10/MAX(Results!B10,1)</x:f>
        <x:v>0.0155148417591661</x:v>
      </x:c>
      <x:c r="D63" s="32" t="n">
        <x:f>Results!C28</x:f>
        <x:v>581757.977354576</x:v>
      </x:c>
      <x:c r="E63" s="32" t="n">
        <x:f>Results!A65</x:f>
        <x:v>4919.7207168</x:v>
      </x:c>
      <x:c r="F63" s="32" t="n">
        <x:f>Results!E65</x:f>
        <x:v>26013.569275678037</x:v>
      </x:c>
      <x:c r="G63" s="32"/>
      <x:c r="H63" s="32"/>
      <x:c r="I63" s="32"/>
      <x:c r="J63" s="32"/>
      <x:c r="K63" s="32"/>
      <x:c r="L63" s="32"/>
      <x:c r="M63" s="32"/>
      <x:c r="N63" s="32"/>
    </x:row>
    <x:row r="64">
      <x:c r="A64" s="32" t="n">
        <x:f>Results!A11</x:f>
        <x:v>763.5706344</x:v>
      </x:c>
      <x:c r="B64" s="32" t="n">
        <x:f>Results!G11/MAX(Results!B11,1)</x:f>
        <x:v>0.008057596372677419</x:v>
      </x:c>
      <x:c r="C64" s="32" t="n">
        <x:f>Results!H11/MAX(Results!B11,1)</x:f>
        <x:v>0.016115192745354837</x:v>
      </x:c>
      <x:c r="D64" s="32" t="n">
        <x:f>Results!C29</x:f>
        <x:v>598394.2715607802</x:v>
      </x:c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</x:row>
    <x:row r="65">
      <x:c r="A65" s="32" t="n">
        <x:f>Results!A12</x:f>
        <x:v>915.4786872000001</x:v>
      </x:c>
      <x:c r="B65" s="32" t="n">
        <x:f>Results!G12/MAX(Results!B12,1)</x:f>
        <x:v>0.003499516225096174</x:v>
      </x:c>
      <x:c r="C65" s="32" t="n">
        <x:f>Results!H12/MAX(Results!B12,1)</x:f>
        <x:v>0.006999032450192348</x:v>
      </x:c>
      <x:c r="D65" s="32" t="n">
        <x:f>Results!C30</x:f>
        <x:v>615162.8034411283</x:v>
      </x:c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</x:row>
    <x:row r="66">
      <x:c r="A66" s="32" t="n">
        <x:f>Results!A13</x:f>
        <x:v>1067.9740896</x:v>
      </x:c>
      <x:c r="B66" s="32" t="n">
        <x:f>Results!G13/MAX(Results!B13,1)</x:f>
        <x:v>0.005379959859481571</x:v>
      </x:c>
      <x:c r="C66" s="32" t="n">
        <x:f>Results!H13/MAX(Results!B13,1)</x:f>
        <x:v>0.010759919718963142</x:v>
      </x:c>
      <x:c r="D66" s="32" t="n">
        <x:f>Results!C31</x:f>
        <x:v>632077.6149666572</x:v>
      </x:c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 t="n">
        <x:f>Results!A14</x:f>
        <x:v>1221.042516</x:v>
      </x:c>
      <x:c r="B67" s="32" t="n">
        <x:f>Results!G14/MAX(Results!B14,1)</x:f>
        <x:v>0.0035627767291062104</x:v>
      </x:c>
      <x:c r="C67" s="32" t="n">
        <x:f>Results!H14/MAX(Results!B14,1)</x:f>
        <x:v>0.007125553458212421</x:v>
      </x:c>
      <x:c r="D67" s="32" t="n">
        <x:f>Results!C32</x:f>
        <x:v>649084.5607830377</x:v>
      </x:c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 t="n">
        <x:f>Results!A15</x:f>
        <x:v>1374.3773376000001</x:v>
      </x:c>
      <x:c r="B68" s="32" t="n">
        <x:f>Results!G15/MAX(Results!B15,1)</x:f>
        <x:v>0.00522203255104406</x:v>
      </x:c>
      <x:c r="C68" s="32" t="n">
        <x:f>Results!H15/MAX(Results!B15,1)</x:f>
        <x:v>0.01044406510208812</x:v>
      </x:c>
      <x:c r="D68" s="32" t="n">
        <x:f>Results!C33</x:f>
        <x:v>666089.5530951733</x:v>
      </x:c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</x:row>
    <x:row r="69">
      <x:c r="A69" s="32" t="n">
        <x:f>Results!A16</x:f>
        <x:v>1527.5362896000001</x:v>
      </x:c>
      <x:c r="B69" s="32" t="n">
        <x:f>Results!G16/MAX(Results!B16,1)</x:f>
        <x:v>0.0014171604521904027</x:v>
      </x:c>
      <x:c r="C69" s="32" t="n">
        <x:f>Results!H16/MAX(Results!B16,1)</x:f>
        <x:v>0.0028343209043808055</x:v>
      </x:c>
      <x:c r="D69" s="32" t="n">
        <x:f>Results!C34</x:f>
        <x:v>683006.0673463177</x:v>
      </x:c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</x:row>
    <x:row r="70">
      <x:c r="A70" s="32" t="n">
        <x:f>Results!A17</x:f>
        <x:v>1565.8667184</x:v>
      </x:c>
      <x:c r="B70" s="32" t="n">
        <x:f>Results!G17/MAX(Results!B17,1)</x:f>
        <x:v>0.03122851736443492</x:v>
      </x:c>
      <x:c r="C70" s="32" t="n">
        <x:f>Results!H17/MAX(Results!B17,1)</x:f>
        <x:v>0.06245703472886984</x:v>
      </x:c>
      <x:c r="D70" s="32" t="n">
        <x:f>Results!C35</x:f>
        <x:v>699800.3995342111</x:v>
      </x:c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</x:row>
    <x:row r="71">
      <x:c r="A71" s="32" t="n">
        <x:f>Results!A18</x:f>
        <x:v>1603.5857184000001</x:v>
      </x:c>
      <x:c r="B71" s="32" t="n">
        <x:f>Results!G18/MAX(Results!B18,1)</x:f>
        <x:v>0.029384443656720757</x:v>
      </x:c>
      <x:c r="C71" s="32" t="n">
        <x:f>Results!H18/MAX(Results!B18,1)</x:f>
        <x:v>0.058768887313441515</x:v>
      </x:c>
      <x:c r="D71" s="32" t="n">
        <x:f>Results!C36</x:f>
        <x:v>716507.5171333092</x:v>
      </x:c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</x:row>
    <x:row r="72">
      <x:c r="A72" s="32" t="n">
        <x:f>Results!A19</x:f>
        <x:v>1640.9209752000002</x:v>
      </x:c>
      <x:c r="B72" s="32" t="n">
        <x:f>Results!G19/MAX(Results!B19,1)</x:f>
        <x:v>0.027727149193328113</x:v>
      </x:c>
      <x:c r="C72" s="32" t="n">
        <x:f>Results!H19/MAX(Results!B19,1)</x:f>
        <x:v>0.05545429838665623</x:v>
      </x:c>
      <x:c r="D72" s="32" t="n">
        <x:f>Results!C37</x:f>
        <x:v>733213.5635852496</x:v>
      </x:c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</x:row>
    <x:row r="73">
      <x:c r="A73" s="32" t="n">
        <x:f>Results!A20</x:f>
        <x:v>1678.2970752</x:v>
      </x:c>
      <x:c r="B73" s="32" t="n">
        <x:f>Results!G20/MAX(Results!B20,1)</x:f>
        <x:v>0.026576526539546647</x:v>
      </x:c>
      <x:c r="C73" s="32" t="n">
        <x:f>Results!H20/MAX(Results!B20,1)</x:f>
        <x:v>0.05315305307909329</x:v>
      </x:c>
      <x:c r="D73" s="32" t="n">
        <x:f>Results!C38</x:f>
        <x:v>750010.9735344269</x:v>
      </x:c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</x:row>
    <x:row r="74">
      <x:c r="A74" s="32" t="n">
        <x:f>Results!A21</x:f>
        <x:v>1716.1166592000002</x:v>
      </x:c>
      <x:c r="B74" s="32" t="n">
        <x:f>Results!G21/MAX(Results!B21,1)</x:f>
        <x:v>0.026417757739686562</x:v>
      </x:c>
      <x:c r="C74" s="32" t="n">
        <x:f>Results!H21/MAX(Results!B21,1)</x:f>
        <x:v>0.052835515479373124</x:v>
      </x:c>
      <x:c r="D74" s="32" t="n">
        <x:f>Results!C39</x:f>
        <x:v>766951.240161732</x:v>
      </x:c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</x:row>
    <x:row r="75">
      <x:c r="A75" s="32" t="n">
        <x:f>Results!A22</x:f>
        <x:v>1754.5571208000001</x:v>
      </x:c>
      <x:c r="B75" s="32" t="n">
        <x:f>Results!G22/MAX(Results!B22,1)</x:f>
        <x:v>0.027012337478073207</x:v>
      </x:c>
      <x:c r="C75" s="32" t="n">
        <x:f>Results!H22/MAX(Results!B22,1)</x:f>
        <x:v>0.054024674956146414</x:v>
      </x:c>
      <x:c r="D75" s="32" t="n">
        <x:f>Results!C40</x:f>
        <x:v>784017.5061779759</x:v>
      </x:c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</x:row>
    <x:row r="76">
      <x:c r="A76" s="32" t="n">
        <x:f>Results!A23</x:f>
        <x:v>1793.4788616</x:v>
      </x:c>
      <x:c r="B76" s="32" t="n">
        <x:f>Results!G23/MAX(Results!B23,1)</x:f>
        <x:v>0.027661066164802087</x:v>
      </x:c>
      <x:c r="C76" s="32" t="n">
        <x:f>Results!H23/MAX(Results!B23,1)</x:f>
        <x:v>0.05532213232960417</x:v>
      </x:c>
      <x:c r="D76" s="32" t="n">
        <x:f>Results!C41</x:f>
        <x:v>801132.0373323669</x:v>
      </x:c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</x:row>
    <x:row r="77">
      <x:c r="A77" s="32" t="n">
        <x:f>Results!A24</x:f>
        <x:v>1832.4975288000003</x:v>
      </x:c>
      <x:c r="B77" s="32" t="n">
        <x:f>Results!G24/MAX(Results!B24,1)</x:f>
        <x:v>0.027726205619049128</x:v>
      </x:c>
      <x:c r="C77" s="32" t="n">
        <x:f>Results!H24/MAX(Results!B24,1)</x:f>
        <x:v>0.055452411238098256</x:v>
      </x:c>
      <x:c r="D77" s="32" t="n">
        <x:f>Results!C42</x:f>
        <x:v>818190.9258303377</x:v>
      </x:c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</x:row>
    <x:row r="78">
      <x:c r="A78" s="32" t="n">
        <x:f>Results!A25</x:f>
        <x:v>1871.1787824</x:v>
      </x:c>
      <x:c r="B78" s="32" t="n">
        <x:f>Results!G25/MAX(Results!B25,1)</x:f>
        <x:v>0.026942970353335465</x:v>
      </x:c>
      <x:c r="C78" s="32" t="n">
        <x:f>Results!H25/MAX(Results!B25,1)</x:f>
        <x:v>0.05388594070667093</x:v>
      </x:c>
      <x:c r="D78" s="32" t="n">
        <x:f>Results!C43</x:f>
        <x:v>835118.0075327385</x:v>
      </x:c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</x:row>
    <x:row r="79">
      <x:c r="A79" s="32" t="n">
        <x:f>Results!A26</x:f>
        <x:v>1947.3607992000002</x:v>
      </x:c>
      <x:c r="B79" s="32" t="n">
        <x:f>Results!G26/MAX(Results!B26,1)</x:f>
        <x:v>0.015218423247029995</x:v>
      </x:c>
      <x:c r="C79" s="32" t="n">
        <x:f>Results!H26/MAX(Results!B26,1)</x:f>
        <x:v>0.03043684649405999</x:v>
      </x:c>
      <x:c r="D79" s="32" t="n">
        <x:f>Results!C44</x:f>
        <x:v>851906.0400679975</x:v>
      </x:c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</x:row>
    <x:row r="80">
      <x:c r="A80" s="32" t="n">
        <x:f>Results!A27</x:f>
        <x:v>2022.9868608</x:v>
      </x:c>
      <x:c r="B80" s="32" t="n">
        <x:f>Results!G27/MAX(Results!B27,1)</x:f>
        <x:v>0.011752075540661723</x:v>
      </x:c>
      <x:c r="C80" s="32" t="n">
        <x:f>Results!H27/MAX(Results!B27,1)</x:f>
        <x:v>0.023504151081323445</x:v>
      </x:c>
      <x:c r="D80" s="32" t="n">
        <x:f>Results!C45</x:f>
        <x:v>868616.94718898</x:v>
      </x:c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</x:row>
    <x:row r="81">
      <x:c r="A81" s="32" t="n">
        <x:f>Results!A28</x:f>
        <x:v>2098.3837128</x:v>
      </x:c>
      <x:c r="B81" s="32" t="n">
        <x:f>Results!G28/MAX(Results!B28,1)</x:f>
        <x:v>0.011197159757407845</x:v>
      </x:c>
      <x:c r="C81" s="32" t="n">
        <x:f>Results!H28/MAX(Results!B28,1)</x:f>
        <x:v>0.02239431951481569</x:v>
      </x:c>
      <x:c r="D81" s="32" t="n">
        <x:f>Results!C46</x:f>
        <x:v>885348.6982656334</x:v>
      </x:c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</x:row>
    <x:row r="82">
      <x:c r="A82" s="32" t="n">
        <x:f>Results!A29</x:f>
        <x:v>2173.9945344000002</x:v>
      </x:c>
      <x:c r="B82" s="32" t="n">
        <x:f>Results!G29/MAX(Results!B29,1)</x:f>
        <x:v>0.010575048697112219</x:v>
      </x:c>
      <x:c r="C82" s="32" t="n">
        <x:f>Results!H29/MAX(Results!B29,1)</x:f>
        <x:v>0.021150097394224437</x:v>
      </x:c>
      <x:c r="D82" s="32" t="n">
        <x:f>Results!C47</x:f>
        <x:v>902184.4548048641</x:v>
      </x:c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</x:row>
    <x:row r="83">
      <x:c r="A83" s="32" t="n">
        <x:f>Results!A30</x:f>
        <x:v>2250.1543008</x:v>
      </x:c>
      <x:c r="B83" s="32" t="n">
        <x:f>Results!G30/MAX(Results!B30,1)</x:f>
        <x:v>0.009894063829705393</x:v>
      </x:c>
      <x:c r="C83" s="32" t="n">
        <x:f>Results!H30/MAX(Results!B30,1)</x:f>
        <x:v>0.019788127659410785</x:v>
      </x:c>
      <x:c r="D83" s="32" t="n">
        <x:f>Results!C48</x:f>
        <x:v>919150.4032984045</x:v>
      </x:c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</x:row>
    <x:row r="84">
      <x:c r="A84" s="32" t="n">
        <x:f>Results!A31</x:f>
        <x:v>2326.9172664000002</x:v>
      </x:c>
      <x:c r="B84" s="32" t="n">
        <x:f>Results!G31/MAX(Results!B31,1)</x:f>
        <x:v>0.009163950866126156</x:v>
      </x:c>
      <x:c r="C84" s="32" t="n">
        <x:f>Results!H31/MAX(Results!B31,1)</x:f>
        <x:v>0.01832790173225231</x:v>
      </x:c>
      <x:c r="D84" s="32" t="n">
        <x:f>Results!C49</x:f>
        <x:v>936201.9429977234</x:v>
      </x:c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</x:row>
    <x:row r="85">
      <x:c r="A85" s="32" t="n">
        <x:f>Results!A32</x:f>
        <x:v>2404.030752</x:v>
      </x:c>
      <x:c r="B85" s="32" t="n">
        <x:f>Results!G32/MAX(Results!B32,1)</x:f>
        <x:v>0.008397190847265982</x:v>
      </x:c>
      <x:c r="C85" s="32" t="n">
        <x:f>Results!H32/MAX(Results!B32,1)</x:f>
        <x:v>0.016794381694531964</x:v>
      </x:c>
      <x:c r="D85" s="32" t="n">
        <x:f>Results!C50</x:f>
        <x:v>953247.3732166202</x:v>
      </x:c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</x:row>
    <x:row r="86">
      <x:c r="A86" s="32" t="n">
        <x:f>Results!A33</x:f>
        <x:v>2481.0637704</x:v>
      </x:c>
      <x:c r="B86" s="32" t="n">
        <x:f>Results!G33/MAX(Results!B33,1)</x:f>
        <x:v>0.0076006254480506345</x:v>
      </x:c>
      <x:c r="C86" s="32" t="n">
        <x:f>Results!H33/MAX(Results!B33,1)</x:f>
        <x:v>0.015201250896101269</x:v>
      </x:c>
      <x:c r="D86" s="32" t="n">
        <x:f>Results!C51</x:f>
        <x:v>970194.0804175219</x:v>
      </x:c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</x:row>
    <x:row r="87">
      <x:c r="A87" s="32" t="n">
        <x:f>Results!A34</x:f>
        <x:v>2557.6252632</x:v>
      </x:c>
      <x:c r="B87" s="32" t="n">
        <x:f>Results!G34/MAX(Results!B34,1)</x:f>
        <x:v>0.006800949843019656</x:v>
      </x:c>
      <x:c r="C87" s="32" t="n">
        <x:f>Results!H34/MAX(Results!B34,1)</x:f>
        <x:v>0.013601899686039313</x:v>
      </x:c>
      <x:c r="D87" s="32" t="n">
        <x:f>Results!C52</x:f>
        <x:v>986995.911058625</x:v>
      </x:c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</x:row>
    <x:row r="88">
      <x:c r="A88" s="32" t="n">
        <x:f>Results!A35</x:f>
        <x:v>2633.5658784</x:v>
      </x:c>
      <x:c r="B88" s="32" t="n">
        <x:f>Results!G35/MAX(Results!B35,1)</x:f>
        <x:v>0.00600316325430793</x:v>
      </x:c>
      <x:c r="C88" s="32" t="n">
        <x:f>Results!H35/MAX(Results!B35,1)</x:f>
        <x:v>0.01200632650861586</x:v>
      </x:c>
      <x:c r="D88" s="32" t="n">
        <x:f>Results!C53</x:f>
        <x:v>1003676.8408510318</x:v>
      </x:c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</x:row>
    <x:row r="89">
      <x:c r="A89" s="32" t="n">
        <x:f>Results!A36</x:f>
        <x:v>2709.0514272</x:v>
      </x:c>
      <x:c r="B89" s="32" t="n">
        <x:f>Results!G36/MAX(Results!B36,1)</x:f>
        <x:v>0.005242877998982816</x:v>
      </x:c>
      <x:c r="C89" s="32" t="n">
        <x:f>Results!H36/MAX(Results!B36,1)</x:f>
        <x:v>0.010485755997965631</x:v>
      </x:c>
      <x:c r="D89" s="32" t="n">
        <x:f>Results!C54</x:f>
        <x:v>1020318.5401385546</x:v>
      </x:c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</x:row>
    <x:row r="90">
      <x:c r="A90" s="32" t="n">
        <x:f>Results!A37</x:f>
        <x:v>2784.480588</x:v>
      </x:c>
      <x:c r="B90" s="32" t="n">
        <x:f>Results!G37/MAX(Results!B37,1)</x:f>
        <x:v>0.00454446115019499</x:v>
      </x:c>
      <x:c r="C90" s="32" t="n">
        <x:f>Results!H37/MAX(Results!B37,1)</x:f>
        <x:v>0.00908892230038998</x:v>
      </x:c>
      <x:c r="D90" s="32" t="n">
        <x:f>Results!C55</x:f>
        <x:v>1037019.7969557836</x:v>
      </x:c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</x:row>
    <x:row r="91">
      <x:c r="A91" s="32" t="n">
        <x:f>Results!A38</x:f>
        <x:v>2860.2800807999997</x:v>
      </x:c>
      <x:c r="B91" s="32" t="n">
        <x:f>Results!G38/MAX(Results!B38,1)</x:f>
        <x:v>0.003921344356410961</x:v>
      </x:c>
      <x:c r="C91" s="32" t="n">
        <x:f>Results!H38/MAX(Results!B38,1)</x:f>
        <x:v>0.007842688712821922</x:v>
      </x:c>
      <x:c r="D91" s="32" t="n">
        <x:f>Results!C56</x:f>
        <x:v>1053846.4739392952</x:v>
      </x:c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</x:row>
    <x:row r="92">
      <x:c r="A92" s="32" t="n">
        <x:f>Results!A39</x:f>
        <x:v>2936.688564</x:v>
      </x:c>
      <x:c r="B92" s="32" t="n">
        <x:f>Results!G39/MAX(Results!B39,1)</x:f>
        <x:v>0.0033472769347120774</x:v>
      </x:c>
      <x:c r="C92" s="32" t="n">
        <x:f>Results!H39/MAX(Results!B39,1)</x:f>
        <x:v>0.006694553869424155</x:v>
      </x:c>
      <x:c r="D92" s="32" t="n">
        <x:f>Results!C57</x:f>
        <x:v>1070799.1602705836</x:v>
      </x:c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</x:row>
    <x:row r="93">
      <x:c r="A93" s="32" t="n">
        <x:f>Results!A40</x:f>
        <x:v>3013.6334952</x:v>
      </x:c>
      <x:c r="B93" s="32" t="n">
        <x:f>Results!G40/MAX(Results!B40,1)</x:f>
        <x:v>0.002783053454495957</x:v>
      </x:c>
      <x:c r="C93" s="32" t="n">
        <x:f>Results!H40/MAX(Results!B40,1)</x:f>
        <x:v>0.005566106908991914</x:v>
      </x:c>
      <x:c r="D93" s="32" t="n">
        <x:f>Results!C58</x:f>
        <x:v>1087812.9940658004</x:v>
      </x:c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</x:row>
    <x:row r="94">
      <x:c r="A94" s="32" t="n">
        <x:f>Results!A41</x:f>
        <x:v>3090.7698408</x:v>
      </x:c>
      <x:c r="B94" s="32" t="n">
        <x:f>Results!G41/MAX(Results!B41,1)</x:f>
        <x:v>0.0022534966718288298</x:v>
      </x:c>
      <x:c r="C94" s="32" t="n">
        <x:f>Results!H41/MAX(Results!B41,1)</x:f>
        <x:v>0.0045069933436576596</x:v>
      </x:c>
      <x:c r="D94" s="32" t="n">
        <x:f>Results!C59</x:f>
        <x:v>1104791.564922813</x:v>
      </x:c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</x:row>
    <x:row r="95">
      <x:c r="A95" s="32" t="n">
        <x:f>Results!A42</x:f>
        <x:v>3167.6544215999998</x:v>
      </x:c>
      <x:c r="B95" s="32" t="n">
        <x:f>Results!G42/MAX(Results!B42,1)</x:f>
        <x:v>0.00218783263761075</x:v>
      </x:c>
      <x:c r="C95" s="32" t="n">
        <x:f>Results!H42/MAX(Results!B42,1)</x:f>
        <x:v>0.0043756652752215</x:v>
      </x:c>
      <x:c r="D95" s="32" t="n">
        <x:f>Results!C60</x:f>
        <x:v>1121656.1618409925</x:v>
      </x:c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</x:row>
    <x:row r="96">
      <x:c r="A96" s="32" t="n">
        <x:f>Results!A43</x:f>
        <x:v>3243.9723792</x:v>
      </x:c>
      <x:c r="B96" s="32" t="n">
        <x:f>Results!G43/MAX(Results!B43,1)</x:f>
        <x:v>0.002623340398580722</x:v>
      </x:c>
      <x:c r="C96" s="32" t="n">
        <x:f>Results!H43/MAX(Results!B43,1)</x:f>
        <x:v>0.005246680797161444</x:v>
      </x:c>
      <x:c r="D96" s="32" t="n">
        <x:f>Results!C61</x:f>
        <x:v>1138386.296912006</x:v>
      </x:c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</x:row>
    <x:row r="97">
      <x:c r="A97" s="32" t="n">
        <x:f>Results!A44</x:f>
        <x:v>3319.6978056000003</x:v>
      </x:c>
      <x:c r="B97" s="32" t="n">
        <x:f>Results!G44/MAX(Results!B44,1)</x:f>
        <x:v>0.003064427783635249</x:v>
      </x:c>
      <x:c r="C97" s="32" t="n">
        <x:f>Results!H44/MAX(Results!B44,1)</x:f>
        <x:v>0.006128855567270498</x:v>
      </x:c>
      <x:c r="D97" s="32" t="n">
        <x:f>Results!C62</x:f>
        <x:v>1155030.372613192</x:v>
      </x:c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</x:row>
    <x:row r="98">
      <x:c r="A98" s="32" t="n">
        <x:f>Results!A45</x:f>
        <x:v>3395.1068496000003</x:v>
      </x:c>
      <x:c r="B98" s="32" t="n">
        <x:f>Results!G45/MAX(Results!B45,1)</x:f>
        <x:v>0.0033898325590646164</x:v>
      </x:c>
      <x:c r="C98" s="32" t="n">
        <x:f>Results!H45/MAX(Results!B45,1)</x:f>
        <x:v>0.006779665118129233</x:v>
      </x:c>
      <x:c r="D98" s="32" t="n">
        <x:f>Results!C63</x:f>
        <x:v>1171680.8264845596</x:v>
      </x:c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</x:row>
    <x:row r="99">
      <x:c r="A99" s="32" t="n">
        <x:f>Results!A46</x:f>
        <x:v>3470.6368992</x:v>
      </x:c>
      <x:c r="B99" s="32" t="n">
        <x:f>Results!G46/MAX(Results!B46,1)</x:f>
        <x:v>0.0036168459539998453</x:v>
      </x:c>
      <x:c r="C99" s="32" t="n">
        <x:f>Results!H46/MAX(Results!B46,1)</x:f>
        <x:v>0.007233691907999691</x:v>
      </x:c>
      <x:c r="D99" s="32" t="n">
        <x:f>Results!C64</x:f>
        <x:v>1188427.2943145775</x:v>
      </x:c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</x:row>
    <x:row r="100">
      <x:c r="A100" s="32" t="n">
        <x:f>Results!A47</x:f>
        <x:v>3546.6631632</x:v>
      </x:c>
      <x:c r="B100" s="32" t="n">
        <x:f>Results!G47/MAX(Results!B47,1)</x:f>
        <x:v>0.003809816822537283</x:v>
      </x:c>
      <x:c r="C100" s="32" t="n">
        <x:f>Results!H47/MAX(Results!B47,1)</x:f>
        <x:v>0.007619633645074566</x:v>
      </x:c>
      <x:c r="D100" s="32" t="n">
        <x:f>Results!C65</x:f>
        <x:v>1205310.4574943804</x:v>
      </x:c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</x:row>
    <x:row r="101">
      <x:c r="A101" s="32" t="n">
        <x:f>Results!A48</x:f>
        <x:v>3623.3087808</x:v>
      </x:c>
      <x:c r="B101" s="32" t="n">
        <x:f>Results!G48/MAX(Results!B48,1)</x:f>
        <x:v>0.004017274560940756</x:v>
      </x:c>
      <x:c r="C101" s="32" t="n">
        <x:f>Results!H48/MAX(Results!B48,1)</x:f>
        <x:v>0.008034549121881512</x:v>
      </x:c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</x:row>
    <x:row r="102">
      <x:c r="A102" s="32" t="n">
        <x:f>Results!A49</x:f>
        <x:v>3700.3805088</x:v>
      </x:c>
      <x:c r="B102" s="32" t="n">
        <x:f>Results!G49/MAX(Results!B49,1)</x:f>
        <x:v>0.004259777465197958</x:v>
      </x:c>
      <x:c r="C102" s="32" t="n">
        <x:f>Results!H49/MAX(Results!B49,1)</x:f>
        <x:v>0.008519554930395915</x:v>
      </x:c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</x:row>
    <x:row r="103">
      <x:c r="A103" s="32" t="n">
        <x:f>Results!A50</x:f>
        <x:v>3777.4683912</x:v>
      </x:c>
      <x:c r="B103" s="32" t="n">
        <x:f>Results!G50/MAX(Results!B50,1)</x:f>
        <x:v>0.004502461976106229</x:v>
      </x:c>
      <x:c r="C103" s="32" t="n">
        <x:f>Results!H50/MAX(Results!B50,1)</x:f>
        <x:v>0.009004923952212458</x:v>
      </x:c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</x:row>
    <x:row r="104">
      <x:c r="A104" s="32" t="n">
        <x:f>Results!A51</x:f>
        <x:v>3854.1542424</x:v>
      </x:c>
      <x:c r="B104" s="32" t="n">
        <x:f>Results!G51/MAX(Results!B51,1)</x:f>
        <x:v>0.004722001610722279</x:v>
      </x:c>
      <x:c r="C104" s="32" t="n">
        <x:f>Results!H51/MAX(Results!B51,1)</x:f>
        <x:v>0.009444003221444558</x:v>
      </x:c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</x:row>
    <x:row r="105">
      <x:c r="A105" s="32" t="n">
        <x:f>Results!A52</x:f>
        <x:v>3930.2240928</x:v>
      </x:c>
      <x:c r="B105" s="32" t="n">
        <x:f>Results!G52/MAX(Results!B52,1)</x:f>
        <x:v>0.004889655873258399</x:v>
      </x:c>
      <x:c r="C105" s="32" t="n">
        <x:f>Results!H52/MAX(Results!B52,1)</x:f>
        <x:v>0.009779311746516799</x:v>
      </x:c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</x:row>
    <x:row r="106">
      <x:c r="A106" s="32" t="n">
        <x:f>Results!A53</x:f>
        <x:v>4005.779136</x:v>
      </x:c>
      <x:c r="B106" s="32" t="n">
        <x:f>Results!G53/MAX(Results!B53,1)</x:f>
        <x:v>0.005001300354687678</x:v>
      </x:c>
      <x:c r="C106" s="32" t="n">
        <x:f>Results!H53/MAX(Results!B53,1)</x:f>
        <x:v>0.010002600709375356</x:v>
      </x:c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</x:row>
    <x:row r="107">
      <x:c r="A107" s="32" t="n">
        <x:f>Results!A54</x:f>
        <x:v>4081.1817792</x:v>
      </x:c>
      <x:c r="B107" s="32" t="n">
        <x:f>Results!G54/MAX(Results!B54,1)</x:f>
        <x:v>0.0050623580886569805</x:v>
      </x:c>
      <x:c r="C107" s="32" t="n">
        <x:f>Results!H54/MAX(Results!B54,1)</x:f>
        <x:v>0.010124716177313961</x:v>
      </x:c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</x:row>
    <x:row r="108">
      <x:c r="A108" s="32" t="n">
        <x:f>Results!A55</x:f>
        <x:v>4156.8727632</x:v>
      </x:c>
      <x:c r="B108" s="32" t="n">
        <x:f>Results!G55/MAX(Results!B55,1)</x:f>
        <x:v>0.005080497829522984</x:v>
      </x:c>
      <x:c r="C108" s="32" t="n">
        <x:f>Results!H55/MAX(Results!B55,1)</x:f>
        <x:v>0.010160995659045968</x:v>
      </x:c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</x:row>
    <x:row r="109">
      <x:c r="A109" s="32" t="n">
        <x:f>Results!A56</x:f>
        <x:v>4233.1456104</x:v>
      </x:c>
      <x:c r="B109" s="32" t="n">
        <x:f>Results!G56/MAX(Results!B56,1)</x:f>
        <x:v>0.005068942879470059</x:v>
      </x:c>
      <x:c r="C109" s="32" t="n">
        <x:f>Results!H56/MAX(Results!B56,1)</x:f>
        <x:v>0.010137885758940118</x:v>
      </x:c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</x:row>
    <x:row r="110">
      <x:c r="A110" s="32" t="n">
        <x:f>Results!A57</x:f>
        <x:v>4309.9975776</x:v>
      </x:c>
      <x:c r="B110" s="32" t="n">
        <x:f>Results!G57/MAX(Results!B57,1)</x:f>
        <x:v>0.00502828494854815</x:v>
      </x:c>
      <x:c r="C110" s="32" t="n">
        <x:f>Results!H57/MAX(Results!B57,1)</x:f>
        <x:v>0.0100565698970963</x:v>
      </x:c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</x:row>
    <x:row r="111">
      <x:c r="A111" s="32" t="n">
        <x:f>Results!A58</x:f>
        <x:v>4387.1302656</x:v>
      </x:c>
      <x:c r="B111" s="32" t="n">
        <x:f>Results!G58/MAX(Results!B58,1)</x:f>
        <x:v>0.004966684102055431</x:v>
      </x:c>
      <x:c r="C111" s="32" t="n">
        <x:f>Results!H58/MAX(Results!B58,1)</x:f>
        <x:v>0.009933368204110862</x:v>
      </x:c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</x:row>
    <x:row r="112">
      <x:c r="A112" s="32" t="n">
        <x:f>Results!A59</x:f>
        <x:v>4464.1026288</x:v>
      </x:c>
      <x:c r="B112" s="32" t="n">
        <x:f>Results!G59/MAX(Results!B59,1)</x:f>
        <x:v>0.0048880260975209516</x:v>
      </x:c>
      <x:c r="C112" s="32" t="n">
        <x:f>Results!H59/MAX(Results!B59,1)</x:f>
        <x:v>0.009776052195041903</x:v>
      </x:c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</x:row>
    <x:row r="113">
      <x:c r="A113" s="32" t="n">
        <x:f>Results!A60</x:f>
        <x:v>4540.555308</x:v>
      </x:c>
      <x:c r="B113" s="32" t="n">
        <x:f>Results!G60/MAX(Results!B60,1)</x:f>
        <x:v>0.004800180579386874</x:v>
      </x:c>
      <x:c r="C113" s="32" t="n">
        <x:f>Results!H60/MAX(Results!B60,1)</x:f>
        <x:v>0.009600361158773748</x:v>
      </x:c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</x:row>
    <x:row r="114">
      <x:c r="A114" s="32" t="n">
        <x:f>Results!A61</x:f>
        <x:v>4616.3935104</x:v>
      </x:c>
      <x:c r="B114" s="32" t="n">
        <x:f>Results!G61/MAX(Results!B61,1)</x:f>
        <x:v>0.004706126649008148</x:v>
      </x:c>
      <x:c r="C114" s="32" t="n">
        <x:f>Results!H61/MAX(Results!B61,1)</x:f>
        <x:v>0.009412253298016296</x:v>
      </x:c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</x:row>
    <x:row r="115">
      <x:c r="A115" s="32" t="n">
        <x:f>Results!A62</x:f>
        <x:v>4691.8360824</x:v>
      </x:c>
      <x:c r="B115" s="32" t="n">
        <x:f>Results!G62/MAX(Results!B62,1)</x:f>
        <x:v>0.004612049034238362</x:v>
      </x:c>
      <x:c r="C115" s="32" t="n">
        <x:f>Results!H62/MAX(Results!B62,1)</x:f>
        <x:v>0.009224098068476724</x:v>
      </x:c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</x:row>
    <x:row r="116">
      <x:c r="A116" s="32" t="n">
        <x:f>Results!A63</x:f>
        <x:v>4767.3027336000005</x:v>
      </x:c>
      <x:c r="B116" s="32" t="n">
        <x:f>Results!G63/MAX(Results!B63,1)</x:f>
        <x:v>0.004523739480717169</x:v>
      </x:c>
      <x:c r="C116" s="32" t="n">
        <x:f>Results!H63/MAX(Results!B63,1)</x:f>
        <x:v>0.009047478961434338</x:v>
      </x:c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</x:row>
    <x:row r="117">
      <x:c r="A117" s="32" t="n">
        <x:f>Results!A64</x:f>
        <x:v>4843.2018960000005</x:v>
      </x:c>
      <x:c r="B117" s="32" t="n">
        <x:f>Results!G64/MAX(Results!B64,1)</x:f>
        <x:v>0.0044476171998622015</x:v>
      </x:c>
      <x:c r="C117" s="32" t="n">
        <x:f>Results!H64/MAX(Results!B64,1)</x:f>
        <x:v>0.008895234399724403</x:v>
      </x:c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</x:row>
    <x:row r="118">
      <x:c r="A118" s="32" t="n">
        <x:f>Results!A65</x:f>
        <x:v>4919.7207168</x:v>
      </x:c>
      <x:c r="B118" s="32" t="n">
        <x:f>Results!G65/MAX(Results!B65,1)</x:f>
        <x:v>0.004385807073361137</x:v>
      </x:c>
      <x:c r="C118" s="32" t="n">
        <x:f>Results!H65/MAX(Results!B65,1)</x:f>
        <x:v>0.008771614146722274</x:v>
      </x:c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</x:row>
  </x:sheetData>
  <x:mergeCells>
    <x:mergeCell ref="A1:N1"/>
  </x:mergeCells>
  <x:conditionalFormatting sqref="B59:C118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  <x:drawing xmlns:r="http://schemas.openxmlformats.org/officeDocument/2006/relationships" r:id="rId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Wellbore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Wellbore section register — filled from surface to TD</x:v>
      </x:c>
      <x:c r="B3" s="33" t="str">
        <x:v>Wellbore section register — filled from surface to TD</x:v>
      </x:c>
      <x:c r="C3" s="33" t="str">
        <x:v>Wellbore section register — filled from surface to TD</x:v>
      </x:c>
      <x:c r="D3" s="33" t="str">
        <x:v>Wellbore section register — filled from surface to TD</x:v>
      </x:c>
      <x:c r="E3" s="33" t="str">
        <x:v>Wellbore section register — filled from surface to TD</x:v>
      </x:c>
      <x:c r="F3" s="33" t="str">
        <x:v>Wellbore section register — filled from surface to TD</x:v>
      </x:c>
      <x:c r="G3" s="33" t="str">
        <x:v>Wellbore section register — filled from surface to TD</x:v>
      </x:c>
      <x:c r="H3" s="33" t="str">
        <x:v>Wellbore section register — filled from surface to TD</x:v>
      </x:c>
      <x:c r="I3" s="33" t="str">
        <x:v>Wellbore section register — filled from surface to TD</x:v>
      </x:c>
      <x:c r="J3" s="33" t="str">
        <x:v>Wellbore section register — filled from surface to TD</x:v>
      </x:c>
      <x:c r="K3" s="33" t="str">
        <x:v>Wellbore section register — filled from surface to TD</x:v>
      </x:c>
      <x:c r="L3" s="33" t="str">
        <x:v>Wellbore section register — filled from surface to TD</x:v>
      </x:c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Record ID</x:v>
      </x:c>
      <x:c r="B5" s="34" t="str">
        <x:v>Type</x:v>
      </x:c>
      <x:c r="C5" s="34" t="str">
        <x:v>Top MD m</x:v>
      </x:c>
      <x:c r="D5" s="34" t="str">
        <x:v>Bottom MD m</x:v>
      </x:c>
      <x:c r="E5" s="34" t="str">
        <x:v>Length m</x:v>
      </x:c>
      <x:c r="F5" s="34" t="str">
        <x:v>OD m</x:v>
      </x:c>
      <x:c r="G5" s="34" t="str">
        <x:v>ID m</x:v>
      </x:c>
      <x:c r="H5" s="34" t="str">
        <x:v>Friction factor</x:v>
      </x:c>
      <x:c r="I5" s="34" t="str">
        <x:v>Branch</x:v>
      </x:c>
      <x:c r="J5" s="34" t="str">
        <x:v>Branch type</x:v>
      </x:c>
      <x:c r="K5" s="34" t="str">
        <x:v>Fluid density kg/m3</x:v>
      </x:c>
      <x:c r="L5" s="34" t="str">
        <x:v>Status</x:v>
      </x:c>
      <x:c r="M5" s="32"/>
      <x:c r="N5" s="32"/>
    </x:row>
    <x:row r="6">
      <x:c r="A6" s="32" t="str">
        <x:v>hole-01</x:v>
      </x:c>
      <x:c r="B6" s="36" t="str">
        <x:v>Open hole</x:v>
      </x:c>
      <x:c r="C6" s="36" t="n">
        <x:v>0</x:v>
      </x:c>
      <x:c r="D6" s="36" t="n">
        <x:v>2660</x:v>
      </x:c>
      <x:c r="E6" s="36" t="n">
        <x:v>2660</x:v>
      </x:c>
      <x:c r="F6" s="36" t="n">
        <x:v>0.216</x:v>
      </x:c>
      <x:c r="G6" s="36" t="n">
        <x:v>0</x:v>
      </x:c>
      <x:c r="H6" s="36" t="n">
        <x:v>0.24</x:v>
      </x:c>
      <x:c r="I6" s="36" t="str">
        <x:v>Main</x:v>
      </x:c>
      <x:c r="J6" s="36" t="str">
        <x:v>Primary</x:v>
      </x:c>
      <x:c r="K6" s="36" t="n">
        <x:v>1200</x:v>
      </x:c>
      <x:c r="L6" s="32" t="str">
        <x:v>PASS</x:v>
      </x:c>
      <x:c r="M6" s="32"/>
      <x:c r="N6" s="32"/>
    </x:row>
  </x:sheetData>
  <x:mergeCells>
    <x:mergeCell ref="A1:N1"/>
    <x:mergeCell ref="A3:L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Drillstring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Drillstring component register — bottom to top</x:v>
      </x:c>
      <x:c r="B3" s="33" t="str">
        <x:v>Drillstring component register — bottom to top</x:v>
      </x:c>
      <x:c r="C3" s="33" t="str">
        <x:v>Drillstring component register — bottom to top</x:v>
      </x:c>
      <x:c r="D3" s="33" t="str">
        <x:v>Drillstring component register — bottom to top</x:v>
      </x:c>
      <x:c r="E3" s="33" t="str">
        <x:v>Drillstring component register — bottom to top</x:v>
      </x:c>
      <x:c r="F3" s="33" t="str">
        <x:v>Drillstring component register — bottom to top</x:v>
      </x:c>
      <x:c r="G3" s="33" t="str">
        <x:v>Drillstring component register — bottom to top</x:v>
      </x:c>
      <x:c r="H3" s="33" t="str">
        <x:v>Drillstring component register — bottom to top</x:v>
      </x:c>
      <x:c r="I3" s="33" t="str">
        <x:v>Drillstring component register — bottom to top</x:v>
      </x:c>
      <x:c r="J3" s="33" t="str">
        <x:v>Drillstring component register — bottom to top</x:v>
      </x:c>
      <x:c r="K3" s="33" t="str">
        <x:v>Drillstring component register — bottom to top</x:v>
      </x:c>
      <x:c r="L3" s="33" t="str">
        <x:v>Drillstring component register — bottom to top</x:v>
      </x:c>
      <x:c r="M3" s="33" t="str">
        <x:v>Drillstring component register — bottom to top</x:v>
      </x:c>
      <x:c r="N3" s="33" t="str">
        <x:v>Drillstring component register — bottom to top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Record ID</x:v>
      </x:c>
      <x:c r="B5" s="34" t="str">
        <x:v>Type</x:v>
      </x:c>
      <x:c r="C5" s="34" t="str">
        <x:v>Name</x:v>
      </x:c>
      <x:c r="D5" s="34" t="str">
        <x:v>Length m</x:v>
      </x:c>
      <x:c r="E5" s="34" t="str">
        <x:v>OD m</x:v>
      </x:c>
      <x:c r="F5" s="34" t="str">
        <x:v>ID m</x:v>
      </x:c>
      <x:c r="G5" s="34" t="str">
        <x:v>Area m2</x:v>
      </x:c>
      <x:c r="H5" s="34" t="str">
        <x:v>Unit weight N/m</x:v>
      </x:c>
      <x:c r="I5" s="34" t="str">
        <x:v>Material</x:v>
      </x:c>
      <x:c r="J5" s="34" t="str">
        <x:v>Grade YS Pa</x:v>
      </x:c>
      <x:c r="K5" s="34" t="str">
        <x:v>Class</x:v>
      </x:c>
      <x:c r="L5" s="34" t="str">
        <x:v>Connection</x:v>
      </x:c>
      <x:c r="M5" s="34" t="str">
        <x:v>Top m</x:v>
      </x:c>
      <x:c r="N5" s="34" t="str">
        <x:v>Bottom m</x:v>
      </x:c>
    </x:row>
    <x:row r="6">
      <x:c r="A6" s="32" t="str">
        <x:v>ds-bit-sub</x:v>
      </x:c>
      <x:c r="B6" s="32" t="str">
        <x:v>BHA</x:v>
      </x:c>
      <x:c r="C6" s="32" t="str">
        <x:v>Bit / Sub</x:v>
      </x:c>
      <x:c r="D6" s="36" t="n">
        <x:v>10</x:v>
      </x:c>
      <x:c r="E6" s="36" t="n">
        <x:v>0.171</x:v>
      </x:c>
      <x:c r="F6" s="36" t="n">
        <x:v>0.051</x:v>
      </x:c>
      <x:c r="G6" s="35" t="n">
        <x:f>PI()/4*(E6^2-F6^2)</x:f>
        <x:v>0.020923007072908024</x:v>
      </x:c>
      <x:c r="H6" s="35" t="n">
        <x:f>G6*'Inputs'!$B$11*9.80665</x:f>
        <x:v>1610.6991673955376</x:v>
      </x:c>
      <x:c r="I6" s="35" t="str">
        <x:v>Steel</x:v>
      </x:c>
      <x:c r="J6" s="35" t="n">
        <x:v>758000000</x:v>
      </x:c>
      <x:c r="K6" s="35" t="str">
        <x:v>P</x:v>
      </x:c>
      <x:c r="L6" s="35" t="str">
        <x:v>Reference connection</x:v>
      </x:c>
      <x:c r="M6" s="35" t="n">
        <x:f>0</x:f>
        <x:v>0</x:v>
      </x:c>
      <x:c r="N6" s="35" t="n">
        <x:f>D6</x:f>
        <x:v>10</x:v>
      </x:c>
    </x:row>
    <x:row r="7">
      <x:c r="A7" s="32" t="str">
        <x:v>ds-motor</x:v>
      </x:c>
      <x:c r="B7" s="32" t="str">
        <x:v>BHA</x:v>
      </x:c>
      <x:c r="C7" s="32" t="str">
        <x:v>Motor / RSS</x:v>
      </x:c>
      <x:c r="D7" s="36" t="n">
        <x:v>20</x:v>
      </x:c>
      <x:c r="E7" s="36" t="n">
        <x:v>0.171</x:v>
      </x:c>
      <x:c r="F7" s="36" t="n">
        <x:v>0.057</x:v>
      </x:c>
      <x:c r="G7" s="35" t="n">
        <x:f>PI()/4*(E7^2-F7^2)</x:f>
        <x:v>0.020414069063026476</x:v>
      </x:c>
      <x:c r="H7" s="35" t="n">
        <x:f>G7*'Inputs'!$B$11*9.80665</x:f>
        <x:v>1571.5199984588894</x:v>
      </x:c>
      <x:c r="I7" s="35" t="str">
        <x:v>Steel</x:v>
      </x:c>
      <x:c r="J7" s="35" t="n">
        <x:v>758000000</x:v>
      </x:c>
      <x:c r="K7" s="35" t="str">
        <x:v>P</x:v>
      </x:c>
      <x:c r="L7" s="35" t="str">
        <x:v>Reference connection</x:v>
      </x:c>
      <x:c r="M7" s="35" t="n">
        <x:f>N6</x:f>
        <x:v>10</x:v>
      </x:c>
      <x:c r="N7" s="35" t="n">
        <x:f>M7+D7</x:f>
        <x:v>30</x:v>
      </x:c>
    </x:row>
    <x:row r="8">
      <x:c r="A8" s="32" t="str">
        <x:v>ds-mwd</x:v>
      </x:c>
      <x:c r="B8" s="32" t="str">
        <x:v>BHA</x:v>
      </x:c>
      <x:c r="C8" s="32" t="str">
        <x:v>MWD / LWD</x:v>
      </x:c>
      <x:c r="D8" s="36" t="n">
        <x:v>30</x:v>
      </x:c>
      <x:c r="E8" s="36" t="n">
        <x:v>0.171</x:v>
      </x:c>
      <x:c r="F8" s="36" t="n">
        <x:v>0.057</x:v>
      </x:c>
      <x:c r="G8" s="35" t="n">
        <x:f>PI()/4*(E8^2-F8^2)</x:f>
        <x:v>0.020414069063026476</x:v>
      </x:c>
      <x:c r="H8" s="35" t="n">
        <x:f>G8*'Inputs'!$B$11*9.80665</x:f>
        <x:v>1571.5199984588894</x:v>
      </x:c>
      <x:c r="I8" s="35" t="str">
        <x:v>Steel</x:v>
      </x:c>
      <x:c r="J8" s="35" t="n">
        <x:v>758000000</x:v>
      </x:c>
      <x:c r="K8" s="35" t="str">
        <x:v>P</x:v>
      </x:c>
      <x:c r="L8" s="35" t="str">
        <x:v>Reference connection</x:v>
      </x:c>
      <x:c r="M8" s="35" t="n">
        <x:f>N7</x:f>
        <x:v>30</x:v>
      </x:c>
      <x:c r="N8" s="35" t="n">
        <x:f>M8+D8</x:f>
        <x:v>60</x:v>
      </x:c>
    </x:row>
    <x:row r="9">
      <x:c r="A9" s="32" t="str">
        <x:v>ds-dc</x:v>
      </x:c>
      <x:c r="B9" s="32" t="str">
        <x:v>BHA</x:v>
      </x:c>
      <x:c r="C9" s="32" t="str">
        <x:v>Drill Collar</x:v>
      </x:c>
      <x:c r="D9" s="36" t="n">
        <x:v>210</x:v>
      </x:c>
      <x:c r="E9" s="36" t="n">
        <x:v>0.171</x:v>
      </x:c>
      <x:c r="F9" s="36" t="n">
        <x:v>0.071</x:v>
      </x:c>
      <x:c r="G9" s="35" t="n">
        <x:f>PI()/4*(E9^2-F9^2)</x:f>
        <x:v>0.019006635554218252</x:v>
      </x:c>
      <x:c r="H9" s="35" t="n">
        <x:f>G9*'Inputs'!$B$11*9.80665</x:f>
        <x:v>1463.1726670785292</x:v>
      </x:c>
      <x:c r="I9" s="35" t="str">
        <x:v>Steel</x:v>
      </x:c>
      <x:c r="J9" s="35" t="n">
        <x:v>758000000</x:v>
      </x:c>
      <x:c r="K9" s="35" t="str">
        <x:v>P</x:v>
      </x:c>
      <x:c r="L9" s="35" t="str">
        <x:v>Reference connection</x:v>
      </x:c>
      <x:c r="M9" s="35" t="n">
        <x:f>N8</x:f>
        <x:v>60</x:v>
      </x:c>
      <x:c r="N9" s="35" t="n">
        <x:f>M9+D9</x:f>
        <x:v>270</x:v>
      </x:c>
    </x:row>
    <x:row r="10">
      <x:c r="A10" s="32" t="str">
        <x:v>ds-hwdp</x:v>
      </x:c>
      <x:c r="B10" s="32" t="str">
        <x:v>Tubular</x:v>
      </x:c>
      <x:c r="C10" s="32" t="str">
        <x:v>HWDP</x:v>
      </x:c>
      <x:c r="D10" s="36" t="n">
        <x:v>300</x:v>
      </x:c>
      <x:c r="E10" s="36" t="n">
        <x:v>0.14</x:v>
      </x:c>
      <x:c r="F10" s="36" t="n">
        <x:v>0.076</x:v>
      </x:c>
      <x:c r="G10" s="35" t="n">
        <x:f>PI()/4*(E10^2-F10^2)</x:f>
        <x:v>0.010857344210806327</x:v>
      </x:c>
      <x:c r="H10" s="35" t="n">
        <x:f>G10*'Inputs'!$B$11*9.80665</x:f>
        <x:v>835.8222706484952</x:v>
      </x:c>
      <x:c r="I10" s="35" t="str">
        <x:v>Steel</x:v>
      </x:c>
      <x:c r="J10" s="35" t="n">
        <x:v>758000000</x:v>
      </x:c>
      <x:c r="K10" s="35" t="str">
        <x:v>P</x:v>
      </x:c>
      <x:c r="L10" s="35" t="str">
        <x:v>Reference connection</x:v>
      </x:c>
      <x:c r="M10" s="35" t="n">
        <x:f>N9</x:f>
        <x:v>270</x:v>
      </x:c>
      <x:c r="N10" s="35" t="n">
        <x:f>M10+D10</x:f>
        <x:v>570</x:v>
      </x:c>
    </x:row>
    <x:row r="11">
      <x:c r="A11" s="32" t="str">
        <x:v>ds-dp</x:v>
      </x:c>
      <x:c r="B11" s="32" t="str">
        <x:v>Tubular</x:v>
      </x:c>
      <x:c r="C11" s="32" t="str">
        <x:v>Drill Pipe</x:v>
      </x:c>
      <x:c r="D11" s="36" t="n">
        <x:v>2100</x:v>
      </x:c>
      <x:c r="E11" s="36" t="n">
        <x:v>0.127</x:v>
      </x:c>
      <x:c r="F11" s="36" t="n">
        <x:v>0.1086</x:v>
      </x:c>
      <x:c r="G11" s="35" t="n">
        <x:f>PI()/4*(E11^2-F11^2)</x:f>
        <x:v>0.003404732454254474</x:v>
      </x:c>
      <x:c r="H11" s="35" t="n">
        <x:f>G11*'Inputs'!$B$11*9.80665</x:f>
        <x:v>262.1038032517399</x:v>
      </x:c>
      <x:c r="I11" s="35" t="str">
        <x:v>Steel</x:v>
      </x:c>
      <x:c r="J11" s="35" t="n">
        <x:v>758000000</x:v>
      </x:c>
      <x:c r="K11" s="35" t="str">
        <x:v>P</x:v>
      </x:c>
      <x:c r="L11" s="35" t="str">
        <x:v>Reference connection</x:v>
      </x:c>
      <x:c r="M11" s="35" t="n">
        <x:f>N10</x:f>
        <x:v>570</x:v>
      </x:c>
      <x:c r="N11" s="35" t="n">
        <x:f>M11+D11</x:f>
        <x:v>2670</x:v>
      </x:c>
    </x:row>
  </x:sheetData>
  <x:mergeCells>
    <x:mergeCell ref="A1:N1"/>
    <x:mergeCell ref="A3:N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API 7G Limits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API 7G governing limits derived from dimensions, material and derating</x:v>
      </x:c>
      <x:c r="B3" s="33" t="str">
        <x:v>API 7G governing limits derived from dimensions, material and derating</x:v>
      </x:c>
      <x:c r="C3" s="33" t="str">
        <x:v>API 7G governing limits derived from dimensions, material and derating</x:v>
      </x:c>
      <x:c r="D3" s="33" t="str">
        <x:v>API 7G governing limits derived from dimensions, material and derating</x:v>
      </x:c>
      <x:c r="E3" s="33" t="str">
        <x:v>API 7G governing limits derived from dimensions, material and derating</x:v>
      </x:c>
      <x:c r="F3" s="33" t="str">
        <x:v>API 7G governing limits derived from dimensions, material and derating</x:v>
      </x:c>
      <x:c r="G3" s="33" t="str">
        <x:v>API 7G governing limits derived from dimensions, material and derating</x:v>
      </x:c>
      <x:c r="H3" s="33" t="str">
        <x:v>API 7G governing limits derived from dimensions, material and derating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Control</x:v>
      </x:c>
      <x:c r="B5" s="34" t="str">
        <x:v>Value</x:v>
      </x:c>
      <x:c r="C5" s="34" t="str">
        <x:v>Unit</x:v>
      </x:c>
      <x:c r="D5" s="32"/>
      <x:c r="E5" s="34" t="str">
        <x:v>API 7G section</x:v>
      </x:c>
      <x:c r="F5" s="34" t="str">
        <x:v>Length m</x:v>
      </x:c>
      <x:c r="G5" s="34" t="str">
        <x:v>OD m</x:v>
      </x:c>
      <x:c r="H5" s="34" t="str">
        <x:v>ID m</x:v>
      </x:c>
      <x:c r="I5" s="34" t="str">
        <x:v>Tension limit N</x:v>
      </x:c>
      <x:c r="J5" s="34" t="str">
        <x:v>Operating torque N-m</x:v>
      </x:c>
      <x:c r="K5" s="32"/>
      <x:c r="L5" s="32"/>
      <x:c r="M5" s="32"/>
      <x:c r="N5" s="32"/>
    </x:row>
    <x:row r="6">
      <x:c r="A6" s="32" t="str">
        <x:v>Grade</x:v>
      </x:c>
      <x:c r="B6" s="36" t="str">
        <x:v>S135</x:v>
      </x:c>
      <x:c r="C6" s="32" t="str"/>
      <x:c r="D6" s="32"/>
      <x:c r="E6" s="35" t="str">
        <x:v>Drill Pipe</x:v>
      </x:c>
      <x:c r="F6" s="35" t="n">
        <x:v>2100</x:v>
      </x:c>
      <x:c r="G6" s="35" t="n">
        <x:v>0.127</x:v>
      </x:c>
      <x:c r="H6" s="35" t="n">
        <x:v>0.1086</x:v>
      </x:c>
      <x:c r="I6" s="35" t="n">
        <x:v>1800000</x:v>
      </x:c>
      <x:c r="J6" s="35" t="n">
        <x:v>22000</x:v>
      </x:c>
      <x:c r="K6" s="32"/>
      <x:c r="L6" s="32"/>
      <x:c r="M6" s="32"/>
      <x:c r="N6" s="32"/>
    </x:row>
    <x:row r="7">
      <x:c r="A7" s="32" t="str">
        <x:v>Material yield strength</x:v>
      </x:c>
      <x:c r="B7" s="36" t="n">
        <x:v>931000000</x:v>
      </x:c>
      <x:c r="C7" s="32" t="str">
        <x:v>Pa</x:v>
      </x:c>
      <x:c r="D7" s="32"/>
      <x:c r="E7" s="35" t="str">
        <x:v>HWDP</x:v>
      </x:c>
      <x:c r="F7" s="35" t="n">
        <x:v>300</x:v>
      </x:c>
      <x:c r="G7" s="35" t="n">
        <x:v>0.14</x:v>
      </x:c>
      <x:c r="H7" s="35" t="n">
        <x:v>0.076</x:v>
      </x:c>
      <x:c r="I7" s="35" t="n">
        <x:v>2300000</x:v>
      </x:c>
      <x:c r="J7" s="35" t="n">
        <x:v>30000</x:v>
      </x:c>
      <x:c r="K7" s="32"/>
      <x:c r="L7" s="32"/>
      <x:c r="M7" s="32"/>
      <x:c r="N7" s="32"/>
    </x:row>
    <x:row r="8">
      <x:c r="A8" s="32" t="str">
        <x:v>Wear-class derating</x:v>
      </x:c>
      <x:c r="B8" s="36" t="n">
        <x:v>0.8</x:v>
      </x:c>
      <x:c r="C8" s="32" t="str">
        <x:v>1</x:v>
      </x:c>
      <x:c r="D8" s="32"/>
      <x:c r="E8" s="35" t="str">
        <x:v>Drill Collar</x:v>
      </x:c>
      <x:c r="F8" s="35" t="n">
        <x:v>210</x:v>
      </x:c>
      <x:c r="G8" s="35" t="n">
        <x:v>0.171</x:v>
      </x:c>
      <x:c r="H8" s="35" t="n">
        <x:v>0.071</x:v>
      </x:c>
      <x:c r="I8" s="35" t="n">
        <x:v>3000000</x:v>
      </x:c>
      <x:c r="J8" s="35" t="n">
        <x:v>45000</x:v>
      </x:c>
      <x:c r="K8" s="32"/>
      <x:c r="L8" s="32"/>
      <x:c r="M8" s="32"/>
      <x:c r="N8" s="32"/>
    </x:row>
    <x:row r="9">
      <x:c r="A9" s="32" t="str">
        <x:v>Safety factor</x:v>
      </x:c>
      <x:c r="B9" s="36" t="n">
        <x:v>1.1</x:v>
      </x:c>
      <x:c r="C9" s="32" t="str">
        <x:v>1</x:v>
      </x:c>
      <x:c r="D9" s="32"/>
      <x:c r="E9" s="35" t="str">
        <x:v>MWD / LWD</x:v>
      </x:c>
      <x:c r="F9" s="35" t="n">
        <x:v>30</x:v>
      </x:c>
      <x:c r="G9" s="35" t="n">
        <x:v>0.171</x:v>
      </x:c>
      <x:c r="H9" s="35" t="n">
        <x:v>0.057</x:v>
      </x:c>
      <x:c r="I9" s="35" t="n">
        <x:v>2200000</x:v>
      </x:c>
      <x:c r="J9" s="35" t="n">
        <x:v>35000</x:v>
      </x:c>
      <x:c r="K9" s="32"/>
      <x:c r="L9" s="32"/>
      <x:c r="M9" s="32"/>
      <x:c r="N9" s="32"/>
    </x:row>
    <x:row r="10">
      <x:c r="A10" s="32" t="str">
        <x:v>Derived tensile limit</x:v>
      </x:c>
      <x:c r="B10" s="35" t="n">
        <x:f>PI()/4*(Inputs!$B$9^2-Inputs!$B$10^2)*B7/B9*B8</x:f>
        <x:v>2305313.3926624837</x:v>
      </x:c>
      <x:c r="C10" s="32" t="str">
        <x:v>N</x:v>
      </x:c>
      <x:c r="D10" s="32"/>
      <x:c r="E10" s="35" t="str">
        <x:v>Motor / RSS</x:v>
      </x:c>
      <x:c r="F10" s="35" t="n">
        <x:v>20</x:v>
      </x:c>
      <x:c r="G10" s="35" t="n">
        <x:v>0.171</x:v>
      </x:c>
      <x:c r="H10" s="35" t="n">
        <x:v>0.057</x:v>
      </x:c>
      <x:c r="I10" s="35" t="n">
        <x:v>2200000</x:v>
      </x:c>
      <x:c r="J10" s="35" t="n">
        <x:v>35000</x:v>
      </x:c>
      <x:c r="K10" s="32"/>
      <x:c r="L10" s="32"/>
      <x:c r="M10" s="32"/>
      <x:c r="N10" s="32"/>
    </x:row>
    <x:row r="11">
      <x:c r="A11" s="32" t="str">
        <x:v>Derived torsional limit</x:v>
      </x:c>
      <x:c r="B11" s="35" t="n">
        <x:f>(B7/SQRT(3))*(PI()/32*(Inputs!$B$9^4-Inputs!$B$10^4)/(Inputs!$B$9/2))*B8/B9</x:f>
        <x:v>73158.88668371909</x:v>
      </x:c>
      <x:c r="C11" s="32" t="str">
        <x:v>N-m</x:v>
      </x:c>
      <x:c r="D11" s="32"/>
      <x:c r="E11" s="35" t="str">
        <x:v>Bit / Sub</x:v>
      </x:c>
      <x:c r="F11" s="35" t="n">
        <x:v>10</x:v>
      </x:c>
      <x:c r="G11" s="35" t="n">
        <x:v>0.171</x:v>
      </x:c>
      <x:c r="H11" s="35" t="n">
        <x:v>0.051</x:v>
      </x:c>
      <x:c r="I11" s="35" t="n">
        <x:v>1600000</x:v>
      </x:c>
      <x:c r="J11" s="35" t="n">
        <x:v>30000</x:v>
      </x:c>
      <x:c r="K11" s="32"/>
      <x:c r="L11" s="32"/>
      <x:c r="M11" s="32"/>
      <x:c r="N11" s="32"/>
    </x:row>
    <x:row r="12">
      <x:c r="A12" s="32" t="str">
        <x:v>Design utilisation limit</x:v>
      </x:c>
      <x:c r="B12" s="35" t="n">
        <x:v>0.9</x:v>
      </x:c>
      <x:c r="C12" s="32" t="str">
        <x:v>1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</x:sheetData>
  <x:mergeCells>
    <x:mergeCell ref="A1:N1"/>
    <x:mergeCell ref="A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Operation Cases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Torque-and-drag operating cases</x:v>
      </x:c>
      <x:c r="B3" s="33" t="str">
        <x:v>Torque-and-drag operating cases</x:v>
      </x:c>
      <x:c r="C3" s="33" t="str">
        <x:v>Torque-and-drag operating cases</x:v>
      </x:c>
      <x:c r="D3" s="33" t="str">
        <x:v>Torque-and-drag operating cases</x:v>
      </x:c>
      <x:c r="E3" s="33" t="str">
        <x:v>Torque-and-drag operating cases</x:v>
      </x:c>
      <x:c r="F3" s="33" t="str">
        <x:v>Torque-and-drag operating cases</x:v>
      </x:c>
      <x:c r="G3" s="33" t="str">
        <x:v>Torque-and-drag operating cases</x:v>
      </x:c>
      <x:c r="H3" s="33" t="str">
        <x:v>Torque-and-drag operating cases</x:v>
      </x:c>
      <x:c r="I3" s="33" t="str">
        <x:v>Torque-and-drag operating cases</x:v>
      </x:c>
      <x:c r="J3" s="33" t="str">
        <x:v>Torque-and-drag operating cases</x:v>
      </x:c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Code</x:v>
      </x:c>
      <x:c r="B5" s="34" t="str">
        <x:v>Operation</x:v>
      </x:c>
      <x:c r="C5" s="34" t="str">
        <x:v>Direction</x:v>
      </x:c>
      <x:c r="D5" s="34" t="str">
        <x:v>RPM</x:v>
      </x:c>
      <x:c r="E5" s="34" t="str">
        <x:v>Speed m/s</x:v>
      </x:c>
      <x:c r="F5" s="34" t="str">
        <x:v>Overpull N</x:v>
      </x:c>
      <x:c r="G5" s="34" t="str">
        <x:v>WOB N</x:v>
      </x:c>
      <x:c r="H5" s="34" t="str">
        <x:v>Torque factor</x:v>
      </x:c>
      <x:c r="I5" s="34" t="str">
        <x:v>Friction factor</x:v>
      </x:c>
      <x:c r="J5" s="34" t="str">
        <x:v>Enabled</x:v>
      </x:c>
      <x:c r="K5" s="32"/>
      <x:c r="L5" s="32"/>
      <x:c r="M5" s="32"/>
      <x:c r="N5" s="32"/>
    </x:row>
    <x:row r="6">
      <x:c r="A6" s="32" t="str">
        <x:v>PUW</x:v>
      </x:c>
      <x:c r="B6" s="32" t="str">
        <x:v>Pull out</x:v>
      </x:c>
      <x:c r="C6" s="32" t="str">
        <x:v>Up</x:v>
      </x:c>
      <x:c r="D6" s="36" t="n">
        <x:v>0</x:v>
      </x:c>
      <x:c r="E6" s="36" t="n">
        <x:v>0.25</x:v>
      </x:c>
      <x:c r="F6" s="36" t="n">
        <x:v>0</x:v>
      </x:c>
      <x:c r="G6" s="36" t="n">
        <x:v>0</x:v>
      </x:c>
      <x:c r="H6" s="36" t="n">
        <x:v>0.8</x:v>
      </x:c>
      <x:c r="I6" s="36" t="n">
        <x:v>0.24</x:v>
      </x:c>
      <x:c r="J6" s="36" t="str">
        <x:v>Yes</x:v>
      </x:c>
      <x:c r="K6" s="32"/>
      <x:c r="L6" s="32"/>
      <x:c r="M6" s="32"/>
      <x:c r="N6" s="32"/>
    </x:row>
    <x:row r="7">
      <x:c r="A7" s="32" t="str">
        <x:v>SOW</x:v>
      </x:c>
      <x:c r="B7" s="32" t="str">
        <x:v>Slack off</x:v>
      </x:c>
      <x:c r="C7" s="32" t="str">
        <x:v>Down</x:v>
      </x:c>
      <x:c r="D7" s="36" t="n">
        <x:v>0</x:v>
      </x:c>
      <x:c r="E7" s="36" t="n">
        <x:v>0.25</x:v>
      </x:c>
      <x:c r="F7" s="36" t="n">
        <x:v>0</x:v>
      </x:c>
      <x:c r="G7" s="36" t="n">
        <x:v>0</x:v>
      </x:c>
      <x:c r="H7" s="36" t="n">
        <x:v>0.65</x:v>
      </x:c>
      <x:c r="I7" s="36" t="n">
        <x:v>0.24</x:v>
      </x:c>
      <x:c r="J7" s="36" t="str">
        <x:v>Yes</x:v>
      </x:c>
      <x:c r="K7" s="32"/>
      <x:c r="L7" s="32"/>
      <x:c r="M7" s="32"/>
      <x:c r="N7" s="32"/>
    </x:row>
    <x:row r="8">
      <x:c r="A8" s="32" t="str">
        <x:v>BKR</x:v>
      </x:c>
      <x:c r="B8" s="32" t="str">
        <x:v>Backream</x:v>
      </x:c>
      <x:c r="C8" s="32" t="str">
        <x:v>Up</x:v>
      </x:c>
      <x:c r="D8" s="36" t="n">
        <x:v>80</x:v>
      </x:c>
      <x:c r="E8" s="36" t="n">
        <x:v>0.12</x:v>
      </x:c>
      <x:c r="F8" s="36" t="n">
        <x:v>80000</x:v>
      </x:c>
      <x:c r="G8" s="36" t="n">
        <x:v>0</x:v>
      </x:c>
      <x:c r="H8" s="36" t="n">
        <x:v>1.25</x:v>
      </x:c>
      <x:c r="I8" s="36" t="n">
        <x:v>0.24</x:v>
      </x:c>
      <x:c r="J8" s="36" t="str">
        <x:v>Yes</x:v>
      </x:c>
      <x:c r="K8" s="32"/>
      <x:c r="L8" s="32"/>
      <x:c r="M8" s="32"/>
      <x:c r="N8" s="32"/>
    </x:row>
    <x:row r="9">
      <x:c r="A9" s="32" t="str">
        <x:v>SLD</x:v>
      </x:c>
      <x:c r="B9" s="32" t="str">
        <x:v>Slide drill</x:v>
      </x:c>
      <x:c r="C9" s="32" t="str">
        <x:v>Down</x:v>
      </x:c>
      <x:c r="D9" s="36" t="n">
        <x:v>0</x:v>
      </x:c>
      <x:c r="E9" s="36" t="n">
        <x:v>0.02</x:v>
      </x:c>
      <x:c r="F9" s="36" t="n">
        <x:v>0</x:v>
      </x:c>
      <x:c r="G9" s="36" t="n">
        <x:v>120000</x:v>
      </x:c>
      <x:c r="H9" s="36" t="n">
        <x:v>0.5</x:v>
      </x:c>
      <x:c r="I9" s="36" t="n">
        <x:v>0.24</x:v>
      </x:c>
      <x:c r="J9" s="36" t="str">
        <x:v>Yes</x:v>
      </x:c>
      <x:c r="K9" s="32"/>
      <x:c r="L9" s="32"/>
      <x:c r="M9" s="32"/>
      <x:c r="N9" s="32"/>
    </x:row>
    <x:row r="10">
      <x:c r="A10" s="32" t="str">
        <x:v>ROT</x:v>
      </x:c>
      <x:c r="B10" s="32" t="str">
        <x:v>Rotate</x:v>
      </x:c>
      <x:c r="C10" s="32" t="str">
        <x:v>Down</x:v>
      </x:c>
      <x:c r="D10" s="36" t="n">
        <x:v>120</x:v>
      </x:c>
      <x:c r="E10" s="36" t="n">
        <x:v>0.02</x:v>
      </x:c>
      <x:c r="F10" s="36" t="n">
        <x:v>0</x:v>
      </x:c>
      <x:c r="G10" s="36" t="n">
        <x:v>120000</x:v>
      </x:c>
      <x:c r="H10" s="36" t="n">
        <x:v>1</x:v>
      </x:c>
      <x:c r="I10" s="36" t="n">
        <x:v>0.24</x:v>
      </x:c>
      <x:c r="J10" s="36" t="str">
        <x:v>Yes</x:v>
      </x:c>
      <x:c r="K10" s="32"/>
      <x:c r="L10" s="32"/>
      <x:c r="M10" s="32"/>
      <x:c r="N10" s="32"/>
    </x:row>
    <x:row r="11">
      <x:c r="A11" s="32" t="str">
        <x:v>DRLG</x:v>
      </x:c>
      <x:c r="B11" s="32" t="str">
        <x:v>Drill ahead</x:v>
      </x:c>
      <x:c r="C11" s="32" t="str">
        <x:v>Down</x:v>
      </x:c>
      <x:c r="D11" s="36" t="n">
        <x:v>120</x:v>
      </x:c>
      <x:c r="E11" s="36" t="n">
        <x:v>0.02</x:v>
      </x:c>
      <x:c r="F11" s="36" t="n">
        <x:v>0</x:v>
      </x:c>
      <x:c r="G11" s="36" t="n">
        <x:v>120000</x:v>
      </x:c>
      <x:c r="H11" s="36" t="n">
        <x:v>1.1</x:v>
      </x:c>
      <x:c r="I11" s="36" t="n">
        <x:v>0.24</x:v>
      </x:c>
      <x:c r="J11" s="36" t="str">
        <x:v>Yes</x:v>
      </x:c>
      <x:c r="K11" s="32"/>
      <x:c r="L11" s="32"/>
      <x:c r="M11" s="32"/>
      <x:c r="N11" s="32"/>
    </x:row>
  </x:sheetData>
  <x:mergeCells>
    <x:mergeCell ref="A1:N1"/>
    <x:mergeCell ref="A3:J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ALL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Consolidated depth profile across all operations</x:v>
      </x:c>
      <x:c r="B3" s="33" t="str">
        <x:v>Consolidated depth profile across all operations</x:v>
      </x:c>
      <x:c r="C3" s="33" t="str">
        <x:v>Consolidated depth profile across all operations</x:v>
      </x:c>
      <x:c r="D3" s="33" t="str">
        <x:v>Consolidated depth profile across all operations</x:v>
      </x:c>
      <x:c r="E3" s="33" t="str">
        <x:v>Consolidated depth profile across all operations</x:v>
      </x:c>
      <x:c r="F3" s="33" t="str">
        <x:v>Consolidated depth profile across all operations</x:v>
      </x:c>
      <x:c r="G3" s="33" t="str">
        <x:v>Consolidated depth profile across all operations</x:v>
      </x:c>
      <x:c r="H3" s="33" t="str">
        <x:v>Consolidated depth profile across all operations</x:v>
      </x:c>
      <x:c r="I3" s="33" t="str">
        <x:v>Consolidated depth profile across all operations</x:v>
      </x:c>
      <x:c r="J3" s="33" t="str">
        <x:v>Consolidated depth profile across all operations</x:v>
      </x:c>
      <x:c r="K3" s="33" t="str">
        <x:v>Consolidated depth profile across all operations</x:v>
      </x:c>
      <x:c r="L3" s="33" t="str">
        <x:v>Consolidated depth profile across all operations</x:v>
      </x:c>
      <x:c r="M3" s="33" t="str">
        <x:v>Consolidated depth profile across all operations</x:v>
      </x:c>
      <x:c r="N3" s="33" t="str">
        <x:v>Consolidated depth profile across all operations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f>"MD "&amp;'Unit Map'!$H$8</x:f>
        <x:v>MD m</x:v>
      </x:c>
      <x:c r="B5" s="34" t="str">
        <x:f>"Inc "&amp;'Unit Map'!$H$18</x:f>
        <x:v>Inc rad</x:v>
      </x:c>
      <x:c r="C5" s="34" t="str">
        <x:f>"Azi "&amp;'Unit Map'!$H$18</x:f>
        <x:v>Azi rad</x:v>
      </x:c>
      <x:c r="D5" s="34" t="str">
        <x:f>"TVD screen "&amp;'Unit Map'!$H$8</x:f>
        <x:v>TVD screen m</x:v>
      </x:c>
      <x:c r="E5" s="34" t="str">
        <x:f>"PUW axial "&amp;'Unit Map'!$H$14</x:f>
        <x:v>PUW axial N</x:v>
      </x:c>
      <x:c r="F5" s="34" t="str">
        <x:f>"SOW axial "&amp;'Unit Map'!$H$14</x:f>
        <x:v>SOW axial N</x:v>
      </x:c>
      <x:c r="G5" s="34" t="str">
        <x:f>"BKR torque "&amp;'Unit Map'!$H$16</x:f>
        <x:v>BKR torque N-m</x:v>
      </x:c>
      <x:c r="H5" s="34" t="str">
        <x:f>"SLD torque "&amp;'Unit Map'!$H$16</x:f>
        <x:v>SLD torque N-m</x:v>
      </x:c>
      <x:c r="I5" s="34" t="str">
        <x:f>"ROT torque "&amp;'Unit Map'!$H$16</x:f>
        <x:v>ROT torque N-m</x:v>
      </x:c>
      <x:c r="J5" s="34" t="str">
        <x:f>"DRLG torque "&amp;'Unit Map'!$H$16</x:f>
        <x:v>DRLG torque N-m</x:v>
      </x:c>
      <x:c r="K5" s="34" t="str">
        <x:f>"Sinusoidal "&amp;'Unit Map'!$H$14</x:f>
        <x:v>Sinusoidal N</x:v>
      </x:c>
      <x:c r="L5" s="34" t="str">
        <x:f>"Helical "&amp;'Unit Map'!$H$14</x:f>
        <x:v>Helical N</x:v>
      </x:c>
      <x:c r="M5" s="34" t="str">
        <x:v>Buckling status</x:v>
      </x:c>
      <x:c r="N5" s="34" t="str">
        <x:v>Record ID</x:v>
      </x:c>
    </x:row>
    <x:row r="6">
      <x:c r="A6" s="35" t="n">
        <x:f>'Results'!A6</x:f>
        <x:v>0</x:v>
      </x:c>
      <x:c r="B6" s="35" t="n">
        <x:f>'Survey'!B6*'Unit Map'!$I$18</x:f>
        <x:v>0</x:v>
      </x:c>
      <x:c r="C6" s="35" t="n">
        <x:f>'Survey'!C6*'Unit Map'!$I$18</x:f>
        <x:v>0.3490658503988659</x:v>
      </x:c>
      <x:c r="D6" s="35" t="n">
        <x:f>'Results'!A6*COS('Survey'!B6)</x:f>
        <x:v>0</x:v>
      </x:c>
      <x:c r="E6" s="35" t="n">
        <x:f>'Results'!B6</x:f>
        <x:v>120000</x:v>
      </x:c>
      <x:c r="F6" s="35" t="n">
        <x:f>'Results'!C6</x:f>
        <x:v>120000</x:v>
      </x:c>
      <x:c r="G6" s="35" t="n">
        <x:f>'Results'!F6</x:f>
        <x:v>26000</x:v>
      </x:c>
      <x:c r="H6" s="35" t="n">
        <x:f>'Results'!D6</x:f>
        <x:v>26000</x:v>
      </x:c>
      <x:c r="I6" s="35" t="n">
        <x:f>'Results'!E6</x:f>
        <x:v>26000</x:v>
      </x:c>
      <x:c r="J6" s="35" t="n">
        <x:f>'Results'!E6*1.10</x:f>
        <x:v>28600.000000000004</x:v>
      </x:c>
      <x:c r="K6" s="35" t="n">
        <x:f>'Results'!G6</x:f>
        <x:v>0</x:v>
      </x:c>
      <x:c r="L6" s="35" t="n">
        <x:f>'Results'!H6</x:f>
        <x:v>0</x:v>
      </x:c>
      <x:c r="M6" s="35" t="str">
        <x:f>'Results'!I6</x:f>
        <x:v>PASS</x:v>
      </x:c>
      <x:c r="N6" s="35" t="str">
        <x:f>'Results'!K6</x:f>
        <x:v>survey-000</x:v>
      </x:c>
    </x:row>
    <x:row r="7">
      <x:c r="A7" s="35" t="n">
        <x:f>'Results'!A7</x:f>
        <x:v>155.10875760000002</x:v>
      </x:c>
      <x:c r="B7" s="35" t="n">
        <x:f>'Survey'!B7*'Unit Map'!$I$18</x:f>
        <x:v>0.008499753457212385</x:v>
      </x:c>
      <x:c r="C7" s="35" t="n">
        <x:f>'Survey'!C7*'Unit Map'!$I$18</x:f>
        <x:v>0.36271432514946156</x:v>
      </x:c>
      <x:c r="D7" s="35" t="n">
        <x:f>'Results'!A7*COS('Survey'!B7)</x:f>
        <x:v>155.1031546549076</x:v>
      </x:c>
      <x:c r="E7" s="35" t="n">
        <x:f>'Results'!B7</x:f>
        <x:v>154510.13539941903</x:v>
      </x:c>
      <x:c r="F7" s="35" t="n">
        <x:f>'Results'!C7</x:f>
        <x:v>154369.6247643189</x:v>
      </x:c>
      <x:c r="G7" s="35" t="n">
        <x:f>'Results'!F7</x:f>
        <x:v>26011.153031661073</x:v>
      </x:c>
      <x:c r="H7" s="35" t="n">
        <x:f>'Results'!D7</x:f>
        <x:v>26004.461212664428</x:v>
      </x:c>
      <x:c r="I7" s="35" t="n">
        <x:f>'Results'!E7</x:f>
        <x:v>26008.922425328856</x:v>
      </x:c>
      <x:c r="J7" s="35" t="n">
        <x:f>'Results'!E7*1.10</x:f>
        <x:v>28609.814667861745</x:v>
      </x:c>
      <x:c r="K7" s="35" t="n">
        <x:f>'Results'!G7</x:f>
        <x:v>3045.9878423456744</x:v>
      </x:c>
      <x:c r="L7" s="35" t="n">
        <x:f>'Results'!H7</x:f>
        <x:v>6091.975684691349</x:v>
      </x:c>
      <x:c r="M7" s="35" t="str">
        <x:f>'Results'!I7</x:f>
        <x:v>PASS</x:v>
      </x:c>
      <x:c r="N7" s="35" t="str">
        <x:f>'Results'!K7</x:f>
        <x:v>survey-001</x:v>
      </x:c>
    </x:row>
    <x:row r="8">
      <x:c r="A8" s="35" t="n">
        <x:f>'Results'!A8</x:f>
        <x:v>307.974492</x:v>
      </x:c>
      <x:c r="B8" s="35" t="n">
        <x:f>'Survey'!B8*'Unit Map'!$I$18</x:f>
        <x:v>0.010454522219446033</x:v>
      </x:c>
      <x:c r="C8" s="35" t="n">
        <x:f>'Survey'!C8*'Unit Map'!$I$18</x:f>
        <x:v>0.36976545532751864</x:v>
      </x:c>
      <x:c r="D8" s="35" t="n">
        <x:f>'Results'!A8*COS('Survey'!B8)</x:f>
        <x:v>307.9576618039012</x:v>
      </x:c>
      <x:c r="E8" s="35" t="n">
        <x:f>'Results'!B8</x:f>
        <x:v>188467.9142173173</x:v>
      </x:c>
      <x:c r="F8" s="35" t="n">
        <x:f>'Results'!C8</x:f>
        <x:v>188295.53791614895</x:v>
      </x:c>
      <x:c r="G8" s="35" t="n">
        <x:f>'Results'!F8</x:f>
        <x:v>26002.529337244167</x:v>
      </x:c>
      <x:c r="H8" s="35" t="n">
        <x:f>'Results'!D8</x:f>
        <x:v>26001.011734897667</x:v>
      </x:c>
      <x:c r="I8" s="35" t="n">
        <x:f>'Results'!E8</x:f>
        <x:v>26002.02346979533</x:v>
      </x:c>
      <x:c r="J8" s="35" t="n">
        <x:f>'Results'!E8*1.10</x:f>
        <x:v>28602.225816774866</x:v>
      </x:c>
      <x:c r="K8" s="35" t="n">
        <x:f>'Results'!G8</x:f>
        <x:v>1461.161274893059</x:v>
      </x:c>
      <x:c r="L8" s="35" t="n">
        <x:f>'Results'!H8</x:f>
        <x:v>2922.322549786118</x:v>
      </x:c>
      <x:c r="M8" s="35" t="str">
        <x:f>'Results'!I8</x:f>
        <x:v>PASS</x:v>
      </x:c>
      <x:c r="N8" s="35" t="str">
        <x:f>'Results'!K8</x:f>
        <x:v>survey-002</x:v>
      </x:c>
    </x:row>
    <x:row r="9">
      <x:c r="A9" s="35" t="n">
        <x:f>'Results'!A9</x:f>
        <x:v>460.2227016</x:v>
      </x:c>
      <x:c r="B9" s="35" t="n">
        <x:f>'Survey'!B9*'Unit Map'!$I$18</x:f>
        <x:v>0.007766715171374767</x:v>
      </x:c>
      <x:c r="C9" s="35" t="n">
        <x:f>'Survey'!C9*'Unit Map'!$I$18</x:f>
        <x:v>0.36681584889164826</x:v>
      </x:c>
      <x:c r="D9" s="35" t="n">
        <x:f>'Results'!A9*COS('Survey'!B9)</x:f>
        <x:v>460.20882092404077</x:v>
      </x:c>
      <x:c r="E9" s="35" t="n">
        <x:f>'Results'!B9</x:f>
        <x:v>222294.45447042436</x:v>
      </x:c>
      <x:c r="F9" s="35" t="n">
        <x:f>'Results'!C9</x:f>
        <x:v>222078.4629496525</x:v>
      </x:c>
      <x:c r="G9" s="35" t="n">
        <x:f>'Results'!F9</x:f>
        <x:v>26003.46195805603</x:v>
      </x:c>
      <x:c r="H9" s="35" t="n">
        <x:f>'Results'!D9</x:f>
        <x:v>26001.384783222413</x:v>
      </x:c>
      <x:c r="I9" s="35" t="n">
        <x:f>'Results'!E9</x:f>
        <x:v>26002.769566444822</x:v>
      </x:c>
      <x:c r="J9" s="35" t="n">
        <x:f>'Results'!E9*1.10</x:f>
        <x:v>28603.046523089306</x:v>
      </x:c>
      <x:c r="K9" s="35" t="n">
        <x:f>'Results'!G9</x:f>
        <x:v>1712.910460216405</x:v>
      </x:c>
      <x:c r="L9" s="35" t="n">
        <x:f>'Results'!H9</x:f>
        <x:v>3425.82092043281</x:v>
      </x:c>
      <x:c r="M9" s="35" t="str">
        <x:f>'Results'!I9</x:f>
        <x:v>PASS</x:v>
      </x:c>
      <x:c r="N9" s="35" t="str">
        <x:f>'Results'!K9</x:f>
        <x:v>survey-003</x:v>
      </x:c>
    </x:row>
    <x:row r="10">
      <x:c r="A10" s="35" t="n">
        <x:f>'Results'!A10</x:f>
        <x:v>611.9649432</x:v>
      </x:c>
      <x:c r="B10" s="35" t="n">
        <x:f>'Survey'!B10*'Unit Map'!$I$18</x:f>
        <x:v>0.004153883619746505</x:v>
      </x:c>
      <x:c r="C10" s="35" t="n">
        <x:f>'Survey'!C10*'Unit Map'!$I$18</x:f>
        <x:v>0.3552792225359658</x:v>
      </x:c>
      <x:c r="D10" s="35" t="n">
        <x:f>'Results'!A10*COS('Survey'!B10)</x:f>
        <x:v>611.9596635568071</x:v>
      </x:c>
      <x:c r="E10" s="35" t="n">
        <x:f>'Results'!B10</x:f>
        <x:v>256016.06229413615</x:v>
      </x:c>
      <x:c r="F10" s="35" t="n">
        <x:f>'Results'!C10</x:f>
        <x:v>255741.63319933537</x:v>
      </x:c>
      <x:c r="G10" s="35" t="n">
        <x:f>'Results'!F10</x:f>
        <x:v>26004.638482438542</x:v>
      </x:c>
      <x:c r="H10" s="35" t="n">
        <x:f>'Results'!D10</x:f>
        <x:v>26001.855392975416</x:v>
      </x:c>
      <x:c r="I10" s="35" t="n">
        <x:f>'Results'!E10</x:f>
        <x:v>26003.710785950836</x:v>
      </x:c>
      <x:c r="J10" s="35" t="n">
        <x:f>'Results'!E10*1.10</x:f>
        <x:v>28604.081864545922</x:v>
      </x:c>
      <x:c r="K10" s="35" t="n">
        <x:f>'Results'!G10</x:f>
        <x:v>1986.0243471491665</x:v>
      </x:c>
      <x:c r="L10" s="35" t="n">
        <x:f>'Results'!H10</x:f>
        <x:v>3972.048694298333</x:v>
      </x:c>
      <x:c r="M10" s="35" t="str">
        <x:f>'Results'!I10</x:f>
        <x:v>PASS</x:v>
      </x:c>
      <x:c r="N10" s="35" t="str">
        <x:f>'Results'!K10</x:f>
        <x:v>survey-004</x:v>
      </x:c>
    </x:row>
    <x:row r="11">
      <x:c r="A11" s="35" t="n">
        <x:f>'Results'!A11</x:f>
        <x:v>763.5706344</x:v>
      </x:c>
      <x:c r="B11" s="35" t="n">
        <x:f>'Survey'!B11*'Unit Map'!$I$18</x:f>
        <x:v>0.009145525280450286</x:v>
      </x:c>
      <x:c r="C11" s="35" t="n">
        <x:f>'Survey'!C11*'Unit Map'!$I$18</x:f>
        <x:v>0.34074062986685294</x:v>
      </x:c>
      <x:c r="D11" s="35" t="n">
        <x:f>'Results'!A11*COS('Survey'!B11)</x:f>
        <x:v>763.5387018571033</x:v>
      </x:c>
      <x:c r="E11" s="35" t="n">
        <x:f>'Results'!B11</x:f>
        <x:v>289718.4655474009</x:v>
      </x:c>
      <x:c r="F11" s="35" t="n">
        <x:f>'Results'!C11</x:f>
        <x:v>289363.3695426456</x:v>
      </x:c>
      <x:c r="G11" s="35" t="n">
        <x:f>'Results'!F11</x:f>
        <x:v>26006.40293597764</x:v>
      </x:c>
      <x:c r="H11" s="35" t="n">
        <x:f>'Results'!D11</x:f>
        <x:v>26002.561174391056</x:v>
      </x:c>
      <x:c r="I11" s="35" t="n">
        <x:f>'Results'!E11</x:f>
        <x:v>26005.12234878211</x:v>
      </x:c>
      <x:c r="J11" s="35" t="n">
        <x:f>'Results'!E11*1.10</x:f>
        <x:v>28605.634583660325</x:v>
      </x:c>
      <x:c r="K11" s="35" t="n">
        <x:f>'Results'!G11</x:f>
        <x:v>2334.434457092405</x:v>
      </x:c>
      <x:c r="L11" s="35" t="n">
        <x:f>'Results'!H11</x:f>
        <x:v>4668.86891418481</x:v>
      </x:c>
      <x:c r="M11" s="35" t="str">
        <x:f>'Results'!I11</x:f>
        <x:v>PASS</x:v>
      </x:c>
      <x:c r="N11" s="35" t="str">
        <x:f>'Results'!K11</x:f>
        <x:v>survey-005</x:v>
      </x:c>
    </x:row>
    <x:row r="12">
      <x:c r="A12" s="35" t="n">
        <x:f>'Results'!A12</x:f>
        <x:v>915.4786872000001</x:v>
      </x:c>
      <x:c r="B12" s="35" t="n">
        <x:f>'Survey'!B12*'Unit Map'!$I$18</x:f>
        <x:v>0.010314895879286487</x:v>
      </x:c>
      <x:c r="C12" s="35" t="n">
        <x:f>'Survey'!C12*'Unit Map'!$I$18</x:f>
        <x:v>0.3302337477698471</x:v>
      </x:c>
      <x:c r="D12" s="35" t="n">
        <x:f>'Results'!A12*COS('Survey'!B12)</x:f>
        <x:v>915.4299855036251</x:v>
      </x:c>
      <x:c r="E12" s="35" t="n">
        <x:f>'Results'!B12</x:f>
        <x:v>323457.1728441087</x:v>
      </x:c>
      <x:c r="F12" s="35" t="n">
        <x:f>'Results'!C12</x:f>
        <x:v>323083.07275547064</x:v>
      </x:c>
      <x:c r="G12" s="35" t="n">
        <x:f>'Results'!F12</x:f>
        <x:v>26001.5084491582</x:v>
      </x:c>
      <x:c r="H12" s="35" t="n">
        <x:f>'Results'!D12</x:f>
        <x:v>26000.60337966328</x:v>
      </x:c>
      <x:c r="I12" s="35" t="n">
        <x:f>'Results'!E12</x:f>
        <x:v>26001.206759326556</x:v>
      </x:c>
      <x:c r="J12" s="35" t="n">
        <x:f>'Results'!E12*1.10</x:f>
        <x:v>28601.327435259216</x:v>
      </x:c>
      <x:c r="K12" s="35" t="n">
        <x:f>'Results'!G12</x:f>
        <x:v>1131.943624491696</x:v>
      </x:c>
      <x:c r="L12" s="35" t="n">
        <x:f>'Results'!H12</x:f>
        <x:v>2263.887248983392</x:v>
      </x:c>
      <x:c r="M12" s="35" t="str">
        <x:f>'Results'!I12</x:f>
        <x:v>PASS</x:v>
      </x:c>
      <x:c r="N12" s="35" t="str">
        <x:f>'Results'!K12</x:f>
        <x:v>survey-006</x:v>
      </x:c>
    </x:row>
    <x:row r="13">
      <x:c r="A13" s="35" t="n">
        <x:f>'Results'!A13</x:f>
        <x:v>1067.9740896</x:v>
      </x:c>
      <x:c r="B13" s="35" t="n">
        <x:f>'Survey'!B13*'Unit Map'!$I$18</x:f>
        <x:v>0.006928957130417489</x:v>
      </x:c>
      <x:c r="C13" s="35" t="n">
        <x:f>'Survey'!C13*'Unit Map'!$I$18</x:f>
        <x:v>0.32882003107573166</x:v>
      </x:c>
      <x:c r="D13" s="35" t="n">
        <x:f>'Results'!A13*COS('Survey'!B13)</x:f>
        <x:v>1067.9484527459024</x:v>
      </x:c>
      <x:c r="E13" s="35" t="n">
        <x:f>'Results'!B13</x:f>
        <x:v>357344.30678427016</x:v>
      </x:c>
      <x:c r="F13" s="35" t="n">
        <x:f>'Results'!C13</x:f>
        <x:v>356915.17598741263</x:v>
      </x:c>
      <x:c r="G13" s="35" t="n">
        <x:f>'Results'!F13</x:f>
        <x:v>26004.36806246492</x:v>
      </x:c>
      <x:c r="H13" s="35" t="n">
        <x:f>'Results'!D13</x:f>
        <x:v>26001.747224985967</x:v>
      </x:c>
      <x:c r="I13" s="35" t="n">
        <x:f>'Results'!E13</x:f>
        <x:v>26003.49444997194</x:v>
      </x:c>
      <x:c r="J13" s="35" t="n">
        <x:f>'Results'!E13*1.10</x:f>
        <x:v>28603.843894969134</x:v>
      </x:c>
      <x:c r="K13" s="35" t="n">
        <x:f>'Results'!G13</x:f>
        <x:v>1922.4980265136417</x:v>
      </x:c>
      <x:c r="L13" s="35" t="n">
        <x:f>'Results'!H13</x:f>
        <x:v>3844.9960530272833</x:v>
      </x:c>
      <x:c r="M13" s="35" t="str">
        <x:f>'Results'!I13</x:f>
        <x:v>PASS</x:v>
      </x:c>
      <x:c r="N13" s="35" t="str">
        <x:f>'Results'!K13</x:f>
        <x:v>survey-007</x:v>
      </x:c>
    </x:row>
    <x:row r="14">
      <x:c r="A14" s="35" t="n">
        <x:f>'Results'!A14</x:f>
        <x:v>1221.042516</x:v>
      </x:c>
      <x:c r="B14" s="35" t="n">
        <x:f>'Survey'!B14*'Unit Map'!$I$18</x:f>
        <x:v>0.005148721293383272</x:v>
      </x:c>
      <x:c r="C14" s="35" t="n">
        <x:f>'Survey'!C14*'Unit Map'!$I$18</x:f>
        <x:v>0.3371801581927845</x:v>
      </x:c>
      <x:c r="D14" s="35" t="n">
        <x:f>'Results'!A14*COS('Survey'!B14)</x:f>
        <x:v>1221.0263315256686</x:v>
      </x:c>
      <x:c r="E14" s="35" t="n">
        <x:f>'Results'!B14</x:f>
        <x:v>391345.68470615847</x:v>
      </x:c>
      <x:c r="F14" s="35" t="n">
        <x:f>'Results'!C14</x:f>
        <x:v>390887.50027428183</x:v>
      </x:c>
      <x:c r="G14" s="35" t="n">
        <x:f>'Results'!F14</x:f>
        <x:v>26002.30613227964</x:v>
      </x:c>
      <x:c r="H14" s="35" t="n">
        <x:f>'Results'!D14</x:f>
        <x:v>26000.922452911855</x:v>
      </x:c>
      <x:c r="I14" s="35" t="n">
        <x:f>'Results'!E14</x:f>
        <x:v>26001.844905823713</x:v>
      </x:c>
      <x:c r="J14" s="35" t="n">
        <x:f>'Results'!E14*1.10</x:f>
        <x:v>28602.029396406087</x:v>
      </x:c>
      <x:c r="K14" s="35" t="n">
        <x:f>'Results'!G14</x:f>
        <x:v>1394.2772985072377</x:v>
      </x:c>
      <x:c r="L14" s="35" t="n">
        <x:f>'Results'!H14</x:f>
        <x:v>2788.5545970144753</x:v>
      </x:c>
      <x:c r="M14" s="35" t="str">
        <x:f>'Results'!I14</x:f>
        <x:v>PASS</x:v>
      </x:c>
      <x:c r="N14" s="35" t="str">
        <x:f>'Results'!K14</x:f>
        <x:v>survey-008</x:v>
      </x:c>
    </x:row>
    <x:row r="15">
      <x:c r="A15" s="35" t="n">
        <x:f>'Results'!A15</x:f>
        <x:v>1374.3773376000001</x:v>
      </x:c>
      <x:c r="B15" s="35" t="n">
        <x:f>'Survey'!B15*'Unit Map'!$I$18</x:f>
        <x:v>0.009669124056048585</x:v>
      </x:c>
      <x:c r="C15" s="35" t="n">
        <x:f>'Survey'!C15*'Unit Map'!$I$18</x:f>
        <x:v>0.35129987184141864</x:v>
      </x:c>
      <x:c r="D15" s="35" t="n">
        <x:f>'Results'!A15*COS('Survey'!B15)</x:f>
        <x:v>1374.313091485</x:v>
      </x:c>
      <x:c r="E15" s="35" t="n">
        <x:f>'Results'!B15</x:f>
        <x:v>425428.63075766864</x:v>
      </x:c>
      <x:c r="F15" s="35" t="n">
        <x:f>'Results'!C15</x:f>
        <x:v>424896.5556028249</x:v>
      </x:c>
      <x:c r="G15" s="35" t="n">
        <x:f>'Results'!F15</x:f>
        <x:v>26005.865076135517</x:v>
      </x:c>
      <x:c r="H15" s="35" t="n">
        <x:f>'Results'!D15</x:f>
        <x:v>26002.346030454206</x:v>
      </x:c>
      <x:c r="I15" s="35" t="n">
        <x:f>'Results'!E15</x:f>
        <x:v>26004.692060908415</x:v>
      </x:c>
      <x:c r="J15" s="35" t="n">
        <x:f>'Results'!E15*1.10</x:f>
        <x:v>28605.16126699926</x:v>
      </x:c>
      <x:c r="K15" s="35" t="n">
        <x:f>'Results'!G15</x:f>
        <x:v>2221.60215796265</x:v>
      </x:c>
      <x:c r="L15" s="35" t="n">
        <x:f>'Results'!H15</x:f>
        <x:v>4443.2043159253</x:v>
      </x:c>
      <x:c r="M15" s="35" t="str">
        <x:f>'Results'!I15</x:f>
        <x:v>PASS</x:v>
      </x:c>
      <x:c r="N15" s="35" t="str">
        <x:f>'Results'!K15</x:f>
        <x:v>survey-009</x:v>
      </x:c>
    </x:row>
    <x:row r="16">
      <x:c r="A16" s="35" t="n">
        <x:f>'Results'!A16</x:f>
        <x:v>1527.5362896000001</x:v>
      </x:c>
      <x:c r="B16" s="35" t="n">
        <x:f>'Survey'!B16*'Unit Map'!$I$18</x:f>
        <x:v>0.010035643198967393</x:v>
      </x:c>
      <x:c r="C16" s="35" t="n">
        <x:f>'Survey'!C16*'Unit Map'!$I$18</x:f>
        <x:v>0.36433748135381633</x:v>
      </x:c>
      <x:c r="D16" s="35" t="n">
        <x:f>'Results'!A16*COS('Survey'!B16)</x:f>
        <x:v>1527.4593679979957</x:v>
      </x:c>
      <x:c r="E16" s="35" t="n">
        <x:f>'Results'!B16</x:f>
        <x:v>459438.75162258657</x:v>
      </x:c>
      <x:c r="F16" s="35" t="n">
        <x:f>'Results'!C16</x:f>
        <x:v>458900.33700830623</x:v>
      </x:c>
      <x:c r="G16" s="35" t="n">
        <x:f>'Results'!F16</x:f>
        <x:v>26000.50319459278</x:v>
      </x:c>
      <x:c r="H16" s="35" t="n">
        <x:f>'Results'!D16</x:f>
        <x:v>26000.201277837114</x:v>
      </x:c>
      <x:c r="I16" s="35" t="n">
        <x:f>'Results'!E16</x:f>
        <x:v>26000.402555674227</x:v>
      </x:c>
      <x:c r="J16" s="35" t="n">
        <x:f>'Results'!E16*1.10</x:f>
        <x:v>28600.442811241654</x:v>
      </x:c>
      <x:c r="K16" s="35" t="n">
        <x:f>'Results'!G16</x:f>
        <x:v>651.098429003259</x:v>
      </x:c>
      <x:c r="L16" s="35" t="n">
        <x:f>'Results'!H16</x:f>
        <x:v>1302.196858006518</x:v>
      </x:c>
      <x:c r="M16" s="35" t="str">
        <x:f>'Results'!I16</x:f>
        <x:v>PASS</x:v>
      </x:c>
      <x:c r="N16" s="35" t="str">
        <x:f>'Results'!K16</x:f>
        <x:v>survey-010</x:v>
      </x:c>
    </x:row>
    <x:row r="17">
      <x:c r="A17" s="35" t="n">
        <x:f>'Results'!A17</x:f>
        <x:v>1565.8667184</x:v>
      </x:c>
      <x:c r="B17" s="35" t="n">
        <x:f>'Survey'!B17*'Unit Map'!$I$18</x:f>
        <x:v>0.20598375832037077</x:v>
      </x:c>
      <x:c r="C17" s="35" t="n">
        <x:f>'Survey'!C17*'Unit Map'!$I$18</x:f>
        <x:v>0.43128831146031876</x:v>
      </x:c>
      <x:c r="D17" s="35" t="n">
        <x:f>'Results'!A17*COS('Survey'!B17)</x:f>
        <x:v>1532.764687293299</x:v>
      </x:c>
      <x:c r="E17" s="35" t="n">
        <x:f>'Results'!B17</x:f>
        <x:v>468349.8132751307</x:v>
      </x:c>
      <x:c r="F17" s="35" t="n">
        <x:f>'Results'!C17</x:f>
        <x:v>467010.8206480392</x:v>
      </x:c>
      <x:c r="G17" s="35" t="n">
        <x:f>'Results'!F17</x:f>
        <x:v>26063.54587976688</x:v>
      </x:c>
      <x:c r="H17" s="35" t="n">
        <x:f>'Results'!D17</x:f>
        <x:v>26025.418351906752</x:v>
      </x:c>
      <x:c r="I17" s="35" t="n">
        <x:f>'Results'!E17</x:f>
        <x:v>26050.836703813504</x:v>
      </x:c>
      <x:c r="J17" s="35" t="n">
        <x:f>'Results'!E17*1.10</x:f>
        <x:v>28655.920374194855</x:v>
      </x:c>
      <x:c r="K17" s="35" t="n">
        <x:f>'Results'!G17</x:f>
        <x:v>14625.870276492271</x:v>
      </x:c>
      <x:c r="L17" s="35" t="n">
        <x:f>'Results'!H17</x:f>
        <x:v>29251.740552984542</x:v>
      </x:c>
      <x:c r="M17" s="35" t="str">
        <x:f>'Results'!I17</x:f>
        <x:v>PASS</x:v>
      </x:c>
      <x:c r="N17" s="35" t="str">
        <x:f>'Results'!K17</x:f>
        <x:v>survey-011</x:v>
      </x:c>
    </x:row>
    <x:row r="18">
      <x:c r="A18" s="35" t="n">
        <x:f>'Results'!A18</x:f>
        <x:v>1603.5857184000001</x:v>
      </x:c>
      <x:c r="B18" s="35" t="n">
        <x:f>'Survey'!B18*'Unit Map'!$I$18</x:f>
        <x:v>0.38554323176554733</x:v>
      </x:c>
      <x:c r="C18" s="35" t="n">
        <x:f>'Survey'!C18*'Unit Map'!$I$18</x:f>
        <x:v>0.47877872040708447</x:v>
      </x:c>
      <x:c r="D18" s="35" t="n">
        <x:f>'Results'!A18*COS('Survey'!B18)</x:f>
        <x:v>1485.8733546094861</x:v>
      </x:c>
      <x:c r="E18" s="35" t="n">
        <x:f>'Results'!B18</x:f>
        <x:v>477086.71589363687</x:v>
      </x:c>
      <x:c r="F18" s="35" t="n">
        <x:f>'Results'!C18</x:f>
        <x:v>475023.9437135505</x:v>
      </x:c>
      <x:c r="G18" s="35" t="n">
        <x:f>'Results'!F18</x:f>
        <x:v>26057.450002018966</x:v>
      </x:c>
      <x:c r="H18" s="35" t="n">
        <x:f>'Results'!D18</x:f>
        <x:v>26022.980000807587</x:v>
      </x:c>
      <x:c r="I18" s="35" t="n">
        <x:f>'Results'!E18</x:f>
        <x:v>26045.960001615174</x:v>
      </x:c>
      <x:c r="J18" s="35" t="n">
        <x:f>'Results'!E18*1.10</x:f>
        <x:v>28650.556001776695</x:v>
      </x:c>
      <x:c r="K18" s="35" t="n">
        <x:f>'Results'!G18</x:f>
        <x:v>14018.927722546516</x:v>
      </x:c>
      <x:c r="L18" s="35" t="n">
        <x:f>'Results'!H18</x:f>
        <x:v>28037.85544509303</x:v>
      </x:c>
      <x:c r="M18" s="35" t="str">
        <x:f>'Results'!I18</x:f>
        <x:v>PASS</x:v>
      </x:c>
      <x:c r="N18" s="35" t="str">
        <x:f>'Results'!K18</x:f>
        <x:v>survey-012</x:v>
      </x:c>
    </x:row>
    <x:row r="19">
      <x:c r="A19" s="35" t="n">
        <x:f>'Results'!A19</x:f>
        <x:v>1640.9209752000002</x:v>
      </x:c>
      <x:c r="B19" s="35" t="n">
        <x:f>'Survey'!B19*'Unit Map'!$I$18</x:f>
        <x:v>0.5509829915620899</x:v>
      </x:c>
      <x:c r="C19" s="35" t="n">
        <x:f>'Survey'!C19*'Unit Map'!$I$18</x:f>
        <x:v>0.5133711461816121</x:v>
      </x:c>
      <x:c r="D19" s="35" t="n">
        <x:f>'Results'!A19*COS('Survey'!B19)</x:f>
        <x:v>1398.0815938872477</x:v>
      </x:c>
      <x:c r="E19" s="35" t="n">
        <x:f>'Results'!B19</x:f>
        <x:v>485707.09476391843</x:v>
      </x:c>
      <x:c r="F19" s="35" t="n">
        <x:f>'Results'!C19</x:f>
        <x:v>482983.18016497383</x:v>
      </x:c>
      <x:c r="G19" s="35" t="n">
        <x:f>'Results'!F19</x:f>
        <x:v>26052.478179496877</x:v>
      </x:c>
      <x:c r="H19" s="35" t="n">
        <x:f>'Results'!D19</x:f>
        <x:v>26020.99127179875</x:v>
      </x:c>
      <x:c r="I19" s="35" t="n">
        <x:f>'Results'!E19</x:f>
        <x:v>26041.982543597504</x:v>
      </x:c>
      <x:c r="J19" s="35" t="n">
        <x:f>'Results'!E19*1.10</x:f>
        <x:v>28646.180797957255</x:v>
      </x:c>
      <x:c r="K19" s="35" t="n">
        <x:f>'Results'!G19</x:f>
        <x:v>13467.273080777122</x:v>
      </x:c>
      <x:c r="L19" s="35" t="n">
        <x:f>'Results'!H19</x:f>
        <x:v>26934.546161554244</x:v>
      </x:c>
      <x:c r="M19" s="35" t="str">
        <x:f>'Results'!I19</x:f>
        <x:v>PASS</x:v>
      </x:c>
      <x:c r="N19" s="35" t="str">
        <x:f>'Results'!K19</x:f>
        <x:v>survey-013</x:v>
      </x:c>
    </x:row>
    <x:row r="20">
      <x:c r="A20" s="35" t="n">
        <x:f>'Results'!A20</x:f>
        <x:v>1678.2970752</x:v>
      </x:c>
      <x:c r="B20" s="35" t="n">
        <x:f>'Survey'!B20*'Unit Map'!$I$18</x:f>
        <x:v>0.7084815032620583</x:v>
      </x:c>
      <x:c r="C20" s="35" t="n">
        <x:f>'Survey'!C20*'Unit Map'!$I$18</x:f>
        <x:v>0.5371599838862948</x:v>
      </x:c>
      <x:c r="D20" s="35" t="n">
        <x:f>'Results'!A20*COS('Survey'!B20)</x:f>
        <x:v>1274.416241355058</x:v>
      </x:c>
      <x:c r="E20" s="35" t="n">
        <x:f>'Results'!B20</x:f>
        <x:v>494320.8872486618</x:v>
      </x:c>
      <x:c r="F20" s="35" t="n">
        <x:f>'Results'!C20</x:f>
        <x:v>490967.14040348405</x:v>
      </x:c>
      <x:c r="G20" s="35" t="n">
        <x:f>'Results'!F20</x:f>
        <x:v>26049.99293454476</x:v>
      </x:c>
      <x:c r="H20" s="35" t="n">
        <x:f>'Results'!D20</x:f>
        <x:v>26019.997173817905</x:v>
      </x:c>
      <x:c r="I20" s="35" t="n">
        <x:f>'Results'!E20</x:f>
        <x:v>26039.994347635806</x:v>
      </x:c>
      <x:c r="J20" s="35" t="n">
        <x:f>'Results'!E20*1.10</x:f>
        <x:v>28643.99378239939</x:v>
      </x:c>
      <x:c r="K20" s="35" t="n">
        <x:f>'Results'!G20</x:f>
        <x:v>13137.332179016305</x:v>
      </x:c>
      <x:c r="L20" s="35" t="n">
        <x:f>'Results'!H20</x:f>
        <x:v>26274.66435803261</x:v>
      </x:c>
      <x:c r="M20" s="35" t="str">
        <x:f>'Results'!I20</x:f>
        <x:v>PASS</x:v>
      </x:c>
      <x:c r="N20" s="35" t="str">
        <x:f>'Results'!K20</x:f>
        <x:v>survey-014</x:v>
      </x:c>
    </x:row>
    <x:row r="21">
      <x:c r="A21" s="35" t="n">
        <x:f>'Results'!A21</x:f>
        <x:v>1716.1166592000002</x:v>
      </x:c>
      <x:c r="B21" s="35" t="n">
        <x:f>'Survey'!B21*'Unit Map'!$I$18</x:f>
        <x:v>0.8696277530986946</x:v>
      </x:c>
      <x:c r="C21" s="35" t="n">
        <x:f>'Survey'!C21*'Unit Map'!$I$18</x:f>
        <x:v>0.5575803361346284</x:v>
      </x:c>
      <x:c r="D21" s="35" t="n">
        <x:f>'Results'!A21*COS('Survey'!B21)</x:f>
        <x:v>1107.0857712626132</x:v>
      </x:c>
      <x:c r="E21" s="35" t="n">
        <x:f>'Results'!B21</x:f>
        <x:v>503044.30107654614</x:v>
      </x:c>
      <x:c r="F21" s="35" t="n">
        <x:f>'Results'!C21</x:f>
        <x:v>499038.4189947745</x:v>
      </x:c>
      <x:c r="G21" s="35" t="n">
        <x:f>'Results'!F21</x:f>
        <x:v>26051.763234404643</x:v>
      </x:c>
      <x:c r="H21" s="35" t="n">
        <x:f>'Results'!D21</x:f>
        <x:v>26020.705293761857</x:v>
      </x:c>
      <x:c r="I21" s="35" t="n">
        <x:f>'Results'!E21</x:f>
        <x:v>26041.410587523715</x:v>
      </x:c>
      <x:c r="J21" s="35" t="n">
        <x:f>'Results'!E21*1.10</x:f>
        <x:v>28645.55164627609</x:v>
      </x:c>
      <x:c r="K21" s="35" t="n">
        <x:f>'Results'!G21</x:f>
        <x:v>13289.302478170144</x:v>
      </x:c>
      <x:c r="L21" s="35" t="n">
        <x:f>'Results'!H21</x:f>
        <x:v>26578.60495634029</x:v>
      </x:c>
      <x:c r="M21" s="35" t="str">
        <x:f>'Results'!I21</x:f>
        <x:v>PASS</x:v>
      </x:c>
      <x:c r="N21" s="35" t="str">
        <x:f>'Results'!K21</x:f>
        <x:v>survey-015</x:v>
      </x:c>
    </x:row>
    <x:row r="22">
      <x:c r="A22" s="35" t="n">
        <x:f>'Results'!A22</x:f>
        <x:v>1754.5571208000001</x:v>
      </x:c>
      <x:c r="B22" s="35" t="n">
        <x:f>'Survey'!B22*'Unit Map'!$I$18</x:f>
        <x:v>1.0435149064748896</x:v>
      </x:c>
      <x:c r="C22" s="35" t="n">
        <x:f>'Survey'!C22*'Unit Map'!$I$18</x:f>
        <x:v>0.5837602749145435</x:v>
      </x:c>
      <x:c r="D22" s="35" t="n">
        <x:f>'Results'!A22*COS('Survey'!B22)</x:f>
        <x:v>882.8683446432337</x:v>
      </x:c>
      <x:c r="E22" s="35" t="n">
        <x:f>'Results'!B22</x:f>
        <x:v>511938.37316616287</x:v>
      </x:c>
      <x:c r="F22" s="35" t="n">
        <x:f>'Results'!C22</x:f>
        <x:v>507214.75489862217</x:v>
      </x:c>
      <x:c r="G22" s="35" t="n">
        <x:f>'Results'!F22</x:f>
        <x:v>26056.97030974542</x:v>
      </x:c>
      <x:c r="H22" s="35" t="n">
        <x:f>'Results'!D22</x:f>
        <x:v>26022.788123898168</x:v>
      </x:c>
      <x:c r="I22" s="35" t="n">
        <x:f>'Results'!E22</x:f>
        <x:v>26045.576247796333</x:v>
      </x:c>
      <x:c r="J22" s="35" t="n">
        <x:f>'Results'!E22*1.10</x:f>
        <x:v>28650.133872575967</x:v>
      </x:c>
      <x:c r="K22" s="35" t="n">
        <x:f>'Results'!G22</x:f>
        <x:v>13828.652103940169</x:v>
      </x:c>
      <x:c r="L22" s="35" t="n">
        <x:f>'Results'!H22</x:f>
        <x:v>27657.304207880337</x:v>
      </x:c>
      <x:c r="M22" s="35" t="str">
        <x:f>'Results'!I22</x:f>
        <x:v>PASS</x:v>
      </x:c>
      <x:c r="N22" s="35" t="str">
        <x:f>'Results'!K22</x:f>
        <x:v>survey-016</x:v>
      </x:c>
    </x:row>
    <x:row r="23">
      <x:c r="A23" s="35" t="n">
        <x:f>'Results'!A23</x:f>
        <x:v>1793.4788616</x:v>
      </x:c>
      <x:c r="B23" s="35" t="n">
        <x:f>'Survey'!B23*'Unit Map'!$I$18</x:f>
        <x:v>1.2305967489961618</x:v>
      </x:c>
      <x:c r="C23" s="35" t="n">
        <x:f>'Survey'!C23*'Unit Map'!$I$18</x:f>
        <x:v>0.6219480789481793</x:v>
      </x:c>
      <x:c r="D23" s="35" t="n">
        <x:f>'Results'!A23*COS('Survey'!B23)</x:f>
        <x:v>598.4394867076721</x:v>
      </x:c>
      <x:c r="E23" s="35" t="n">
        <x:f>'Results'!B23</x:f>
        <x:v>520975.0329266632</x:v>
      </x:c>
      <x:c r="F23" s="35" t="n">
        <x:f>'Results'!C23</x:f>
        <x:v>515462.2266916272</x:v>
      </x:c>
      <x:c r="G23" s="35" t="n">
        <x:f>'Results'!F23</x:f>
        <x:v>26062.641794919942</x:v>
      </x:c>
      <x:c r="H23" s="35" t="n">
        <x:f>'Results'!D23</x:f>
        <x:v>26025.05671796798</x:v>
      </x:c>
      <x:c r="I23" s="35" t="n">
        <x:f>'Results'!E23</x:f>
        <x:v>26050.113435935953</x:v>
      </x:c>
      <x:c r="J23" s="35" t="n">
        <x:f>'Results'!E23*1.10</x:f>
        <x:v>28655.12477952955</x:v>
      </x:c>
      <x:c r="K23" s="35" t="n">
        <x:f>'Results'!G23</x:f>
        <x:v>14410.724855994376</x:v>
      </x:c>
      <x:c r="L23" s="35" t="n">
        <x:f>'Results'!H23</x:f>
        <x:v>28821.449711988753</x:v>
      </x:c>
      <x:c r="M23" s="35" t="str">
        <x:f>'Results'!I23</x:f>
        <x:v>PASS</x:v>
      </x:c>
      <x:c r="N23" s="35" t="str">
        <x:f>'Results'!K23</x:f>
        <x:v>survey-017</x:v>
      </x:c>
    </x:row>
    <x:row r="24">
      <x:c r="A24" s="35" t="n">
        <x:f>'Results'!A24</x:f>
        <x:v>1832.4975288000003</x:v>
      </x:c>
      <x:c r="B24" s="35" t="n">
        <x:f>'Survey'!B24*'Unit Map'!$I$18</x:f>
        <x:v>1.422321167327739</x:v>
      </x:c>
      <x:c r="C24" s="35" t="n">
        <x:f>'Survey'!C24*'Unit Map'!$I$18</x:f>
        <x:v>0.6724404542083752</x:v>
      </x:c>
      <x:c r="D24" s="35" t="n">
        <x:f>'Results'!A24*COS('Survey'!B24)</x:f>
        <x:v>271.08180126589554</x:v>
      </x:c>
      <x:c r="E24" s="35" t="n">
        <x:f>'Results'!B24</x:f>
        <x:v>530050.028756666</x:v>
      </x:c>
      <x:c r="F24" s="35" t="n">
        <x:f>'Results'!C24</x:f>
        <x:v>523714.4049053724</x:v>
      </x:c>
      <x:c r="G24" s="35" t="n">
        <x:f>'Results'!F24</x:f>
        <x:v>26065.311148290446</x:v>
      </x:c>
      <x:c r="H24" s="35" t="n">
        <x:f>'Results'!D24</x:f>
        <x:v>26026.12445931618</x:v>
      </x:c>
      <x:c r="I24" s="35" t="n">
        <x:f>'Results'!E24</x:f>
        <x:v>26052.248918632355</x:v>
      </x:c>
      <x:c r="J24" s="35" t="n">
        <x:f>'Results'!E24*1.10</x:f>
        <x:v>28657.473810495594</x:v>
      </x:c>
      <x:c r="K24" s="35" t="n">
        <x:f>'Results'!G24</x:f>
        <x:v>14696.276085690224</x:v>
      </x:c>
      <x:c r="L24" s="35" t="n">
        <x:f>'Results'!H24</x:f>
        <x:v>29392.55217138045</x:v>
      </x:c>
      <x:c r="M24" s="35" t="str">
        <x:f>'Results'!I24</x:f>
        <x:v>PASS</x:v>
      </x:c>
      <x:c r="N24" s="35" t="str">
        <x:f>'Results'!K24</x:f>
        <x:v>survey-018</x:v>
      </x:c>
    </x:row>
    <x:row r="25">
      <x:c r="A25" s="35" t="n">
        <x:f>'Results'!A25</x:f>
        <x:v>1871.1787824</x:v>
      </x:c>
      <x:c r="B25" s="35" t="n">
        <x:f>'Survey'!B25*'Unit Map'!$I$18</x:f>
        <x:v>1.607011908773779</x:v>
      </x:c>
      <x:c r="C25" s="35" t="n">
        <x:f>'Survey'!C25*'Unit Map'!$I$18</x:f>
        <x:v>0.7294254542859901</x:v>
      </x:c>
      <x:c r="D25" s="35" t="n">
        <x:f>'Results'!A25*COS('Survey'!B25)</x:f>
        <x:v>-67.75101630956975</x:v>
      </x:c>
      <x:c r="E25" s="35" t="n">
        <x:f>'Results'!B25</x:f>
        <x:v>539037.0019643743</x:v>
      </x:c>
      <x:c r="F25" s="35" t="n">
        <x:f>'Results'!C25</x:f>
        <x:v>531904.7691480203</x:v>
      </x:c>
      <x:c r="G25" s="35" t="n">
        <x:f>'Results'!F25</x:f>
        <x:v>26063.23083660167</x:v>
      </x:c>
      <x:c r="H25" s="35" t="n">
        <x:f>'Results'!D25</x:f>
        <x:v>26025.292334640668</x:v>
      </x:c>
      <x:c r="I25" s="35" t="n">
        <x:f>'Results'!E25</x:f>
        <x:v>26050.584669281336</x:v>
      </x:c>
      <x:c r="J25" s="35" t="n">
        <x:f>'Results'!E25*1.10</x:f>
        <x:v>28655.64313620947</x:v>
      </x:c>
      <x:c r="K25" s="35" t="n">
        <x:f>'Results'!G25</x:f>
        <x:v>14523.257963276968</x:v>
      </x:c>
      <x:c r="L25" s="35" t="n">
        <x:f>'Results'!H25</x:f>
        <x:v>29046.515926553937</x:v>
      </x:c>
      <x:c r="M25" s="35" t="str">
        <x:f>'Results'!I25</x:f>
        <x:v>PASS</x:v>
      </x:c>
      <x:c r="N25" s="35" t="str">
        <x:f>'Results'!K25</x:f>
        <x:v>survey-019</x:v>
      </x:c>
    </x:row>
    <x:row r="26">
      <x:c r="A26" s="35" t="n">
        <x:f>'Results'!A26</x:f>
        <x:v>1947.3607992000002</x:v>
      </x:c>
      <x:c r="B26" s="35" t="n">
        <x:f>'Survey'!B26*'Unit Map'!$I$18</x:f>
        <x:v>1.5600974584801712</x:v>
      </x:c>
      <x:c r="C26" s="35" t="n">
        <x:f>'Survey'!C26*'Unit Map'!$I$18</x:f>
        <x:v>0.775345066905961</x:v>
      </x:c>
      <x:c r="D26" s="35" t="n">
        <x:f>'Results'!A26*COS('Survey'!B26)</x:f>
        <x:v>20.834159280197955</x:v>
      </x:c>
      <x:c r="E26" s="35" t="n">
        <x:f>'Results'!B26</x:f>
        <x:v>556218.7098983912</x:v>
      </x:c>
      <x:c r="F26" s="35" t="n">
        <x:f>'Results'!C26</x:f>
        <x:v>548553.5110684601</x:v>
      </x:c>
      <x:c r="G26" s="35" t="n">
        <x:f>'Results'!F26</x:f>
        <x:v>26042.304177327685</x:v>
      </x:c>
      <x:c r="H26" s="35" t="n">
        <x:f>'Results'!D26</x:f>
        <x:v>26016.921670931075</x:v>
      </x:c>
      <x:c r="I26" s="35" t="n">
        <x:f>'Results'!E26</x:f>
        <x:v>26033.84334186215</x:v>
      </x:c>
      <x:c r="J26" s="35" t="n">
        <x:f>'Results'!E26*1.10</x:f>
        <x:v>28637.227676048366</x:v>
      </x:c>
      <x:c r="K26" s="35" t="n">
        <x:f>'Results'!G26</x:f>
        <x:v>8464.771745150709</x:v>
      </x:c>
      <x:c r="L26" s="35" t="n">
        <x:f>'Results'!H26</x:f>
        <x:v>16929.543490301417</x:v>
      </x:c>
      <x:c r="M26" s="35" t="str">
        <x:f>'Results'!I26</x:f>
        <x:v>PASS</x:v>
      </x:c>
      <x:c r="N26" s="35" t="str">
        <x:f>'Results'!K26</x:f>
        <x:v>survey-020</x:v>
      </x:c>
    </x:row>
    <x:row r="27">
      <x:c r="A27" s="35" t="n">
        <x:f>'Results'!A27</x:f>
        <x:v>2022.9868608</x:v>
      </x:c>
      <x:c r="B27" s="35" t="n">
        <x:f>'Survey'!B27*'Unit Map'!$I$18</x:f>
        <x:v>1.5621045871199648</x:v>
      </x:c>
      <x:c r="C27" s="35" t="n">
        <x:f>'Survey'!C27*'Unit Map'!$I$18</x:f>
        <x:v>0.8168664498109061</x:v>
      </x:c>
      <x:c r="D27" s="35" t="n">
        <x:f>'Results'!A27*COS('Survey'!B27)</x:f>
        <x:v>17.583053768707636</x:v>
      </x:c>
      <x:c r="E27" s="35" t="n">
        <x:f>'Results'!B27</x:f>
        <x:v>573178.0120435266</x:v>
      </x:c>
      <x:c r="F27" s="35" t="n">
        <x:f>'Results'!C27</x:f>
        <x:v>565177.7735507294</x:v>
      </x:c>
      <x:c r="G27" s="35" t="n">
        <x:f>'Results'!F27</x:f>
        <x:v>26026.593773239994</x:v>
      </x:c>
      <x:c r="H27" s="35" t="n">
        <x:f>'Results'!D27</x:f>
        <x:v>26010.637509295997</x:v>
      </x:c>
      <x:c r="I27" s="35" t="n">
        <x:f>'Results'!E27</x:f>
        <x:v>26021.275018591994</x:v>
      </x:c>
      <x:c r="J27" s="35" t="n">
        <x:f>'Results'!E27*1.10</x:f>
        <x:v>28623.402520451196</x:v>
      </x:c>
      <x:c r="K27" s="35" t="n">
        <x:f>'Results'!G27</x:f>
        <x:v>6736.03129578184</x:v>
      </x:c>
      <x:c r="L27" s="35" t="n">
        <x:f>'Results'!H27</x:f>
        <x:v>13472.06259156368</x:v>
      </x:c>
      <x:c r="M27" s="35" t="str">
        <x:f>'Results'!I27</x:f>
        <x:v>PASS</x:v>
      </x:c>
      <x:c r="N27" s="35" t="str">
        <x:f>'Results'!K27</x:f>
        <x:v>survey-021</x:v>
      </x:c>
    </x:row>
    <x:row r="28">
      <x:c r="A28" s="35" t="n">
        <x:f>'Results'!A28</x:f>
        <x:v>2098.3837128</x:v>
      </x:c>
      <x:c r="B28" s="35" t="n">
        <x:f>'Survey'!B28*'Unit Map'!$I$18</x:f>
        <x:v>1.5629597984534422</x:v>
      </x:c>
      <x:c r="C28" s="35" t="n">
        <x:f>'Survey'!C28*'Unit Map'!$I$18</x:f>
        <x:v>0.8568519429740961</x:v>
      </x:c>
      <x:c r="D28" s="35" t="n">
        <x:f>'Results'!A28*COS('Survey'!B28)</x:f>
        <x:v>16.443875129111436</x:v>
      </x:c>
      <x:c r="E28" s="35" t="n">
        <x:f>'Results'!B28</x:f>
        <x:v>590079.5868524231</x:v>
      </x:c>
      <x:c r="F28" s="35" t="n">
        <x:f>'Results'!C28</x:f>
        <x:v>581757.977354576</x:v>
      </x:c>
      <x:c r="G28" s="35" t="n">
        <x:f>'Results'!F28</x:f>
        <x:v>26025.508823525834</x:v>
      </x:c>
      <x:c r="H28" s="35" t="n">
        <x:f>'Results'!D28</x:f>
        <x:v>26010.203529410333</x:v>
      </x:c>
      <x:c r="I28" s="35" t="n">
        <x:f>'Results'!E28</x:f>
        <x:v>26020.407058820667</x:v>
      </x:c>
      <x:c r="J28" s="35" t="n">
        <x:f>'Results'!E28*1.10</x:f>
        <x:v>28622.447764702734</x:v>
      </x:c>
      <x:c r="K28" s="35" t="n">
        <x:f>'Results'!G28</x:f>
        <x:v>6607.2154035717995</x:v>
      </x:c>
      <x:c r="L28" s="35" t="n">
        <x:f>'Results'!H28</x:f>
        <x:v>13214.430807143599</x:v>
      </x:c>
      <x:c r="M28" s="35" t="str">
        <x:f>'Results'!I28</x:f>
        <x:v>PASS</x:v>
      </x:c>
      <x:c r="N28" s="35" t="str">
        <x:f>'Results'!K28</x:f>
        <x:v>survey-022</x:v>
      </x:c>
    </x:row>
    <x:row r="29">
      <x:c r="A29" s="35" t="n">
        <x:f>'Results'!A29</x:f>
        <x:v>2173.9945344000002</x:v>
      </x:c>
      <x:c r="B29" s="35" t="n">
        <x:f>'Survey'!B29*'Unit Map'!$I$18</x:f>
        <x:v>1.5629074385758823</x:v>
      </x:c>
      <x:c r="C29" s="35" t="n">
        <x:f>'Survey'!C29*'Unit Map'!$I$18</x:f>
        <x:v>0.8946034146947335</x:v>
      </x:c>
      <x:c r="D29" s="35" t="n">
        <x:f>'Results'!A29*COS('Survey'!B29)</x:f>
        <x:v>17.150221979925842</x:v>
      </x:c>
      <x:c r="E29" s="35" t="n">
        <x:f>'Results'!B29</x:f>
        <x:v>607020.0895864788</x:v>
      </x:c>
      <x:c r="F29" s="35" t="n">
        <x:f>'Results'!C29</x:f>
        <x:v>598394.2715607802</x:v>
      </x:c>
      <x:c r="G29" s="35" t="n">
        <x:f>'Results'!F29</x:f>
        <x:v>26024.1465518982</x:v>
      </x:c>
      <x:c r="H29" s="35" t="n">
        <x:f>'Results'!D29</x:f>
        <x:v>26009.65862075928</x:v>
      </x:c>
      <x:c r="I29" s="35" t="n">
        <x:f>'Results'!E29</x:f>
        <x:v>26019.31724151856</x:v>
      </x:c>
      <x:c r="J29" s="35" t="n">
        <x:f>'Results'!E29*1.10</x:f>
        <x:v>28621.24896567042</x:v>
      </x:c>
      <x:c r="K29" s="35" t="n">
        <x:f>'Results'!G29</x:f>
        <x:v>6419.267007502434</x:v>
      </x:c>
      <x:c r="L29" s="35" t="n">
        <x:f>'Results'!H29</x:f>
        <x:v>12838.534015004869</x:v>
      </x:c>
      <x:c r="M29" s="35" t="str">
        <x:f>'Results'!I29</x:f>
        <x:v>PASS</x:v>
      </x:c>
      <x:c r="N29" s="35" t="str">
        <x:f>'Results'!K29</x:f>
        <x:v>survey-023</x:v>
      </x:c>
    </x:row>
    <x:row r="30">
      <x:c r="A30" s="35" t="n">
        <x:f>'Results'!A30</x:f>
        <x:v>2250.1543008</x:v>
      </x:c>
      <x:c r="B30" s="35" t="n">
        <x:f>'Survey'!B30*'Unit Map'!$I$18</x:f>
        <x:v>1.5623314799227241</x:v>
      </x:c>
      <x:c r="C30" s="35" t="n">
        <x:f>'Survey'!C30*'Unit Map'!$I$18</x:f>
        <x:v>0.9295274530271401</x:v>
      </x:c>
      <x:c r="D30" s="35" t="n">
        <x:f>'Results'!A30*COS('Survey'!B30)</x:f>
        <x:v>19.04698412886375</x:v>
      </x:c>
      <x:c r="E30" s="35" t="n">
        <x:f>'Results'!B30</x:f>
        <x:v>624072.1267373553</x:v>
      </x:c>
      <x:c r="F30" s="35" t="n">
        <x:f>'Results'!C30</x:f>
        <x:v>615162.8034411283</x:v>
      </x:c>
      <x:c r="G30" s="35" t="n">
        <x:f>'Results'!F30</x:f>
        <x:v>26022.503230848197</x:v>
      </x:c>
      <x:c r="H30" s="35" t="n">
        <x:f>'Results'!D30</x:f>
        <x:v>26009.00129233928</x:v>
      </x:c>
      <x:c r="I30" s="35" t="n">
        <x:f>'Results'!E30</x:f>
        <x:v>26018.002584678557</x:v>
      </x:c>
      <x:c r="J30" s="35" t="n">
        <x:f>'Results'!E30*1.10</x:f>
        <x:v>28619.802843146415</x:v>
      </x:c>
      <x:c r="K30" s="35" t="n">
        <x:f>'Results'!G30</x:f>
        <x:v>6174.609456279386</x:v>
      </x:c>
      <x:c r="L30" s="35" t="n">
        <x:f>'Results'!H30</x:f>
        <x:v>12349.218912558772</x:v>
      </x:c>
      <x:c r="M30" s="35" t="str">
        <x:f>'Results'!I30</x:f>
        <x:v>PASS</x:v>
      </x:c>
      <x:c r="N30" s="35" t="str">
        <x:f>'Results'!K30</x:f>
        <x:v>survey-024</x:v>
      </x:c>
    </x:row>
    <x:row r="31">
      <x:c r="A31" s="35" t="n">
        <x:f>'Results'!A31</x:f>
        <x:v>2326.9172664000002</x:v>
      </x:c>
      <x:c r="B31" s="35" t="n">
        <x:f>'Survey'!B31*'Unit Map'!$I$18</x:f>
        <x:v>1.5615111751742867</x:v>
      </x:c>
      <x:c r="C31" s="35" t="n">
        <x:f>'Survey'!C31*'Unit Map'!$I$18</x:f>
        <x:v>0.9611528190732773</x:v>
      </x:c>
      <x:c r="D31" s="35" t="n">
        <x:f>'Results'!A31*COS('Survey'!B31)</x:f>
        <x:v>21.605469174883652</x:v>
      </x:c>
      <x:c r="E31" s="35" t="n">
        <x:f>'Results'!B31</x:f>
        <x:v>641245.7493002525</x:v>
      </x:c>
      <x:c r="F31" s="35" t="n">
        <x:f>'Results'!C31</x:f>
        <x:v>632077.6149666572</x:v>
      </x:c>
      <x:c r="G31" s="35" t="n">
        <x:f>'Results'!F31</x:f>
        <x:v>26020.54312609111</x:v>
      </x:c>
      <x:c r="H31" s="35" t="n">
        <x:f>'Results'!D31</x:f>
        <x:v>26008.217250436443</x:v>
      </x:c>
      <x:c r="I31" s="35" t="n">
        <x:f>'Results'!E31</x:f>
        <x:v>26016.43450087289</x:v>
      </x:c>
      <x:c r="J31" s="35" t="n">
        <x:f>'Results'!E31*1.10</x:f>
        <x:v>28618.07795096018</x:v>
      </x:c>
      <x:c r="K31" s="35" t="n">
        <x:f>'Results'!G31</x:f>
        <x:v>5876.344539699765</x:v>
      </x:c>
      <x:c r="L31" s="35" t="n">
        <x:f>'Results'!H31</x:f>
        <x:v>11752.68907939953</x:v>
      </x:c>
      <x:c r="M31" s="35" t="str">
        <x:f>'Results'!I31</x:f>
        <x:v>PASS</x:v>
      </x:c>
      <x:c r="N31" s="35" t="str">
        <x:f>'Results'!K31</x:f>
        <x:v>survey-025</x:v>
      </x:c>
    </x:row>
    <x:row r="32">
      <x:c r="A32" s="35" t="n">
        <x:f>'Results'!A32</x:f>
        <x:v>2404.030752</x:v>
      </x:c>
      <x:c r="B32" s="35" t="n">
        <x:f>'Survey'!B32*'Unit Map'!$I$18</x:f>
        <x:v>1.5605686973782098</x:v>
      </x:c>
      <x:c r="C32" s="35" t="n">
        <x:f>'Survey'!C32*'Unit Map'!$I$18</x:f>
        <x:v>0.9891479002752662</x:v>
      </x:c>
      <x:c r="D32" s="35" t="n">
        <x:f>'Results'!A32*COS('Survey'!B32)</x:f>
        <x:v>24.58710697926716</x:v>
      </x:c>
      <x:c r="E32" s="35" t="n">
        <x:f>'Results'!B32</x:f>
        <x:v>658482.8943766345</x:v>
      </x:c>
      <x:c r="F32" s="35" t="n">
        <x:f>'Results'!C32</x:f>
        <x:v>649084.5607830377</x:v>
      </x:c>
      <x:c r="G32" s="35" t="n">
        <x:f>'Results'!F32</x:f>
        <x:v>26018.27206626263</x:v>
      </x:c>
      <x:c r="H32" s="35" t="n">
        <x:f>'Results'!D32</x:f>
        <x:v>26007.308826505054</x:v>
      </x:c>
      <x:c r="I32" s="35" t="n">
        <x:f>'Results'!E32</x:f>
        <x:v>26014.617653010104</x:v>
      </x:c>
      <x:c r="J32" s="35" t="n">
        <x:f>'Results'!E32*1.10</x:f>
        <x:v>28616.079418311117</x:v>
      </x:c>
      <x:c r="K32" s="35" t="n">
        <x:f>'Results'!G32</x:f>
        <x:v>5529.406533740687</x:v>
      </x:c>
      <x:c r="L32" s="35" t="n">
        <x:f>'Results'!H32</x:f>
        <x:v>11058.813067481375</x:v>
      </x:c>
      <x:c r="M32" s="35" t="str">
        <x:f>'Results'!I32</x:f>
        <x:v>PASS</x:v>
      </x:c>
      <x:c r="N32" s="35" t="str">
        <x:f>'Results'!K32</x:f>
        <x:v>survey-026</x:v>
      </x:c>
    </x:row>
    <x:row r="33">
      <x:c r="A33" s="35" t="n">
        <x:f>'Results'!A33</x:f>
        <x:v>2481.0637704</x:v>
      </x:c>
      <x:c r="B33" s="35" t="n">
        <x:f>'Survey'!B33*'Unit Map'!$I$18</x:f>
        <x:v>1.5594516866569332</x:v>
      </x:c>
      <x:c r="C33" s="35" t="n">
        <x:f>'Survey'!C33*'Unit Map'!$I$18</x:f>
        <x:v>1.0132858038303478</x:v>
      </x:c>
      <x:c r="D33" s="35" t="n">
        <x:f>'Results'!A33*COS('Survey'!B33)</x:f>
        <x:v>28.1461718860407</x:v>
      </x:c>
      <x:c r="E33" s="35" t="n">
        <x:f>'Results'!B33</x:f>
        <x:v>675686.2595691354</x:v>
      </x:c>
      <x:c r="F33" s="35" t="n">
        <x:f>'Results'!C33</x:f>
        <x:v>666089.5530951733</x:v>
      </x:c>
      <x:c r="G33" s="35" t="n">
        <x:f>'Results'!F33</x:f>
        <x:v>26015.745847378996</x:v>
      </x:c>
      <x:c r="H33" s="35" t="n">
        <x:f>'Results'!D33</x:f>
        <x:v>26006.298338951598</x:v>
      </x:c>
      <x:c r="I33" s="35" t="n">
        <x:f>'Results'!E33</x:f>
        <x:v>26012.596677903195</x:v>
      </x:c>
      <x:c r="J33" s="35" t="n">
        <x:f>'Results'!E33*1.10</x:f>
        <x:v>28613.856345693515</x:v>
      </x:c>
      <x:c r="K33" s="35" t="n">
        <x:f>'Results'!G33</x:f>
        <x:v>5135.638179379317</x:v>
      </x:c>
      <x:c r="L33" s="35" t="n">
        <x:f>'Results'!H33</x:f>
        <x:v>10271.276358758634</x:v>
      </x:c>
      <x:c r="M33" s="35" t="str">
        <x:f>'Results'!I33</x:f>
        <x:v>PASS</x:v>
      </x:c>
      <x:c r="N33" s="35" t="str">
        <x:f>'Results'!K33</x:f>
        <x:v>survey-027</x:v>
      </x:c>
    </x:row>
    <x:row r="34">
      <x:c r="A34" s="35" t="n">
        <x:f>'Results'!A34</x:f>
        <x:v>2557.6252632</x:v>
      </x:c>
      <x:c r="B34" s="35" t="n">
        <x:f>'Survey'!B34*'Unit Map'!$I$18</x:f>
        <x:v>1.5579332502076986</x:v>
      </x:c>
      <x:c r="C34" s="35" t="n">
        <x:f>'Survey'!C34*'Unit Map'!$I$18</x:f>
        <x:v>1.0335665297385221</x:v>
      </x:c>
      <x:c r="D34" s="35" t="n">
        <x:f>'Results'!A34*COS('Survey'!B34)</x:f>
        <x:v>32.898022413495895</x:v>
      </x:c>
      <x:c r="E34" s="35" t="n">
        <x:f>'Results'!B34</x:f>
        <x:v>692768.7105823595</x:v>
      </x:c>
      <x:c r="F34" s="35" t="n">
        <x:f>'Results'!C34</x:f>
        <x:v>683006.0673463177</x:v>
      </x:c>
      <x:c r="G34" s="35" t="n">
        <x:f>'Results'!F34</x:f>
        <x:v>26013.17123049007</x:v>
      </x:c>
      <x:c r="H34" s="35" t="n">
        <x:f>'Results'!D34</x:f>
        <x:v>26005.268492196028</x:v>
      </x:c>
      <x:c r="I34" s="35" t="n">
        <x:f>'Results'!E34</x:f>
        <x:v>26010.536984392053</x:v>
      </x:c>
      <x:c r="J34" s="35" t="n">
        <x:f>'Results'!E34*1.10</x:f>
        <x:v>28611.59068283126</x:v>
      </x:c>
      <x:c r="K34" s="35" t="n">
        <x:f>'Results'!G34</x:f>
        <x:v>4711.485253484027</x:v>
      </x:c>
      <x:c r="L34" s="35" t="n">
        <x:f>'Results'!H34</x:f>
        <x:v>9422.970506968055</x:v>
      </x:c>
      <x:c r="M34" s="35" t="str">
        <x:f>'Results'!I34</x:f>
        <x:v>PASS</x:v>
      </x:c>
      <x:c r="N34" s="35" t="str">
        <x:f>'Results'!K34</x:f>
        <x:v>survey-028</x:v>
      </x:c>
    </x:row>
    <x:row r="35">
      <x:c r="A35" s="35" t="n">
        <x:f>'Results'!A35</x:f>
        <x:v>2633.5658784</x:v>
      </x:c>
      <x:c r="B35" s="35" t="n">
        <x:f>'Survey'!B35*'Unit Map'!$I$18</x:f>
        <x:v>1.5558039485202655</x:v>
      </x:c>
      <x:c r="C35" s="35" t="n">
        <x:f>'Survey'!C35*'Unit Map'!$I$18</x:f>
        <x:v>1.0500598911698684</x:v>
      </x:c>
      <x:c r="D35" s="35" t="n">
        <x:f>'Results'!A35*COS('Survey'!B35)</x:f>
        <x:v>39.4819367529389</x:v>
      </x:c>
      <x:c r="E35" s="35" t="n">
        <x:f>'Results'!B35</x:f>
        <x:v>709697.6280845449</x:v>
      </x:c>
      <x:c r="F35" s="35" t="n">
        <x:f>'Results'!C35</x:f>
        <x:v>699800.3995342111</x:v>
      </x:c>
      <x:c r="G35" s="35" t="n">
        <x:f>'Results'!F35</x:f>
        <x:v>26010.682709321936</x:v>
      </x:c>
      <x:c r="H35" s="35" t="n">
        <x:f>'Results'!D35</x:f>
        <x:v>26004.273083728775</x:v>
      </x:c>
      <x:c r="I35" s="35" t="n">
        <x:f>'Results'!E35</x:f>
        <x:v>26008.54616745755</x:v>
      </x:c>
      <x:c r="J35" s="35" t="n">
        <x:f>'Results'!E35*1.10</x:f>
        <x:v>28609.400784203306</x:v>
      </x:c>
      <x:c r="K35" s="35" t="n">
        <x:f>'Results'!G35</x:f>
        <x:v>4260.430722586636</x:v>
      </x:c>
      <x:c r="L35" s="35" t="n">
        <x:f>'Results'!H35</x:f>
        <x:v>8520.861445173272</x:v>
      </x:c>
      <x:c r="M35" s="35" t="str">
        <x:f>'Results'!I35</x:f>
        <x:v>PASS</x:v>
      </x:c>
      <x:c r="N35" s="35" t="str">
        <x:f>'Results'!K35</x:f>
        <x:v>survey-029</x:v>
      </x:c>
    </x:row>
    <x:row r="36">
      <x:c r="A36" s="35" t="n">
        <x:f>'Results'!A36</x:f>
        <x:v>2709.0514272</x:v>
      </x:c>
      <x:c r="B36" s="35" t="n">
        <x:f>'Survey'!B36*'Unit Map'!$I$18</x:f>
        <x:v>1.5529590618395142</x:v>
      </x:c>
      <x:c r="C36" s="35" t="n">
        <x:f>'Survey'!C36*'Unit Map'!$I$18</x:f>
        <x:v>1.0630451408047061</x:v>
      </x:c>
      <x:c r="D36" s="35" t="n">
        <x:f>'Results'!A36*COS('Survey'!B36)</x:f>
        <x:v>48.31950570269092</x:v>
      </x:c>
      <x:c r="E36" s="35" t="n">
        <x:f>'Results'!B36</x:f>
        <x:v>726511.6770373742</x:v>
      </x:c>
      <x:c r="F36" s="35" t="n">
        <x:f>'Results'!C36</x:f>
        <x:v>716507.5171333092</x:v>
      </x:c>
      <x:c r="G36" s="35" t="n">
        <x:f>'Results'!F36</x:f>
        <x:v>26008.48767620243</x:v>
      </x:c>
      <x:c r="H36" s="35" t="n">
        <x:f>'Results'!D36</x:f>
        <x:v>26003.395070480972</x:v>
      </x:c>
      <x:c r="I36" s="35" t="n">
        <x:f>'Results'!E36</x:f>
        <x:v>26006.790140961944</x:v>
      </x:c>
      <x:c r="J36" s="35" t="n">
        <x:f>'Results'!E36*1.10</x:f>
        <x:v>28607.46915505814</x:v>
      </x:c>
      <x:c r="K36" s="35" t="n">
        <x:f>'Results'!G36</x:f>
        <x:v>3809.012087543358</x:v>
      </x:c>
      <x:c r="L36" s="35" t="n">
        <x:f>'Results'!H36</x:f>
        <x:v>7618.024175086716</x:v>
      </x:c>
      <x:c r="M36" s="35" t="str">
        <x:f>'Results'!I36</x:f>
        <x:v>PASS</x:v>
      </x:c>
      <x:c r="N36" s="35" t="str">
        <x:f>'Results'!K36</x:f>
        <x:v>survey-030</x:v>
      </x:c>
    </x:row>
    <x:row r="37">
      <x:c r="A37" s="35" t="n">
        <x:f>'Results'!A37</x:f>
        <x:v>2784.480588</x:v>
      </x:c>
      <x:c r="B37" s="35" t="n">
        <x:f>'Survey'!B37*'Unit Map'!$I$18</x:f>
        <x:v>1.5494858566280458</x:v>
      </x:c>
      <x:c r="C37" s="35" t="n">
        <x:f>'Survey'!C37*'Unit Map'!$I$18</x:f>
        <x:v>1.0729062510784741</x:v>
      </x:c>
      <x:c r="D37" s="35" t="n">
        <x:f>'Results'!A37*COS('Survey'!B37)</x:f>
        <x:v>59.334099303003136</x:v>
      </x:c>
      <x:c r="E37" s="35" t="n">
        <x:f>'Results'!B37</x:f>
        <x:v>743301.7566949244</x:v>
      </x:c>
      <x:c r="F37" s="35" t="n">
        <x:f>'Results'!C37</x:f>
        <x:v>733213.5635852496</x:v>
      </x:c>
      <x:c r="G37" s="35" t="n">
        <x:f>'Results'!F37</x:f>
        <x:v>26006.670135695273</x:v>
      </x:c>
      <x:c r="H37" s="35" t="n">
        <x:f>'Results'!D37</x:f>
        <x:v>26002.66805427811</x:v>
      </x:c>
      <x:c r="I37" s="35" t="n">
        <x:f>'Results'!E37</x:f>
        <x:v>26005.336108556217</x:v>
      </x:c>
      <x:c r="J37" s="35" t="n">
        <x:f>'Results'!E37*1.10</x:f>
        <x:v>28605.869719411843</x:v>
      </x:c>
      <x:c r="K37" s="35" t="n">
        <x:f>'Results'!G37</x:f>
        <x:v>3377.9059561717727</x:v>
      </x:c>
      <x:c r="L37" s="35" t="n">
        <x:f>'Results'!H37</x:f>
        <x:v>6755.811912343545</x:v>
      </x:c>
      <x:c r="M37" s="35" t="str">
        <x:f>'Results'!I37</x:f>
        <x:v>PASS</x:v>
      </x:c>
      <x:c r="N37" s="35" t="str">
        <x:f>'Results'!K37</x:f>
        <x:v>survey-031</x:v>
      </x:c>
    </x:row>
    <x:row r="38">
      <x:c r="A38" s="35" t="n">
        <x:f>'Results'!A38</x:f>
        <x:v>2860.2800807999997</x:v>
      </x:c>
      <x:c r="B38" s="35" t="n">
        <x:f>'Survey'!B38*'Unit Map'!$I$18</x:f>
        <x:v>1.5457333987362578</x:v>
      </x:c>
      <x:c r="C38" s="35" t="n">
        <x:f>'Survey'!C38*'Unit Map'!$I$18</x:f>
        <x:v>1.0801319141817307</x:v>
      </x:c>
      <x:c r="D38" s="35" t="n">
        <x:f>'Results'!A38*COS('Survey'!B38)</x:f>
        <x:v>71.67948909315452</x:v>
      </x:c>
      <x:c r="E38" s="35" t="n">
        <x:f>'Results'!B38</x:f>
        <x:v>760164.9276528626</x:v>
      </x:c>
      <x:c r="F38" s="35" t="n">
        <x:f>'Results'!C38</x:f>
        <x:v>750010.9735344269</x:v>
      </x:c>
      <x:c r="G38" s="35" t="n">
        <x:f>'Results'!F38</x:f>
        <x:v>26005.219780070387</x:v>
      </x:c>
      <x:c r="H38" s="35" t="n">
        <x:f>'Results'!D38</x:f>
        <x:v>26002.087912028153</x:v>
      </x:c>
      <x:c r="I38" s="35" t="n">
        <x:f>'Results'!E38</x:f>
        <x:v>26004.17582405631</x:v>
      </x:c>
      <x:c r="J38" s="35" t="n">
        <x:f>'Results'!E38*1.10</x:f>
        <x:v>28604.593406461943</x:v>
      </x:c>
      <x:c r="K38" s="35" t="n">
        <x:f>'Results'!G38</x:f>
        <x:v>2980.8684489930993</x:v>
      </x:c>
      <x:c r="L38" s="35" t="n">
        <x:f>'Results'!H38</x:f>
        <x:v>5961.7368979861985</x:v>
      </x:c>
      <x:c r="M38" s="35" t="str">
        <x:f>'Results'!I38</x:f>
        <x:v>PASS</x:v>
      </x:c>
      <x:c r="N38" s="35" t="str">
        <x:f>'Results'!K38</x:f>
        <x:v>survey-032</x:v>
      </x:c>
    </x:row>
    <x:row r="39">
      <x:c r="A39" s="35" t="n">
        <x:f>'Results'!A39</x:f>
        <x:v>2936.688564</x:v>
      </x:c>
      <x:c r="B39" s="35" t="n">
        <x:f>'Survey'!B39*'Unit Map'!$I$18</x:f>
        <x:v>1.5422776468173092</x:v>
      </x:c>
      <x:c r="C39" s="35" t="n">
        <x:f>'Survey'!C39*'Unit Map'!$I$18</x:f>
        <x:v>1.0852806354751139</x:v>
      </x:c>
      <x:c r="D39" s="35" t="n">
        <x:f>'Results'!A39*COS('Survey'!B39)</x:f>
        <x:v>83.7391292235834</x:v>
      </x:c>
      <x:c r="E39" s="35" t="n">
        <x:f>'Results'!B39</x:f>
        <x:v>777155.6787109898</x:v>
      </x:c>
      <x:c r="F39" s="35" t="n">
        <x:f>'Results'!C39</x:f>
        <x:v>766951.240161732</x:v>
      </x:c>
      <x:c r="G39" s="35" t="n">
        <x:f>'Results'!F39</x:f>
        <x:v>26004.007201696502</x:v>
      </x:c>
      <x:c r="H39" s="35" t="n">
        <x:f>'Results'!D39</x:f>
        <x:v>26001.6028806786</x:v>
      </x:c>
      <x:c r="I39" s="35" t="n">
        <x:f>'Results'!E39</x:f>
        <x:v>26003.2057613572</x:v>
      </x:c>
      <x:c r="J39" s="35" t="n">
        <x:f>'Results'!E39*1.10</x:f>
        <x:v>28603.526337492924</x:v>
      </x:c>
      <x:c r="K39" s="35" t="n">
        <x:f>'Results'!G39</x:f>
        <x:v>2601.355278029806</x:v>
      </x:c>
      <x:c r="L39" s="35" t="n">
        <x:f>'Results'!H39</x:f>
        <x:v>5202.710556059612</x:v>
      </x:c>
      <x:c r="M39" s="35" t="str">
        <x:f>'Results'!I39</x:f>
        <x:v>PASS</x:v>
      </x:c>
      <x:c r="N39" s="35" t="str">
        <x:f>'Results'!K39</x:f>
        <x:v>survey-033</x:v>
      </x:c>
    </x:row>
    <x:row r="40">
      <x:c r="A40" s="35" t="n">
        <x:f>'Results'!A40</x:f>
        <x:v>3013.6334952</x:v>
      </x:c>
      <x:c r="B40" s="35" t="n">
        <x:f>'Survey'!B40*'Unit Map'!$I$18</x:f>
        <x:v>1.5397818259869571</x:v>
      </x:c>
      <x:c r="C40" s="35" t="n">
        <x:f>'Survey'!C40*'Unit Map'!$I$18</x:f>
        <x:v>1.0889981867818619</x:v>
      </x:c>
      <x:c r="D40" s="35" t="n">
        <x:f>'Results'!A40*COS('Survey'!B40)</x:f>
        <x:v>93.45135499205449</x:v>
      </x:c>
      <x:c r="E40" s="35" t="n">
        <x:f>'Results'!B40</x:f>
        <x:v>794258.6529676841</x:v>
      </x:c>
      <x:c r="F40" s="35" t="n">
        <x:f>'Results'!C40</x:f>
        <x:v>784017.5061779759</x:v>
      </x:c>
      <x:c r="G40" s="35" t="n">
        <x:f>'Results'!F40</x:f>
        <x:v>26002.913716585746</x:v>
      </x:c>
      <x:c r="H40" s="35" t="n">
        <x:f>'Results'!D40</x:f>
        <x:v>26001.165486634298</x:v>
      </x:c>
      <x:c r="I40" s="35" t="n">
        <x:f>'Results'!E40</x:f>
        <x:v>26002.330973268596</x:v>
      </x:c>
      <x:c r="J40" s="35" t="n">
        <x:f>'Results'!E40*1.10</x:f>
        <x:v>28602.564070595457</x:v>
      </x:c>
      <x:c r="K40" s="35" t="n">
        <x:f>'Results'!G40</x:f>
        <x:v>2210.464287905019</x:v>
      </x:c>
      <x:c r="L40" s="35" t="n">
        <x:f>'Results'!H40</x:f>
        <x:v>4420.928575810038</x:v>
      </x:c>
      <x:c r="M40" s="35" t="str">
        <x:f>'Results'!I40</x:f>
        <x:v>PASS</x:v>
      </x:c>
      <x:c r="N40" s="35" t="str">
        <x:f>'Results'!K40</x:f>
        <x:v>survey-034</x:v>
      </x:c>
    </x:row>
    <x:row r="41">
      <x:c r="A41" s="35" t="n">
        <x:f>'Results'!A41</x:f>
        <x:v>3090.7698408</x:v>
      </x:c>
      <x:c r="B41" s="35" t="n">
        <x:f>'Survey'!B41*'Unit Map'!$I$18</x:f>
        <x:v>1.5388917080684403</x:v>
      </x:c>
      <x:c r="C41" s="35" t="n">
        <x:f>'Survey'!C41*'Unit Map'!$I$18</x:f>
        <x:v>1.0919303399252125</x:v>
      </x:c>
      <x:c r="D41" s="35" t="n">
        <x:f>'Results'!A41*COS('Survey'!B41)</x:f>
        <x:v>98.59310495796531</x:v>
      </x:c>
      <x:c r="E41" s="35" t="n">
        <x:f>'Results'!B41</x:f>
        <x:v>811398.364236773</x:v>
      </x:c>
      <x:c r="F41" s="35" t="n">
        <x:f>'Results'!C41</x:f>
        <x:v>801132.0373323669</x:v>
      </x:c>
      <x:c r="G41" s="35" t="n">
        <x:f>'Results'!F41</x:f>
        <x:v>26001.998671604153</x:v>
      </x:c>
      <x:c r="H41" s="35" t="n">
        <x:f>'Results'!D41</x:f>
        <x:v>26000.79946864166</x:v>
      </x:c>
      <x:c r="I41" s="35" t="n">
        <x:f>'Results'!E41</x:f>
        <x:v>26001.59893728332</x:v>
      </x:c>
      <x:c r="J41" s="35" t="n">
        <x:f>'Results'!E41*1.10</x:f>
        <x:v>28601.758831011655</x:v>
      </x:c>
      <x:c r="K41" s="35" t="n">
        <x:f>'Results'!G41</x:f>
        <x:v>1828.4835133349245</x:v>
      </x:c>
      <x:c r="L41" s="35" t="n">
        <x:f>'Results'!H41</x:f>
        <x:v>3656.967026669849</x:v>
      </x:c>
      <x:c r="M41" s="35" t="str">
        <x:f>'Results'!I41</x:f>
        <x:v>PASS</x:v>
      </x:c>
      <x:c r="N41" s="35" t="str">
        <x:f>'Results'!K41</x:f>
        <x:v>survey-035</x:v>
      </x:c>
    </x:row>
    <x:row r="42">
      <x:c r="A42" s="35" t="n">
        <x:f>'Results'!A42</x:f>
        <x:v>3167.6544215999998</x:v>
      </x:c>
      <x:c r="B42" s="35" t="n">
        <x:f>'Survey'!B42*'Unit Map'!$I$18</x:f>
        <x:v>1.5399738122046764</x:v>
      </x:c>
      <x:c r="C42" s="35" t="n">
        <x:f>'Survey'!C42*'Unit Map'!$I$18</x:f>
        <x:v>1.0947403200209231</x:v>
      </x:c>
      <x:c r="D42" s="35" t="n">
        <x:f>'Results'!A42*COS('Survey'!B42)</x:f>
        <x:v>97.61961602808945</x:v>
      </x:c>
      <x:c r="E42" s="35" t="n">
        <x:f>'Results'!B42</x:f>
        <x:v>828481.9159706458</x:v>
      </x:c>
      <x:c r="F42" s="35" t="n">
        <x:f>'Results'!C42</x:f>
        <x:v>818190.9258303377</x:v>
      </x:c>
      <x:c r="G42" s="35" t="n">
        <x:f>'Results'!F42</x:f>
        <x:v>26001.957644349724</x:v>
      </x:c>
      <x:c r="H42" s="35" t="n">
        <x:f>'Results'!D42</x:f>
        <x:v>26000.78305773989</x:v>
      </x:c>
      <x:c r="I42" s="35" t="n">
        <x:f>'Results'!E42</x:f>
        <x:v>26001.566115479778</x:v>
      </x:c>
      <x:c r="J42" s="35" t="n">
        <x:f>'Results'!E42*1.10</x:f>
        <x:v>28601.722727027758</x:v>
      </x:c>
      <x:c r="K42" s="35" t="n">
        <x:f>'Results'!G42</x:f>
        <x:v>1812.5797754308658</x:v>
      </x:c>
      <x:c r="L42" s="35" t="n">
        <x:f>'Results'!H42</x:f>
        <x:v>3625.1595508617315</x:v>
      </x:c>
      <x:c r="M42" s="35" t="str">
        <x:f>'Results'!I42</x:f>
        <x:v>PASS</x:v>
      </x:c>
      <x:c r="N42" s="35" t="str">
        <x:f>'Results'!K42</x:f>
        <x:v>survey-036</x:v>
      </x:c>
    </x:row>
    <x:row r="43">
      <x:c r="A43" s="35" t="n">
        <x:f>'Results'!A43</x:f>
        <x:v>3243.9723792</x:v>
      </x:c>
      <x:c r="B43" s="35" t="n">
        <x:f>'Survey'!B43*'Unit Map'!$I$18</x:f>
        <x:v>1.5430455916881864</x:v>
      </x:c>
      <x:c r="C43" s="35" t="n">
        <x:f>'Survey'!C43*'Unit Map'!$I$18</x:f>
        <x:v>1.0980389923071925</x:v>
      </x:c>
      <x:c r="D43" s="35" t="n">
        <x:f>'Results'!A43*COS('Survey'!B43)</x:f>
        <x:v>90.0110641810201</x:v>
      </x:c>
      <x:c r="E43" s="35" t="n">
        <x:f>'Results'!B43</x:f>
        <x:v>845445.6518920356</x:v>
      </x:c>
      <x:c r="F43" s="35" t="n">
        <x:f>'Results'!C43</x:f>
        <x:v>835118.0075327385</x:v>
      </x:c>
      <x:c r="G43" s="35" t="n">
        <x:f>'Results'!F43</x:f>
        <x:v>26002.909428632258</x:v>
      </x:c>
      <x:c r="H43" s="35" t="n">
        <x:f>'Results'!D43</x:f>
        <x:v>26001.163771452902</x:v>
      </x:c>
      <x:c r="I43" s="35" t="n">
        <x:f>'Results'!E43</x:f>
        <x:v>26002.327542905805</x:v>
      </x:c>
      <x:c r="J43" s="35" t="n">
        <x:f>'Results'!E43*1.10</x:f>
        <x:v>28602.56029719639</x:v>
      </x:c>
      <x:c r="K43" s="35" t="n">
        <x:f>'Results'!G43</x:f>
        <x:v>2217.891733412791</x:v>
      </x:c>
      <x:c r="L43" s="35" t="n">
        <x:f>'Results'!H43</x:f>
        <x:v>4435.783466825582</x:v>
      </x:c>
      <x:c r="M43" s="35" t="str">
        <x:f>'Results'!I43</x:f>
        <x:v>PASS</x:v>
      </x:c>
      <x:c r="N43" s="35" t="str">
        <x:f>'Results'!K43</x:f>
        <x:v>survey-037</x:v>
      </x:c>
    </x:row>
    <x:row r="44">
      <x:c r="A44" s="35" t="n">
        <x:f>'Results'!A44</x:f>
        <x:v>3319.6978056000003</x:v>
      </x:c>
      <x:c r="B44" s="35" t="n">
        <x:f>'Survey'!B44*'Unit Map'!$I$18</x:f>
        <x:v>1.5477405273760516</x:v>
      </x:c>
      <x:c r="C44" s="35" t="n">
        <x:f>'Survey'!C44*'Unit Map'!$I$18</x:f>
        <x:v>1.1023848621446584</x:v>
      </x:c>
      <x:c r="D44" s="35" t="n">
        <x:f>'Results'!A44*COS('Survey'!B44)</x:f>
        <x:v>76.5315060092476</x:v>
      </x:c>
      <x:c r="E44" s="35" t="n">
        <x:f>'Results'!B44</x:f>
        <x:v>862285.3093043673</x:v>
      </x:c>
      <x:c r="F44" s="35" t="n">
        <x:f>'Results'!C44</x:f>
        <x:v>851906.0400679975</x:v>
      </x:c>
      <x:c r="G44" s="35" t="n">
        <x:f>'Results'!F44</x:f>
        <x:v>26004.097724617648</x:v>
      </x:c>
      <x:c r="H44" s="35" t="n">
        <x:f>'Results'!D44</x:f>
        <x:v>26001.63908984706</x:v>
      </x:c>
      <x:c r="I44" s="35" t="n">
        <x:f>'Results'!E44</x:f>
        <x:v>26003.27817969412</x:v>
      </x:c>
      <x:c r="J44" s="35" t="n">
        <x:f>'Results'!E44*1.10</x:f>
        <x:v>28603.605997663533</x:v>
      </x:c>
      <x:c r="K44" s="35" t="n">
        <x:f>'Results'!G44</x:f>
        <x:v>2642.4110592528173</x:v>
      </x:c>
      <x:c r="L44" s="35" t="n">
        <x:f>'Results'!H44</x:f>
        <x:v>5284.8221185056345</x:v>
      </x:c>
      <x:c r="M44" s="35" t="str">
        <x:f>'Results'!I44</x:f>
        <x:v>PASS</x:v>
      </x:c>
      <x:c r="N44" s="35" t="str">
        <x:f>'Results'!K44</x:f>
        <x:v>survey-038</x:v>
      </x:c>
    </x:row>
    <x:row r="45">
      <x:c r="A45" s="35" t="n">
        <x:f>'Results'!A45</x:f>
        <x:v>3395.1068496000003</x:v>
      </x:c>
      <x:c r="B45" s="35" t="n">
        <x:f>'Survey'!B45*'Unit Map'!$I$18</x:f>
        <x:v>1.5533430342749535</x:v>
      </x:c>
      <x:c r="C45" s="35" t="n">
        <x:f>'Survey'!C45*'Unit Map'!$I$18</x:f>
        <x:v>1.1082840750163994</x:v>
      </x:c>
      <x:c r="D45" s="35" t="n">
        <x:f>'Results'!A45*COS('Survey'!B45)</x:f>
        <x:v>59.252784637223925</x:v>
      </x:c>
      <x:c r="E45" s="35" t="n">
        <x:f>'Results'!B45</x:f>
        <x:v>879061.594945844</x:v>
      </x:c>
      <x:c r="F45" s="35" t="n">
        <x:f>'Results'!C45</x:f>
        <x:v>868616.94718898</x:v>
      </x:c>
      <x:c r="G45" s="35" t="n">
        <x:f>'Results'!F45</x:f>
        <x:v>26005.18942006424</x:v>
      </x:c>
      <x:c r="H45" s="35" t="n">
        <x:f>'Results'!D45</x:f>
        <x:v>26002.075768025694</x:v>
      </x:c>
      <x:c r="I45" s="35" t="n">
        <x:f>'Results'!E45</x:f>
        <x:v>26004.15153605139</x:v>
      </x:c>
      <x:c r="J45" s="35" t="n">
        <x:f>'Results'!E45*1.10</x:f>
        <x:v>28604.566689656534</x:v>
      </x:c>
      <x:c r="K45" s="35" t="n">
        <x:f>'Results'!G45</x:f>
        <x:v>2979.8716159706937</x:v>
      </x:c>
      <x:c r="L45" s="35" t="n">
        <x:f>'Results'!H45</x:f>
        <x:v>5959.743231941387</x:v>
      </x:c>
      <x:c r="M45" s="35" t="str">
        <x:f>'Results'!I45</x:f>
        <x:v>PASS</x:v>
      </x:c>
      <x:c r="N45" s="35" t="str">
        <x:f>'Results'!K45</x:f>
        <x:v>survey-039</x:v>
      </x:c>
    </x:row>
    <x:row r="46">
      <x:c r="A46" s="35" t="n">
        <x:f>'Results'!A46</x:f>
        <x:v>3470.6368992</x:v>
      </x:c>
      <x:c r="B46" s="35" t="n">
        <x:f>'Survey'!B46*'Unit Map'!$I$18</x:f>
        <x:v>1.5589455411738549</x:v>
      </x:c>
      <x:c r="C46" s="35" t="n">
        <x:f>'Survey'!C46*'Unit Map'!$I$18</x:f>
        <x:v>1.1161031500653338</x:v>
      </x:c>
      <x:c r="D46" s="35" t="n">
        <x:f>'Results'!A46*COS('Survey'!B46)</x:f>
        <x:v>41.128811149073265</x:v>
      </x:c>
      <x:c r="E46" s="35" t="n">
        <x:f>'Results'!B46</x:f>
        <x:v>895870.7720675812</x:v>
      </x:c>
      <x:c r="F46" s="35" t="n">
        <x:f>'Results'!C46</x:f>
        <x:v>885348.6982656334</x:v>
      </x:c>
      <x:c r="G46" s="35" t="n">
        <x:f>'Results'!F46</x:f>
        <x:v>26006.145692328508</x:v>
      </x:c>
      <x:c r="H46" s="35" t="n">
        <x:f>'Results'!D46</x:f>
        <x:v>26002.458276931404</x:v>
      </x:c>
      <x:c r="I46" s="35" t="n">
        <x:f>'Results'!E46</x:f>
        <x:v>26004.916553862808</x:v>
      </x:c>
      <x:c r="J46" s="35" t="n">
        <x:f>'Results'!E46*1.10</x:f>
        <x:v>28605.40820924909</x:v>
      </x:c>
      <x:c r="K46" s="35" t="n">
        <x:f>'Results'!G46</x:f>
        <x:v>3240.2265772593487</x:v>
      </x:c>
      <x:c r="L46" s="35" t="n">
        <x:f>'Results'!H46</x:f>
        <x:v>6480.453154518697</x:v>
      </x:c>
      <x:c r="M46" s="35" t="str">
        <x:f>'Results'!I46</x:f>
        <x:v>PASS</x:v>
      </x:c>
      <x:c r="N46" s="35" t="str">
        <x:f>'Results'!K46</x:f>
        <x:v>survey-040</x:v>
      </x:c>
    </x:row>
    <x:row r="47">
      <x:c r="A47" s="35" t="n">
        <x:f>'Results'!A47</x:f>
        <x:v>3546.6631632</x:v>
      </x:c>
      <x:c r="B47" s="35" t="n">
        <x:f>'Survey'!B47*'Unit Map'!$I$18</x:f>
        <x:v>1.5636404768617198</x:v>
      </x:c>
      <x:c r="C47" s="35" t="n">
        <x:f>'Survey'!C47*'Unit Map'!$I$18</x:f>
        <x:v>1.1261387932643012</x:v>
      </x:c>
      <x:c r="D47" s="35" t="n">
        <x:f>'Results'!A47*COS('Survey'!B47)</x:f>
        <x:v>25.379172762974996</x:v>
      </x:c>
      <x:c r="E47" s="35" t="n">
        <x:f>'Results'!B47</x:f>
        <x:v>912796.2996201845</x:v>
      </x:c>
      <x:c r="F47" s="35" t="n">
        <x:f>'Results'!C47</x:f>
        <x:v>902184.4548048641</x:v>
      </x:c>
      <x:c r="G47" s="35" t="n">
        <x:f>'Results'!F47</x:f>
        <x:v>26007.125574186455</x:v>
      </x:c>
      <x:c r="H47" s="35" t="n">
        <x:f>'Results'!D47</x:f>
        <x:v>26002.850229674583</x:v>
      </x:c>
      <x:c r="I47" s="35" t="n">
        <x:f>'Results'!E47</x:f>
        <x:v>26005.700459349162</x:v>
      </x:c>
      <x:c r="J47" s="35" t="n">
        <x:f>'Results'!E47*1.10</x:f>
        <x:v>28606.27050528408</x:v>
      </x:c>
      <x:c r="K47" s="35" t="n">
        <x:f>'Results'!G47</x:f>
        <x:v>3477.5866978427607</x:v>
      </x:c>
      <x:c r="L47" s="35" t="n">
        <x:f>'Results'!H47</x:f>
        <x:v>6955.173395685521</x:v>
      </x:c>
      <x:c r="M47" s="35" t="str">
        <x:f>'Results'!I47</x:f>
        <x:v>PASS</x:v>
      </x:c>
      <x:c r="N47" s="35" t="str">
        <x:f>'Results'!K47</x:f>
        <x:v>survey-041</x:v>
      </x:c>
    </x:row>
    <x:row r="48">
      <x:c r="A48" s="35" t="n">
        <x:f>'Results'!A48</x:f>
        <x:v>3623.3087808</x:v>
      </x:c>
      <x:c r="B48" s="35" t="n">
        <x:f>'Survey'!B48*'Unit Map'!$I$18</x:f>
        <x:v>1.5667122563452298</x:v>
      </x:c>
      <x:c r="C48" s="35" t="n">
        <x:f>'Survey'!C48*'Unit Map'!$I$18</x:f>
        <x:v>1.1385480842459808</x:v>
      </x:c>
      <x:c r="D48" s="35" t="n">
        <x:f>'Results'!A48*COS('Survey'!B48)</x:f>
        <x:v>14.797807184608498</x:v>
      </x:c>
      <x:c r="E48" s="35" t="n">
        <x:f>'Results'!B48</x:f>
        <x:v>929866.6740240534</x:v>
      </x:c>
      <x:c r="F48" s="35" t="n">
        <x:f>'Results'!C48</x:f>
        <x:v>919150.4032984045</x:v>
      </x:c>
      <x:c r="G48" s="35" t="n">
        <x:f>'Results'!F48</x:f>
        <x:v>26008.288806632336</x:v>
      </x:c>
      <x:c r="H48" s="35" t="n">
        <x:f>'Results'!D48</x:f>
        <x:v>26003.315522652934</x:v>
      </x:c>
      <x:c r="I48" s="35" t="n">
        <x:f>'Results'!E48</x:f>
        <x:v>26006.63104530587</x:v>
      </x:c>
      <x:c r="J48" s="35" t="n">
        <x:f>'Results'!E48*1.10</x:f>
        <x:v>28607.294149836456</x:v>
      </x:c>
      <x:c r="K48" s="35" t="n">
        <x:f>'Results'!G48</x:f>
        <x:v>3735.52973462342</x:v>
      </x:c>
      <x:c r="L48" s="35" t="n">
        <x:f>'Results'!H48</x:f>
        <x:v>7471.05946924684</x:v>
      </x:c>
      <x:c r="M48" s="35" t="str">
        <x:f>'Results'!I48</x:f>
        <x:v>PASS</x:v>
      </x:c>
      <x:c r="N48" s="35" t="str">
        <x:f>'Results'!K48</x:f>
        <x:v>survey-042</x:v>
      </x:c>
    </x:row>
    <x:row r="49">
      <x:c r="A49" s="35" t="n">
        <x:f>'Results'!A49</x:f>
        <x:v>3700.3805088</x:v>
      </x:c>
      <x:c r="B49" s="35" t="n">
        <x:f>'Survey'!B49*'Unit Map'!$I$18</x:f>
        <x:v>1.5677943604814664</x:v>
      </x:c>
      <x:c r="C49" s="35" t="n">
        <x:f>'Survey'!C49*'Unit Map'!$I$18</x:f>
        <x:v>1.1534182894729725</x:v>
      </x:c>
      <x:c r="D49" s="35" t="n">
        <x:f>'Results'!A49*COS('Survey'!B49)</x:f>
        <x:v>11.108400949822782</x:v>
      </x:c>
      <x:c r="E49" s="35" t="n">
        <x:f>'Results'!B49</x:f>
        <x:v>947040.6817547195</x:v>
      </x:c>
      <x:c r="F49" s="35" t="n">
        <x:f>'Results'!C49</x:f>
        <x:v>936201.9429977234</x:v>
      </x:c>
      <x:c r="G49" s="35" t="n">
        <x:f>'Results'!F49</x:f>
        <x:v>26009.720899988184</x:v>
      </x:c>
      <x:c r="H49" s="35" t="n">
        <x:f>'Results'!D49</x:f>
        <x:v>26003.888359995275</x:v>
      </x:c>
      <x:c r="I49" s="35" t="n">
        <x:f>'Results'!E49</x:f>
        <x:v>26007.776719990547</x:v>
      </x:c>
      <x:c r="J49" s="35" t="n">
        <x:f>'Results'!E49*1.10</x:f>
        <x:v>28608.554391989604</x:v>
      </x:c>
      <x:c r="K49" s="35" t="n">
        <x:f>'Results'!G49</x:f>
        <x:v>4034.182554764465</x:v>
      </x:c>
      <x:c r="L49" s="35" t="n">
        <x:f>'Results'!H49</x:f>
        <x:v>8068.36510952893</x:v>
      </x:c>
      <x:c r="M49" s="35" t="str">
        <x:f>'Results'!I49</x:f>
        <x:v>PASS</x:v>
      </x:c>
      <x:c r="N49" s="35" t="str">
        <x:f>'Results'!K49</x:f>
        <x:v>survey-043</x:v>
      </x:c>
    </x:row>
    <x:row r="50">
      <x:c r="A50" s="35" t="n">
        <x:f>'Results'!A50</x:f>
        <x:v>3777.4683912</x:v>
      </x:c>
      <x:c r="B50" s="35" t="n">
        <x:f>'Survey'!B50*'Unit Map'!$I$18</x:f>
        <x:v>1.5669042425629494</x:v>
      </x:c>
      <x:c r="C50" s="35" t="n">
        <x:f>'Survey'!C50*'Unit Map'!$I$18</x:f>
        <x:v>1.1706621424826766</x:v>
      </x:c>
      <x:c r="D50" s="35" t="n">
        <x:f>'Results'!A50*COS('Survey'!B50)</x:f>
        <x:v>14.70218804309573</x:v>
      </x:c>
      <x:c r="E50" s="35" t="n">
        <x:f>'Results'!B50</x:f>
        <x:v>964227.9727141815</x:v>
      </x:c>
      <x:c r="F50" s="35" t="n">
        <x:f>'Results'!C50</x:f>
        <x:v>953247.3732166202</x:v>
      </x:c>
      <x:c r="G50" s="35" t="n">
        <x:f>'Results'!F50</x:f>
        <x:v>26011.260196282372</x:v>
      </x:c>
      <x:c r="H50" s="35" t="n">
        <x:f>'Results'!D50</x:f>
        <x:v>26004.50407851295</x:v>
      </x:c>
      <x:c r="I50" s="35" t="n">
        <x:f>'Results'!E50</x:f>
        <x:v>26009.0081570259</x:v>
      </x:c>
      <x:c r="J50" s="35" t="n">
        <x:f>'Results'!E50*1.10</x:f>
        <x:v>28609.90897272849</x:v>
      </x:c>
      <x:c r="K50" s="35" t="n">
        <x:f>'Results'!G50</x:f>
        <x:v>4341.399783443597</x:v>
      </x:c>
      <x:c r="L50" s="35" t="n">
        <x:f>'Results'!H50</x:f>
        <x:v>8682.799566887194</x:v>
      </x:c>
      <x:c r="M50" s="35" t="str">
        <x:f>'Results'!I50</x:f>
        <x:v>PASS</x:v>
      </x:c>
      <x:c r="N50" s="35" t="str">
        <x:f>'Results'!K50</x:f>
        <x:v>survey-044</x:v>
      </x:c>
    </x:row>
    <x:row r="51">
      <x:c r="A51" s="35" t="n">
        <x:f>'Results'!A51</x:f>
        <x:v>3854.1542424</x:v>
      </x:c>
      <x:c r="B51" s="35" t="n">
        <x:f>'Survey'!B51*'Unit Map'!$I$18</x:f>
        <x:v>1.5644084217325975</x:v>
      </x:c>
      <x:c r="C51" s="35" t="n">
        <x:f>'Survey'!C51*'Unit Map'!$I$18</x:f>
        <x:v>1.190174923519973</x:v>
      </x:c>
      <x:c r="D51" s="35" t="n">
        <x:f>'Results'!A51*COS('Survey'!B51)</x:f>
        <x:v>24.619803958569396</x:v>
      </x:c>
      <x:c r="E51" s="35" t="n">
        <x:f>'Results'!B51</x:f>
        <x:v>981335.4551047519</x:v>
      </x:c>
      <x:c r="F51" s="35" t="n">
        <x:f>'Results'!C51</x:f>
        <x:v>970194.0804175219</x:v>
      </x:c>
      <x:c r="G51" s="35" t="n">
        <x:f>'Results'!F51</x:f>
        <x:v>26012.761530679953</x:v>
      </x:c>
      <x:c r="H51" s="35" t="n">
        <x:f>'Results'!D51</x:f>
        <x:v>26005.10461227198</x:v>
      </x:c>
      <x:c r="I51" s="35" t="n">
        <x:f>'Results'!E51</x:f>
        <x:v>26010.209224543964</x:v>
      </x:c>
      <x:c r="J51" s="35" t="n">
        <x:f>'Results'!E51*1.10</x:f>
        <x:v>28611.23014699836</x:v>
      </x:c>
      <x:c r="K51" s="35" t="n">
        <x:f>'Results'!G51</x:f>
        <x:v>4633.867599663519</x:v>
      </x:c>
      <x:c r="L51" s="35" t="n">
        <x:f>'Results'!H51</x:f>
        <x:v>9267.735199327039</x:v>
      </x:c>
      <x:c r="M51" s="35" t="str">
        <x:f>'Results'!I51</x:f>
        <x:v>PASS</x:v>
      </x:c>
      <x:c r="N51" s="35" t="str">
        <x:f>'Results'!K51</x:f>
        <x:v>survey-045</x:v>
      </x:c>
    </x:row>
    <x:row r="52">
      <x:c r="A52" s="35" t="n">
        <x:f>'Results'!A52</x:f>
        <x:v>3930.2240928</x:v>
      </x:c>
      <x:c r="B52" s="35" t="n">
        <x:f>'Survey'!B52*'Unit Map'!$I$18</x:f>
        <x:v>1.5609526698136487</x:v>
      </x:c>
      <x:c r="C52" s="35" t="n">
        <x:f>'Survey'!C52*'Unit Map'!$I$18</x:f>
        <x:v>1.2117297397821032</x:v>
      </x:c>
      <x:c r="D52" s="35" t="n">
        <x:f>'Results'!A52*COS('Survey'!B52)</x:f>
        <x:v>38.68715303996098</x:v>
      </x:c>
      <x:c r="E52" s="35" t="n">
        <x:f>'Results'!B52</x:f>
        <x:v>998314.2641407177</x:v>
      </x:c>
      <x:c r="F52" s="35" t="n">
        <x:f>'Results'!C52</x:f>
        <x:v>986995.911058625</x:v>
      </x:c>
      <x:c r="G52" s="35" t="n">
        <x:f>'Results'!F52</x:f>
        <x:v>26014.047660092234</x:v>
      </x:c>
      <x:c r="H52" s="35" t="n">
        <x:f>'Results'!D52</x:f>
        <x:v>26005.619064036895</x:v>
      </x:c>
      <x:c r="I52" s="35" t="n">
        <x:f>'Results'!E52</x:f>
        <x:v>26011.238128073786</x:v>
      </x:c>
      <x:c r="J52" s="35" t="n">
        <x:f>'Results'!E52*1.10</x:f>
        <x:v>28612.36194088117</x:v>
      </x:c>
      <x:c r="K52" s="35" t="n">
        <x:f>'Results'!G52</x:f>
        <x:v>4881.413205013298</x:v>
      </x:c>
      <x:c r="L52" s="35" t="n">
        <x:f>'Results'!H52</x:f>
        <x:v>9762.826410026595</x:v>
      </x:c>
      <x:c r="M52" s="35" t="str">
        <x:f>'Results'!I52</x:f>
        <x:v>PASS</x:v>
      </x:c>
      <x:c r="N52" s="35" t="str">
        <x:f>'Results'!K52</x:f>
        <x:v>survey-046</x:v>
      </x:c>
    </x:row>
    <x:row r="53">
      <x:c r="A53" s="35" t="n">
        <x:f>'Results'!A53</x:f>
        <x:v>4005.779136</x:v>
      </x:c>
      <x:c r="B53" s="35" t="n">
        <x:f>'Survey'!B53*'Unit Map'!$I$18</x:f>
        <x:v>1.5572002119218606</x:v>
      </x:c>
      <x:c r="C53" s="35" t="n">
        <x:f>'Survey'!C53*'Unit Map'!$I$18</x:f>
        <x:v>1.2350473385887475</x:v>
      </x:c>
      <x:c r="D53" s="35" t="n">
        <x:f>'Results'!A53*COS('Survey'!B53)</x:f>
        <x:v>54.46135534990001</x:v>
      </x:c>
      <x:c r="E53" s="35" t="n">
        <x:f>'Results'!B53</x:f>
        <x:v>1015185.3615536197</x:v>
      </x:c>
      <x:c r="F53" s="35" t="n">
        <x:f>'Results'!C53</x:f>
        <x:v>1003676.8408510318</x:v>
      </x:c>
      <x:c r="G53" s="35" t="n">
        <x:f>'Results'!F53</x:f>
        <x:v>26015.09455487681</x:v>
      </x:c>
      <x:c r="H53" s="35" t="n">
        <x:f>'Results'!D53</x:f>
        <x:v>26006.037821950726</x:v>
      </x:c>
      <x:c r="I53" s="35" t="n">
        <x:f>'Results'!E53</x:f>
        <x:v>26012.075643901448</x:v>
      </x:c>
      <x:c r="J53" s="35" t="n">
        <x:f>'Results'!E53*1.10</x:f>
        <x:v>28613.283208291596</x:v>
      </x:c>
      <x:c r="K53" s="35" t="n">
        <x:f>'Results'!G53</x:f>
        <x:v>5077.246908811857</x:v>
      </x:c>
      <x:c r="L53" s="35" t="n">
        <x:f>'Results'!H53</x:f>
        <x:v>10154.493817623714</x:v>
      </x:c>
      <x:c r="M53" s="35" t="str">
        <x:f>'Results'!I53</x:f>
        <x:v>PASS</x:v>
      </x:c>
      <x:c r="N53" s="35" t="str">
        <x:f>'Results'!K53</x:f>
        <x:v>survey-047</x:v>
      </x:c>
    </x:row>
    <x:row r="54">
      <x:c r="A54" s="35" t="n">
        <x:f>'Results'!A54</x:f>
        <x:v>4081.1817792</x:v>
      </x:c>
      <x:c r="B54" s="35" t="n">
        <x:f>'Survey'!B54*'Unit Map'!$I$18</x:f>
        <x:v>1.553727006710392</x:v>
      </x:c>
      <x:c r="C54" s="35" t="n">
        <x:f>'Survey'!C54*'Unit Map'!$I$18</x:f>
        <x:v>1.2598135606745469</x:v>
      </x:c>
      <x:c r="D54" s="35" t="n">
        <x:f>'Results'!A54*COS('Survey'!B54)</x:f>
        <x:v>69.65961530670526</x:v>
      </x:c>
      <x:c r="E54" s="35" t="n">
        <x:f>'Results'!B54</x:f>
        <x:v>1032028.0125999552</x:v>
      </x:c>
      <x:c r="F54" s="35" t="n">
        <x:f>'Results'!C54</x:f>
        <x:v>1020318.5401385546</x:v>
      </x:c>
      <x:c r="G54" s="35" t="n">
        <x:f>'Results'!F54</x:f>
        <x:v>26015.950545855758</x:v>
      </x:c>
      <x:c r="H54" s="35" t="n">
        <x:f>'Results'!D54</x:f>
        <x:v>26006.380218342303</x:v>
      </x:c>
      <x:c r="I54" s="35" t="n">
        <x:f>'Results'!E54</x:f>
        <x:v>26012.760436684606</x:v>
      </x:c>
      <x:c r="J54" s="35" t="n">
        <x:f>'Results'!E54*1.10</x:f>
        <x:v>28614.03648035307</x:v>
      </x:c>
      <x:c r="K54" s="35" t="n">
        <x:f>'Results'!G54</x:f>
        <x:v>5224.495357305971</x:v>
      </x:c>
      <x:c r="L54" s="35" t="n">
        <x:f>'Results'!H54</x:f>
        <x:v>10448.990714611942</x:v>
      </x:c>
      <x:c r="M54" s="35" t="str">
        <x:f>'Results'!I54</x:f>
        <x:v>PASS</x:v>
      </x:c>
      <x:c r="N54" s="35" t="str">
        <x:f>'Results'!K54</x:f>
        <x:v>survey-048</x:v>
      </x:c>
    </x:row>
    <x:row r="55">
      <x:c r="A55" s="35" t="n">
        <x:f>'Results'!A55</x:f>
        <x:v>4156.8727632</x:v>
      </x:c>
      <x:c r="B55" s="35" t="n">
        <x:f>'Survey'!B55*'Unit Map'!$I$18</x:f>
        <x:v>1.5508821200296412</x:v>
      </x:c>
      <x:c r="C55" s="35" t="n">
        <x:f>'Survey'!C55*'Unit Map'!$I$18</x:f>
        <x:v>1.285679340189103</x:v>
      </x:c>
      <x:c r="D55" s="35" t="n">
        <x:f>'Results'!A55*COS('Survey'!B55)</x:f>
        <x:v>82.77535233548137</x:v>
      </x:c>
      <x:c r="E55" s="35" t="n">
        <x:f>'Results'!B55</x:f>
        <x:v>1048939.150757369</x:v>
      </x:c>
      <x:c r="F55" s="35" t="n">
        <x:f>'Results'!C55</x:f>
        <x:v>1037019.7969557836</x:v>
      </x:c>
      <x:c r="G55" s="35" t="n">
        <x:f>'Results'!F55</x:f>
        <x:v>26016.659331377163</x:v>
      </x:c>
      <x:c r="H55" s="35" t="n">
        <x:f>'Results'!D55</x:f>
        <x:v>26006.663732550864</x:v>
      </x:c>
      <x:c r="I55" s="35" t="n">
        <x:f>'Results'!E55</x:f>
        <x:v>26013.327465101727</x:v>
      </x:c>
      <x:c r="J55" s="35" t="n">
        <x:f>'Results'!E55*1.10</x:f>
        <x:v>28614.660211611903</x:v>
      </x:c>
      <x:c r="K55" s="35" t="n">
        <x:f>'Results'!G55</x:f>
        <x:v>5329.133078724494</x:v>
      </x:c>
      <x:c r="L55" s="35" t="n">
        <x:f>'Results'!H55</x:f>
        <x:v>10658.266157448988</x:v>
      </x:c>
      <x:c r="M55" s="35" t="str">
        <x:f>'Results'!I55</x:f>
        <x:v>PASS</x:v>
      </x:c>
      <x:c r="N55" s="35" t="str">
        <x:f>'Results'!K55</x:f>
        <x:v>survey-049</x:v>
      </x:c>
    </x:row>
    <x:row r="56">
      <x:c r="A56" s="35" t="n">
        <x:f>'Results'!A56</x:f>
        <x:v>4233.1456104</x:v>
      </x:c>
      <x:c r="B56" s="35" t="n">
        <x:f>'Survey'!B56*'Unit Map'!$I$18</x:f>
        <x:v>1.548752818342208</x:v>
      </x:c>
      <x:c r="C56" s="35" t="n">
        <x:f>'Survey'!C56*'Unit Map'!$I$18</x:f>
        <x:v>1.3123479711595762</x:v>
      </x:c>
      <x:c r="D56" s="35" t="n">
        <x:f>'Results'!A56*COS('Survey'!B56)</x:f>
        <x:v>93.30582414632075</x:v>
      </x:c>
      <x:c r="E56" s="35" t="n">
        <x:f>'Results'!B56</x:f>
        <x:v>1065983.2590436984</x:v>
      </x:c>
      <x:c r="F56" s="35" t="n">
        <x:f>'Results'!C56</x:f>
        <x:v>1053846.4739392952</x:v>
      </x:c>
      <x:c r="G56" s="35" t="n">
        <x:f>'Results'!F56</x:f>
        <x:v>26017.258609661185</x:v>
      </x:c>
      <x:c r="H56" s="35" t="n">
        <x:f>'Results'!D56</x:f>
        <x:v>26006.903443864474</x:v>
      </x:c>
      <x:c r="I56" s="35" t="n">
        <x:f>'Results'!E56</x:f>
        <x:v>26013.806887728948</x:v>
      </x:c>
      <x:c r="J56" s="35" t="n">
        <x:f>'Results'!E56*1.10</x:f>
        <x:v>28615.187576501845</x:v>
      </x:c>
      <x:c r="K56" s="35" t="n">
        <x:f>'Results'!G56</x:f>
        <x:v>5403.408250563843</x:v>
      </x:c>
      <x:c r="L56" s="35" t="n">
        <x:f>'Results'!H56</x:f>
        <x:v>10806.816501127685</x:v>
      </x:c>
      <x:c r="M56" s="35" t="str">
        <x:f>'Results'!I56</x:f>
        <x:v>PASS</x:v>
      </x:c>
      <x:c r="N56" s="35" t="str">
        <x:f>'Results'!K56</x:f>
        <x:v>survey-050</x:v>
      </x:c>
    </x:row>
    <x:row r="57">
      <x:c r="A57" s="35" t="n">
        <x:f>'Results'!A57</x:f>
        <x:v>4309.9975776</x:v>
      </x:c>
      <x:c r="B57" s="35" t="n">
        <x:f>'Survey'!B57*'Unit Map'!$I$18</x:f>
        <x:v>1.5472343818929732</x:v>
      </x:c>
      <x:c r="C57" s="35" t="n">
        <x:f>'Survey'!C57*'Unit Map'!$I$18</x:f>
        <x:v>1.339487841028088</x:v>
      </x:c>
      <x:c r="D57" s="35" t="n">
        <x:f>'Results'!A57*COS('Survey'!B57)</x:f>
        <x:v>101.54252936168511</x:v>
      </x:c>
      <x:c r="E57" s="35" t="n">
        <x:f>'Results'!B57</x:f>
        <x:v>1083158.5300937633</x:v>
      </x:c>
      <x:c r="F57" s="35" t="n">
        <x:f>'Results'!C57</x:f>
        <x:v>1070799.1602705836</x:v>
      </x:c>
      <x:c r="G57" s="35" t="n">
        <x:f>'Results'!F57</x:f>
        <x:v>26017.667662052878</x:v>
      </x:c>
      <x:c r="H57" s="35" t="n">
        <x:f>'Results'!D57</x:f>
        <x:v>26007.067064821153</x:v>
      </x:c>
      <x:c r="I57" s="35" t="n">
        <x:f>'Results'!E57</x:f>
        <x:v>26014.1341296423</x:v>
      </x:c>
      <x:c r="J57" s="35" t="n">
        <x:f>'Results'!E57*1.10</x:f>
        <x:v>28615.547542606535</x:v>
      </x:c>
      <x:c r="K57" s="35" t="n">
        <x:f>'Results'!G57</x:f>
        <x:v>5446.429733762008</x:v>
      </x:c>
      <x:c r="L57" s="35" t="n">
        <x:f>'Results'!H57</x:f>
        <x:v>10892.859467524017</x:v>
      </x:c>
      <x:c r="M57" s="35" t="str">
        <x:f>'Results'!I57</x:f>
        <x:v>PASS</x:v>
      </x:c>
      <x:c r="N57" s="35" t="str">
        <x:f>'Results'!K57</x:f>
        <x:v>survey-051</x:v>
      </x:c>
    </x:row>
    <x:row r="58">
      <x:c r="A58" s="35" t="n">
        <x:f>'Results'!A58</x:f>
        <x:v>4387.1302656</x:v>
      </x:c>
      <x:c r="B58" s="35" t="n">
        <x:f>'Survey'!B58*'Unit Map'!$I$18</x:f>
        <x:v>1.546117371171697</x:v>
      </x:c>
      <x:c r="C58" s="35" t="n">
        <x:f>'Survey'!C58*'Unit Map'!$I$18</x:f>
        <x:v>1.366837150406839</x:v>
      </x:c>
      <x:c r="D58" s="35" t="n">
        <x:f>'Results'!A58*COS('Survey'!B58)</x:f>
        <x:v>108.25880317101482</x:v>
      </x:c>
      <x:c r="E58" s="35" t="n">
        <x:f>'Results'!B58</x:f>
        <x:v>1100397.3144771114</x:v>
      </x:c>
      <x:c r="F58" s="35" t="n">
        <x:f>'Results'!C58</x:f>
        <x:v>1087812.9940658004</x:v>
      </x:c>
      <x:c r="G58" s="35" t="n">
        <x:f>'Results'!F58</x:f>
        <x:v>26017.855452932938</x:v>
      </x:c>
      <x:c r="H58" s="35" t="n">
        <x:f>'Results'!D58</x:f>
        <x:v>26007.142181173174</x:v>
      </x:c>
      <x:c r="I58" s="35" t="n">
        <x:f>'Results'!E58</x:f>
        <x:v>26014.28436234635</x:v>
      </x:c>
      <x:c r="J58" s="35" t="n">
        <x:f>'Results'!E58*1.10</x:f>
        <x:v>28615.712798580986</x:v>
      </x:c>
      <x:c r="K58" s="35" t="n">
        <x:f>'Results'!G58</x:f>
        <x:v>5465.325847757959</x:v>
      </x:c>
      <x:c r="L58" s="35" t="n">
        <x:f>'Results'!H58</x:f>
        <x:v>10930.651695515919</x:v>
      </x:c>
      <x:c r="M58" s="35" t="str">
        <x:f>'Results'!I58</x:f>
        <x:v>PASS</x:v>
      </x:c>
      <x:c r="N58" s="35" t="str">
        <x:f>'Results'!K58</x:f>
        <x:v>survey-052</x:v>
      </x:c>
    </x:row>
    <x:row r="59">
      <x:c r="A59" s="35" t="n">
        <x:f>'Results'!A59</x:f>
        <x:v>4464.1026288</x:v>
      </x:c>
      <x:c r="B59" s="35" t="n">
        <x:f>'Survey'!B59*'Unit Map'!$I$18</x:f>
        <x:v>1.54517489337562</x:v>
      </x:c>
      <x:c r="C59" s="35" t="n">
        <x:f>'Survey'!C59*'Unit Map'!$I$18</x:f>
        <x:v>1.3941690064930703</x:v>
      </x:c>
      <x:c r="D59" s="35" t="n">
        <x:f>'Results'!A59*COS('Survey'!B59)</x:f>
        <x:v>114.36419477667678</x:v>
      </x:c>
      <x:c r="E59" s="35" t="n">
        <x:f>'Results'!B59</x:f>
        <x:v>1117600.1657298983</x:v>
      </x:c>
      <x:c r="F59" s="35" t="n">
        <x:f>'Results'!C59</x:f>
        <x:v>1104791.564922813</x:v>
      </x:c>
      <x:c r="G59" s="35" t="n">
        <x:f>'Results'!F59</x:f>
        <x:v>26017.802256414583</x:v>
      </x:c>
      <x:c r="H59" s="35" t="n">
        <x:f>'Results'!D59</x:f>
        <x:v>26007.12090256583</x:v>
      </x:c>
      <x:c r="I59" s="35" t="n">
        <x:f>'Results'!E59</x:f>
        <x:v>26014.241805131667</x:v>
      </x:c>
      <x:c r="J59" s="35" t="n">
        <x:f>'Results'!E59*1.10</x:f>
        <x:v>28615.665985644835</x:v>
      </x:c>
      <x:c r="K59" s="35" t="n">
        <x:f>'Results'!G59</x:f>
        <x:v>5462.8587766814835</x:v>
      </x:c>
      <x:c r="L59" s="35" t="n">
        <x:f>'Results'!H59</x:f>
        <x:v>10925.717553362967</x:v>
      </x:c>
      <x:c r="M59" s="35" t="str">
        <x:f>'Results'!I59</x:f>
        <x:v>PASS</x:v>
      </x:c>
      <x:c r="N59" s="35" t="str">
        <x:f>'Results'!K59</x:f>
        <x:v>survey-053</x:v>
      </x:c>
    </x:row>
    <x:row r="60">
      <x:c r="A60" s="35" t="n">
        <x:f>'Results'!A60</x:f>
        <x:v>4540.555308</x:v>
      </x:c>
      <x:c r="B60" s="35" t="n">
        <x:f>'Survey'!B60*'Unit Map'!$I$18</x:f>
        <x:v>1.5443545886271826</x:v>
      </x:c>
      <x:c r="C60" s="35" t="n">
        <x:f>'Survey'!C60*'Unit Map'!$I$18</x:f>
        <x:v>1.421343782946622</x:v>
      </x:c>
      <x:c r="D60" s="35" t="n">
        <x:f>'Results'!A60*COS('Survey'!B60)</x:f>
        <x:v>120.04618475688335</x:v>
      </x:c>
      <x:c r="E60" s="35" t="n">
        <x:f>'Results'!B60</x:f>
        <x:v>1134686.2127898713</x:v>
      </x:c>
      <x:c r="F60" s="35" t="n">
        <x:f>'Results'!C60</x:f>
        <x:v>1121656.1618409925</x:v>
      </x:c>
      <x:c r="G60" s="35" t="n">
        <x:f>'Results'!F60</x:f>
        <x:v>26017.577605004877</x:v>
      </x:c>
      <x:c r="H60" s="35" t="n">
        <x:f>'Results'!D60</x:f>
        <x:v>26007.03104200195</x:v>
      </x:c>
      <x:c r="I60" s="35" t="n">
        <x:f>'Results'!E60</x:f>
        <x:v>26014.0620840039</x:v>
      </x:c>
      <x:c r="J60" s="35" t="n">
        <x:f>'Results'!E60*1.10</x:f>
        <x:v>28615.468292404294</x:v>
      </x:c>
      <x:c r="K60" s="35" t="n">
        <x:f>'Results'!G60</x:f>
        <x:v>5446.698722331982</x:v>
      </x:c>
      <x:c r="L60" s="35" t="n">
        <x:f>'Results'!H60</x:f>
        <x:v>10893.397444663964</x:v>
      </x:c>
      <x:c r="M60" s="35" t="str">
        <x:f>'Results'!I60</x:f>
        <x:v>PASS</x:v>
      </x:c>
      <x:c r="N60" s="35" t="str">
        <x:f>'Results'!K60</x:f>
        <x:v>survey-054</x:v>
      </x:c>
    </x:row>
    <x:row r="61">
      <x:c r="A61" s="35" t="n">
        <x:f>'Results'!A61</x:f>
        <x:v>4616.3935104</x:v>
      </x:c>
      <x:c r="B61" s="35" t="n">
        <x:f>'Survey'!B61*'Unit Map'!$I$18</x:f>
        <x:v>1.5437786299740244</x:v>
      </x:c>
      <x:c r="C61" s="35" t="n">
        <x:f>'Survey'!C61*'Unit Map'!$I$18</x:f>
        <x:v>1.4482567600123746</x:v>
      </x:c>
      <x:c r="D61" s="35" t="n">
        <x:f>'Results'!A61*COS('Survey'!B61)</x:f>
        <x:v>124.70914694719428</x:v>
      </x:c>
      <x:c r="E61" s="35" t="n">
        <x:f>'Results'!B61</x:f>
        <x:v>1151633.8485513218</x:v>
      </x:c>
      <x:c r="F61" s="35" t="n">
        <x:f>'Results'!C61</x:f>
        <x:v>1138386.296912006</x:v>
      </x:c>
      <x:c r="G61" s="35" t="n">
        <x:f>'Results'!F61</x:f>
        <x:v>26017.26411730344</x:v>
      </x:c>
      <x:c r="H61" s="35" t="n">
        <x:f>'Results'!D61</x:f>
        <x:v>26006.905646921376</x:v>
      </x:c>
      <x:c r="I61" s="35" t="n">
        <x:f>'Results'!E61</x:f>
        <x:v>26013.81129384275</x:v>
      </x:c>
      <x:c r="J61" s="35" t="n">
        <x:f>'Results'!E61*1.10</x:f>
        <x:v>28615.19242322703</x:v>
      </x:c>
      <x:c r="K61" s="35" t="n">
        <x:f>'Results'!G61</x:f>
        <x:v>5419.734744567189</x:v>
      </x:c>
      <x:c r="L61" s="35" t="n">
        <x:f>'Results'!H61</x:f>
        <x:v>10839.469489134379</x:v>
      </x:c>
      <x:c r="M61" s="35" t="str">
        <x:f>'Results'!I61</x:f>
        <x:v>PASS</x:v>
      </x:c>
      <x:c r="N61" s="35" t="str">
        <x:f>'Results'!K61</x:f>
        <x:v>survey-055</x:v>
      </x:c>
    </x:row>
    <x:row r="62">
      <x:c r="A62" s="35" t="n">
        <x:f>'Results'!A62</x:f>
        <x:v>4691.8360824</x:v>
      </x:c>
      <x:c r="B62" s="35" t="n">
        <x:f>'Survey'!B62*'Unit Map'!$I$18</x:f>
        <x:v>1.5437262700964647</x:v>
      </x:c>
      <x:c r="C62" s="35" t="n">
        <x:f>'Survey'!C62*'Unit Map'!$I$18</x:f>
        <x:v>1.4748730311052882</x:v>
      </x:c>
      <x:c r="D62" s="35" t="n">
        <x:f>'Results'!A62*COS('Survey'!B62)</x:f>
        <x:v>126.99275765007884</x:v>
      </x:c>
      <x:c r="E62" s="35" t="n">
        <x:f>'Results'!B62</x:f>
        <x:v>1168491.854524314</x:v>
      </x:c>
      <x:c r="F62" s="35" t="n">
        <x:f>'Results'!C62</x:f>
        <x:v>1155030.372613192</x:v>
      </x:c>
      <x:c r="G62" s="35" t="n">
        <x:f>'Results'!F62</x:f>
        <x:v>26016.98071532463</x:v>
      </x:c>
      <x:c r="H62" s="35" t="n">
        <x:f>'Results'!D62</x:f>
        <x:v>26006.79228612985</x:v>
      </x:c>
      <x:c r="I62" s="35" t="n">
        <x:f>'Results'!E62</x:f>
        <x:v>26013.584572259704</x:v>
      </x:c>
      <x:c r="J62" s="35" t="n">
        <x:f>'Results'!E62*1.10</x:f>
        <x:v>28614.943029485676</x:v>
      </x:c>
      <x:c r="K62" s="35" t="n">
        <x:f>'Results'!G62</x:f>
        <x:v>5389.141729174255</x:v>
      </x:c>
      <x:c r="L62" s="35" t="n">
        <x:f>'Results'!H62</x:f>
        <x:v>10778.28345834851</x:v>
      </x:c>
      <x:c r="M62" s="35" t="str">
        <x:f>'Results'!I62</x:f>
        <x:v>PASS</x:v>
      </x:c>
      <x:c r="N62" s="35" t="str">
        <x:f>'Results'!K62</x:f>
        <x:v>survey-056</x:v>
      </x:c>
    </x:row>
    <x:row r="63">
      <x:c r="A63" s="35" t="n">
        <x:f>'Results'!A63</x:f>
        <x:v>4767.3027336000005</x:v>
      </x:c>
      <x:c r="B63" s="35" t="n">
        <x:f>'Survey'!B63*'Unit Map'!$I$18</x:f>
        <x:v>1.5445814814299417</x:v>
      </x:c>
      <x:c r="C63" s="35" t="n">
        <x:f>'Survey'!C63*'Unit Map'!$I$18</x:f>
        <x:v>1.5012100495178828</x:v>
      </x:c>
      <x:c r="D63" s="35" t="n">
        <x:f>'Results'!A63*COS('Survey'!B63)</x:f>
        <x:v>124.95979038300982</x:v>
      </x:c>
      <x:c r="E63" s="35" t="n">
        <x:f>'Results'!B63</x:f>
        <x:v>1185354.175272814</x:v>
      </x:c>
      <x:c r="F63" s="35" t="n">
        <x:f>'Results'!C63</x:f>
        <x:v>1171680.8264845596</x:v>
      </x:c>
      <x:c r="G63" s="35" t="n">
        <x:f>'Results'!F63</x:f>
        <x:v>26016.81693337239</x:v>
      </x:c>
      <x:c r="H63" s="35" t="n">
        <x:f>'Results'!D63</x:f>
        <x:v>26006.726773348957</x:v>
      </x:c>
      <x:c r="I63" s="35" t="n">
        <x:f>'Results'!E63</x:f>
        <x:v>26013.45354669791</x:v>
      </x:c>
      <x:c r="J63" s="35" t="n">
        <x:f>'Results'!E63*1.10</x:f>
        <x:v>28614.798901367703</x:v>
      </x:c>
      <x:c r="K63" s="35" t="n">
        <x:f>'Results'!G63</x:f>
        <x:v>5362.233481314568</x:v>
      </x:c>
      <x:c r="L63" s="35" t="n">
        <x:f>'Results'!H63</x:f>
        <x:v>10724.466962629136</x:v>
      </x:c>
      <x:c r="M63" s="35" t="str">
        <x:f>'Results'!I63</x:f>
        <x:v>PASS</x:v>
      </x:c>
      <x:c r="N63" s="35" t="str">
        <x:f>'Results'!K63</x:f>
        <x:v>survey-057</x:v>
      </x:c>
    </x:row>
    <x:row r="64">
      <x:c r="A64" s="35" t="n">
        <x:f>'Results'!A64</x:f>
        <x:v>4843.2018960000005</x:v>
      </x:c>
      <x:c r="B64" s="35" t="n">
        <x:f>'Survey'!B64*'Unit Map'!$I$18</x:f>
        <x:v>1.5465886100697352</x:v>
      </x:c>
      <x:c r="C64" s="35" t="n">
        <x:f>'Survey'!C64*'Unit Map'!$I$18</x:f>
        <x:v>1.5273376284202378</x:v>
      </x:c>
      <x:c r="D64" s="35" t="n">
        <x:f>'Results'!A64*COS('Survey'!B64)</x:f>
        <x:v>117.23140889261272</x:v>
      </x:c>
      <x:c r="E64" s="35" t="n">
        <x:f>'Results'!B64</x:f>
        <x:v>1202312.5490238403</x:v>
      </x:c>
      <x:c r="F64" s="35" t="n">
        <x:f>'Results'!C64</x:f>
        <x:v>1188427.2943145775</x:v>
      </x:c>
      <x:c r="G64" s="35" t="n">
        <x:f>'Results'!F64</x:f>
        <x:v>26016.82003248004</x:v>
      </x:c>
      <x:c r="H64" s="35" t="n">
        <x:f>'Results'!D64</x:f>
        <x:v>26006.728012992015</x:v>
      </x:c>
      <x:c r="I64" s="35" t="n">
        <x:f>'Results'!E64</x:f>
        <x:v>26013.456025984033</x:v>
      </x:c>
      <x:c r="J64" s="35" t="n">
        <x:f>'Results'!E64*1.10</x:f>
        <x:v>28614.801628582438</x:v>
      </x:c>
      <x:c r="K64" s="35" t="n">
        <x:f>'Results'!G64</x:f>
        <x:v>5347.425972648599</x:v>
      </x:c>
      <x:c r="L64" s="35" t="n">
        <x:f>'Results'!H64</x:f>
        <x:v>10694.851945297198</x:v>
      </x:c>
      <x:c r="M64" s="35" t="str">
        <x:f>'Results'!I64</x:f>
        <x:v>PASS</x:v>
      </x:c>
      <x:c r="N64" s="35" t="str">
        <x:f>'Results'!K64</x:f>
        <x:v>survey-058</x:v>
      </x:c>
    </x:row>
    <x:row r="65">
      <x:c r="A65" s="35" t="n">
        <x:f>'Results'!A65</x:f>
        <x:v>4919.7207168</x:v>
      </x:c>
      <x:c r="B65" s="35" t="n">
        <x:f>'Survey'!B65*'Unit Map'!$I$18</x:f>
        <x:v>1.5498523757709646</x:v>
      </x:c>
      <x:c r="C65" s="35" t="n">
        <x:f>'Survey'!C65*'Unit Map'!$I$18</x:f>
        <x:v>1.5533430342749535</x:v>
      </x:c>
      <x:c r="D65" s="35" t="n">
        <x:f>'Results'!A65*COS('Survey'!B65)</x:f>
        <x:v>103.03085696007594</x:v>
      </x:c>
      <x:c r="E65" s="35" t="n">
        <x:f>'Results'!B65</x:f>
        <x:v>1219409.4015843999</x:v>
      </x:c>
      <x:c r="F65" s="35" t="n">
        <x:f>'Results'!C65</x:f>
        <x:v>1205310.4574943804</x:v>
      </x:c>
      <x:c r="G65" s="35" t="n">
        <x:f>'Results'!F65</x:f>
        <x:v>26016.961594597546</x:v>
      </x:c>
      <x:c r="H65" s="35" t="n">
        <x:f>'Results'!D65</x:f>
        <x:v>26006.784637839017</x:v>
      </x:c>
      <x:c r="I65" s="35" t="n">
        <x:f>'Results'!E65</x:f>
        <x:v>26013.569275678037</x:v>
      </x:c>
      <x:c r="J65" s="35" t="n">
        <x:f>'Results'!E65*1.10</x:f>
        <x:v>28614.926203245843</x:v>
      </x:c>
      <x:c r="K65" s="35" t="n">
        <x:f>'Results'!G65</x:f>
        <x:v>5348.094378791932</x:v>
      </x:c>
      <x:c r="L65" s="35" t="n">
        <x:f>'Results'!H65</x:f>
        <x:v>10696.188757583865</x:v>
      </x:c>
      <x:c r="M65" s="35" t="str">
        <x:f>'Results'!I65</x:f>
        <x:v>PASS</x:v>
      </x:c>
      <x:c r="N65" s="35" t="str">
        <x:f>'Results'!K65</x:f>
        <x:v>survey-059</x:v>
      </x:c>
    </x:row>
  </x:sheetData>
  <x:mergeCells>
    <x:mergeCell ref="A1:N1"/>
    <x:mergeCell ref="A3:N3"/>
  </x:mergeCells>
  <x:conditionalFormatting sqref="E6:M65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PUW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PUW operation depth profile</x:v>
      </x:c>
      <x:c r="B3" s="33" t="str">
        <x:v>PUW operation depth profile</x:v>
      </x:c>
      <x:c r="C3" s="33" t="str">
        <x:v>PUW operation depth profile</x:v>
      </x:c>
      <x:c r="D3" s="33" t="str">
        <x:v>PUW operation depth profile</x:v>
      </x:c>
      <x:c r="E3" s="33" t="str">
        <x:v>PUW operation depth profile</x:v>
      </x:c>
      <x:c r="F3" s="33" t="str">
        <x:v>PUW operation depth profile</x:v>
      </x:c>
      <x:c r="G3" s="33" t="str">
        <x:v>PUW operation depth profile</x:v>
      </x:c>
      <x:c r="H3" s="33" t="str">
        <x:v>PUW operation depth profile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f>"MD "&amp;'Unit Map'!$H$8</x:f>
        <x:v>MD m</x:v>
      </x:c>
      <x:c r="B5" s="34" t="str">
        <x:f>"Axial load "&amp;'Unit Map'!$H$14</x:f>
        <x:v>Axial load N</x:v>
      </x:c>
      <x:c r="C5" s="34" t="str">
        <x:f>"Torque "&amp;'Unit Map'!$H$16</x:f>
        <x:v>Torque N-m</x:v>
      </x:c>
      <x:c r="D5" s="34" t="str">
        <x:f>"Sinusoidal limit "&amp;'Unit Map'!$H$14</x:f>
        <x:v>Sinusoidal limit N</x:v>
      </x:c>
      <x:c r="E5" s="34" t="str">
        <x:f>"Helical limit "&amp;'Unit Map'!$H$14</x:f>
        <x:v>Helical limit N</x:v>
      </x:c>
      <x:c r="F5" s="34" t="str">
        <x:f>"Axial margin "&amp;'Unit Map'!$H$14</x:f>
        <x:v>Axial margin N</x:v>
      </x:c>
      <x:c r="G5" s="34" t="str">
        <x:v>Buckling status</x:v>
      </x:c>
      <x:c r="H5" s="34" t="str">
        <x:v>Record ID</x:v>
      </x:c>
      <x:c r="I5" s="32"/>
      <x:c r="J5" s="32"/>
      <x:c r="K5" s="32"/>
      <x:c r="L5" s="32"/>
      <x:c r="M5" s="32"/>
      <x:c r="N5" s="32"/>
    </x:row>
    <x:row r="6">
      <x:c r="A6" s="35" t="n">
        <x:f>'ALL'!A6</x:f>
        <x:v>0</x:v>
      </x:c>
      <x:c r="B6" s="35" t="n">
        <x:f>'ALL'!E6</x:f>
        <x:v>120000</x:v>
      </x:c>
      <x:c r="C6" s="35" t="n">
        <x:f>'ALL'!I6</x:f>
        <x:v>26000</x:v>
      </x:c>
      <x:c r="D6" s="35" t="n">
        <x:f>'ALL'!K6</x:f>
        <x:v>0</x:v>
      </x:c>
      <x:c r="E6" s="35" t="n">
        <x:f>'ALL'!L6</x:f>
        <x:v>0</x:v>
      </x:c>
      <x:c r="F6" s="35" t="n">
        <x:f>B6-E6</x:f>
        <x:v>120000</x:v>
      </x:c>
      <x:c r="G6" s="35" t="str">
        <x:f>'ALL'!M6</x:f>
        <x:v>PASS</x:v>
      </x:c>
      <x:c r="H6" s="35" t="str">
        <x:f>'ALL'!N6</x:f>
        <x:v>survey-000</x:v>
      </x:c>
      <x:c r="I6" s="32"/>
      <x:c r="J6" s="32"/>
      <x:c r="K6" s="32"/>
      <x:c r="L6" s="32"/>
      <x:c r="M6" s="32"/>
      <x:c r="N6" s="32"/>
    </x:row>
    <x:row r="7">
      <x:c r="A7" s="35" t="n">
        <x:f>'ALL'!A7</x:f>
        <x:v>155.10875760000002</x:v>
      </x:c>
      <x:c r="B7" s="35" t="n">
        <x:f>'ALL'!E7</x:f>
        <x:v>154510.13539941903</x:v>
      </x:c>
      <x:c r="C7" s="35" t="n">
        <x:f>'ALL'!I7</x:f>
        <x:v>26008.922425328856</x:v>
      </x:c>
      <x:c r="D7" s="35" t="n">
        <x:f>'ALL'!K7</x:f>
        <x:v>3045.9878423456744</x:v>
      </x:c>
      <x:c r="E7" s="35" t="n">
        <x:f>'ALL'!L7</x:f>
        <x:v>6091.975684691349</x:v>
      </x:c>
      <x:c r="F7" s="35" t="n">
        <x:f>B7-E7</x:f>
        <x:v>148418.1597147277</x:v>
      </x:c>
      <x:c r="G7" s="35" t="str">
        <x:f>'ALL'!M7</x:f>
        <x:v>PASS</x:v>
      </x:c>
      <x:c r="H7" s="35" t="str">
        <x:f>'ALL'!N7</x:f>
        <x:v>survey-001</x:v>
      </x:c>
      <x:c r="I7" s="32"/>
      <x:c r="J7" s="32"/>
      <x:c r="K7" s="32"/>
      <x:c r="L7" s="32"/>
      <x:c r="M7" s="32"/>
      <x:c r="N7" s="32"/>
    </x:row>
    <x:row r="8">
      <x:c r="A8" s="35" t="n">
        <x:f>'ALL'!A8</x:f>
        <x:v>307.974492</x:v>
      </x:c>
      <x:c r="B8" s="35" t="n">
        <x:f>'ALL'!E8</x:f>
        <x:v>188467.9142173173</x:v>
      </x:c>
      <x:c r="C8" s="35" t="n">
        <x:f>'ALL'!I8</x:f>
        <x:v>26002.02346979533</x:v>
      </x:c>
      <x:c r="D8" s="35" t="n">
        <x:f>'ALL'!K8</x:f>
        <x:v>1461.161274893059</x:v>
      </x:c>
      <x:c r="E8" s="35" t="n">
        <x:f>'ALL'!L8</x:f>
        <x:v>2922.322549786118</x:v>
      </x:c>
      <x:c r="F8" s="35" t="n">
        <x:f>B8-E8</x:f>
        <x:v>185545.59166753117</x:v>
      </x:c>
      <x:c r="G8" s="35" t="str">
        <x:f>'ALL'!M8</x:f>
        <x:v>PASS</x:v>
      </x:c>
      <x:c r="H8" s="35" t="str">
        <x:f>'ALL'!N8</x:f>
        <x:v>survey-002</x:v>
      </x:c>
      <x:c r="I8" s="32"/>
      <x:c r="J8" s="32"/>
      <x:c r="K8" s="32"/>
      <x:c r="L8" s="32"/>
      <x:c r="M8" s="32"/>
      <x:c r="N8" s="32"/>
    </x:row>
    <x:row r="9">
      <x:c r="A9" s="35" t="n">
        <x:f>'ALL'!A9</x:f>
        <x:v>460.2227016</x:v>
      </x:c>
      <x:c r="B9" s="35" t="n">
        <x:f>'ALL'!E9</x:f>
        <x:v>222294.45447042436</x:v>
      </x:c>
      <x:c r="C9" s="35" t="n">
        <x:f>'ALL'!I9</x:f>
        <x:v>26002.769566444822</x:v>
      </x:c>
      <x:c r="D9" s="35" t="n">
        <x:f>'ALL'!K9</x:f>
        <x:v>1712.910460216405</x:v>
      </x:c>
      <x:c r="E9" s="35" t="n">
        <x:f>'ALL'!L9</x:f>
        <x:v>3425.82092043281</x:v>
      </x:c>
      <x:c r="F9" s="35" t="n">
        <x:f>B9-E9</x:f>
        <x:v>218868.63354999156</x:v>
      </x:c>
      <x:c r="G9" s="35" t="str">
        <x:f>'ALL'!M9</x:f>
        <x:v>PASS</x:v>
      </x:c>
      <x:c r="H9" s="35" t="str">
        <x:f>'ALL'!N9</x:f>
        <x:v>survey-003</x:v>
      </x:c>
      <x:c r="I9" s="32"/>
      <x:c r="J9" s="32"/>
      <x:c r="K9" s="32"/>
      <x:c r="L9" s="32"/>
      <x:c r="M9" s="32"/>
      <x:c r="N9" s="32"/>
    </x:row>
    <x:row r="10">
      <x:c r="A10" s="35" t="n">
        <x:f>'ALL'!A10</x:f>
        <x:v>611.9649432</x:v>
      </x:c>
      <x:c r="B10" s="35" t="n">
        <x:f>'ALL'!E10</x:f>
        <x:v>256016.06229413615</x:v>
      </x:c>
      <x:c r="C10" s="35" t="n">
        <x:f>'ALL'!I10</x:f>
        <x:v>26003.710785950836</x:v>
      </x:c>
      <x:c r="D10" s="35" t="n">
        <x:f>'ALL'!K10</x:f>
        <x:v>1986.0243471491665</x:v>
      </x:c>
      <x:c r="E10" s="35" t="n">
        <x:f>'ALL'!L10</x:f>
        <x:v>3972.048694298333</x:v>
      </x:c>
      <x:c r="F10" s="35" t="n">
        <x:f>B10-E10</x:f>
        <x:v>252044.0135998378</x:v>
      </x:c>
      <x:c r="G10" s="35" t="str">
        <x:f>'ALL'!M10</x:f>
        <x:v>PASS</x:v>
      </x:c>
      <x:c r="H10" s="35" t="str">
        <x:f>'ALL'!N10</x:f>
        <x:v>survey-004</x:v>
      </x:c>
      <x:c r="I10" s="32"/>
      <x:c r="J10" s="32"/>
      <x:c r="K10" s="32"/>
      <x:c r="L10" s="32"/>
      <x:c r="M10" s="32"/>
      <x:c r="N10" s="32"/>
    </x:row>
    <x:row r="11">
      <x:c r="A11" s="35" t="n">
        <x:f>'ALL'!A11</x:f>
        <x:v>763.5706344</x:v>
      </x:c>
      <x:c r="B11" s="35" t="n">
        <x:f>'ALL'!E11</x:f>
        <x:v>289718.4655474009</x:v>
      </x:c>
      <x:c r="C11" s="35" t="n">
        <x:f>'ALL'!I11</x:f>
        <x:v>26005.12234878211</x:v>
      </x:c>
      <x:c r="D11" s="35" t="n">
        <x:f>'ALL'!K11</x:f>
        <x:v>2334.434457092405</x:v>
      </x:c>
      <x:c r="E11" s="35" t="n">
        <x:f>'ALL'!L11</x:f>
        <x:v>4668.86891418481</x:v>
      </x:c>
      <x:c r="F11" s="35" t="n">
        <x:f>B11-E11</x:f>
        <x:v>285049.5966332161</x:v>
      </x:c>
      <x:c r="G11" s="35" t="str">
        <x:f>'ALL'!M11</x:f>
        <x:v>PASS</x:v>
      </x:c>
      <x:c r="H11" s="35" t="str">
        <x:f>'ALL'!N11</x:f>
        <x:v>survey-005</x:v>
      </x:c>
      <x:c r="I11" s="32"/>
      <x:c r="J11" s="32"/>
      <x:c r="K11" s="32"/>
      <x:c r="L11" s="32"/>
      <x:c r="M11" s="32"/>
      <x:c r="N11" s="32"/>
    </x:row>
    <x:row r="12">
      <x:c r="A12" s="35" t="n">
        <x:f>'ALL'!A12</x:f>
        <x:v>915.4786872000001</x:v>
      </x:c>
      <x:c r="B12" s="35" t="n">
        <x:f>'ALL'!E12</x:f>
        <x:v>323457.1728441087</x:v>
      </x:c>
      <x:c r="C12" s="35" t="n">
        <x:f>'ALL'!I12</x:f>
        <x:v>26001.206759326556</x:v>
      </x:c>
      <x:c r="D12" s="35" t="n">
        <x:f>'ALL'!K12</x:f>
        <x:v>1131.943624491696</x:v>
      </x:c>
      <x:c r="E12" s="35" t="n">
        <x:f>'ALL'!L12</x:f>
        <x:v>2263.887248983392</x:v>
      </x:c>
      <x:c r="F12" s="35" t="n">
        <x:f>B12-E12</x:f>
        <x:v>321193.28559512534</x:v>
      </x:c>
      <x:c r="G12" s="35" t="str">
        <x:f>'ALL'!M12</x:f>
        <x:v>PASS</x:v>
      </x:c>
      <x:c r="H12" s="35" t="str">
        <x:f>'ALL'!N12</x:f>
        <x:v>survey-006</x:v>
      </x:c>
      <x:c r="I12" s="32"/>
      <x:c r="J12" s="32"/>
      <x:c r="K12" s="32"/>
      <x:c r="L12" s="32"/>
      <x:c r="M12" s="32"/>
      <x:c r="N12" s="32"/>
    </x:row>
    <x:row r="13">
      <x:c r="A13" s="35" t="n">
        <x:f>'ALL'!A13</x:f>
        <x:v>1067.9740896</x:v>
      </x:c>
      <x:c r="B13" s="35" t="n">
        <x:f>'ALL'!E13</x:f>
        <x:v>357344.30678427016</x:v>
      </x:c>
      <x:c r="C13" s="35" t="n">
        <x:f>'ALL'!I13</x:f>
        <x:v>26003.49444997194</x:v>
      </x:c>
      <x:c r="D13" s="35" t="n">
        <x:f>'ALL'!K13</x:f>
        <x:v>1922.4980265136417</x:v>
      </x:c>
      <x:c r="E13" s="35" t="n">
        <x:f>'ALL'!L13</x:f>
        <x:v>3844.9960530272833</x:v>
      </x:c>
      <x:c r="F13" s="35" t="n">
        <x:f>B13-E13</x:f>
        <x:v>353499.3107312429</x:v>
      </x:c>
      <x:c r="G13" s="35" t="str">
        <x:f>'ALL'!M13</x:f>
        <x:v>PASS</x:v>
      </x:c>
      <x:c r="H13" s="35" t="str">
        <x:f>'ALL'!N13</x:f>
        <x:v>survey-007</x:v>
      </x:c>
      <x:c r="I13" s="32"/>
      <x:c r="J13" s="32"/>
      <x:c r="K13" s="32"/>
      <x:c r="L13" s="32"/>
      <x:c r="M13" s="32"/>
      <x:c r="N13" s="32"/>
    </x:row>
    <x:row r="14">
      <x:c r="A14" s="35" t="n">
        <x:f>'ALL'!A14</x:f>
        <x:v>1221.042516</x:v>
      </x:c>
      <x:c r="B14" s="35" t="n">
        <x:f>'ALL'!E14</x:f>
        <x:v>391345.68470615847</x:v>
      </x:c>
      <x:c r="C14" s="35" t="n">
        <x:f>'ALL'!I14</x:f>
        <x:v>26001.844905823713</x:v>
      </x:c>
      <x:c r="D14" s="35" t="n">
        <x:f>'ALL'!K14</x:f>
        <x:v>1394.2772985072377</x:v>
      </x:c>
      <x:c r="E14" s="35" t="n">
        <x:f>'ALL'!L14</x:f>
        <x:v>2788.5545970144753</x:v>
      </x:c>
      <x:c r="F14" s="35" t="n">
        <x:f>B14-E14</x:f>
        <x:v>388557.13010914397</x:v>
      </x:c>
      <x:c r="G14" s="35" t="str">
        <x:f>'ALL'!M14</x:f>
        <x:v>PASS</x:v>
      </x:c>
      <x:c r="H14" s="35" t="str">
        <x:f>'ALL'!N14</x:f>
        <x:v>survey-008</x:v>
      </x:c>
      <x:c r="I14" s="32"/>
      <x:c r="J14" s="32"/>
      <x:c r="K14" s="32"/>
      <x:c r="L14" s="32"/>
      <x:c r="M14" s="32"/>
      <x:c r="N14" s="32"/>
    </x:row>
    <x:row r="15">
      <x:c r="A15" s="35" t="n">
        <x:f>'ALL'!A15</x:f>
        <x:v>1374.3773376000001</x:v>
      </x:c>
      <x:c r="B15" s="35" t="n">
        <x:f>'ALL'!E15</x:f>
        <x:v>425428.63075766864</x:v>
      </x:c>
      <x:c r="C15" s="35" t="n">
        <x:f>'ALL'!I15</x:f>
        <x:v>26004.692060908415</x:v>
      </x:c>
      <x:c r="D15" s="35" t="n">
        <x:f>'ALL'!K15</x:f>
        <x:v>2221.60215796265</x:v>
      </x:c>
      <x:c r="E15" s="35" t="n">
        <x:f>'ALL'!L15</x:f>
        <x:v>4443.2043159253</x:v>
      </x:c>
      <x:c r="F15" s="35" t="n">
        <x:f>B15-E15</x:f>
        <x:v>420985.42644174333</x:v>
      </x:c>
      <x:c r="G15" s="35" t="str">
        <x:f>'ALL'!M15</x:f>
        <x:v>PASS</x:v>
      </x:c>
      <x:c r="H15" s="35" t="str">
        <x:f>'ALL'!N15</x:f>
        <x:v>survey-009</x:v>
      </x:c>
      <x:c r="I15" s="32"/>
      <x:c r="J15" s="32"/>
      <x:c r="K15" s="32"/>
      <x:c r="L15" s="32"/>
      <x:c r="M15" s="32"/>
      <x:c r="N15" s="32"/>
    </x:row>
    <x:row r="16">
      <x:c r="A16" s="35" t="n">
        <x:f>'ALL'!A16</x:f>
        <x:v>1527.5362896000001</x:v>
      </x:c>
      <x:c r="B16" s="35" t="n">
        <x:f>'ALL'!E16</x:f>
        <x:v>459438.75162258657</x:v>
      </x:c>
      <x:c r="C16" s="35" t="n">
        <x:f>'ALL'!I16</x:f>
        <x:v>26000.402555674227</x:v>
      </x:c>
      <x:c r="D16" s="35" t="n">
        <x:f>'ALL'!K16</x:f>
        <x:v>651.098429003259</x:v>
      </x:c>
      <x:c r="E16" s="35" t="n">
        <x:f>'ALL'!L16</x:f>
        <x:v>1302.196858006518</x:v>
      </x:c>
      <x:c r="F16" s="35" t="n">
        <x:f>B16-E16</x:f>
        <x:v>458136.55476458004</x:v>
      </x:c>
      <x:c r="G16" s="35" t="str">
        <x:f>'ALL'!M16</x:f>
        <x:v>PASS</x:v>
      </x:c>
      <x:c r="H16" s="35" t="str">
        <x:f>'ALL'!N16</x:f>
        <x:v>survey-010</x:v>
      </x:c>
      <x:c r="I16" s="32"/>
      <x:c r="J16" s="32"/>
      <x:c r="K16" s="32"/>
      <x:c r="L16" s="32"/>
      <x:c r="M16" s="32"/>
      <x:c r="N16" s="32"/>
    </x:row>
    <x:row r="17">
      <x:c r="A17" s="35" t="n">
        <x:f>'ALL'!A17</x:f>
        <x:v>1565.8667184</x:v>
      </x:c>
      <x:c r="B17" s="35" t="n">
        <x:f>'ALL'!E17</x:f>
        <x:v>468349.8132751307</x:v>
      </x:c>
      <x:c r="C17" s="35" t="n">
        <x:f>'ALL'!I17</x:f>
        <x:v>26050.836703813504</x:v>
      </x:c>
      <x:c r="D17" s="35" t="n">
        <x:f>'ALL'!K17</x:f>
        <x:v>14625.870276492271</x:v>
      </x:c>
      <x:c r="E17" s="35" t="n">
        <x:f>'ALL'!L17</x:f>
        <x:v>29251.740552984542</x:v>
      </x:c>
      <x:c r="F17" s="35" t="n">
        <x:f>B17-E17</x:f>
        <x:v>439098.0727221462</x:v>
      </x:c>
      <x:c r="G17" s="35" t="str">
        <x:f>'ALL'!M17</x:f>
        <x:v>PASS</x:v>
      </x:c>
      <x:c r="H17" s="35" t="str">
        <x:f>'ALL'!N17</x:f>
        <x:v>survey-011</x:v>
      </x:c>
      <x:c r="I17" s="32"/>
      <x:c r="J17" s="32"/>
      <x:c r="K17" s="32"/>
      <x:c r="L17" s="32"/>
      <x:c r="M17" s="32"/>
      <x:c r="N17" s="32"/>
    </x:row>
    <x:row r="18">
      <x:c r="A18" s="35" t="n">
        <x:f>'ALL'!A18</x:f>
        <x:v>1603.5857184000001</x:v>
      </x:c>
      <x:c r="B18" s="35" t="n">
        <x:f>'ALL'!E18</x:f>
        <x:v>477086.71589363687</x:v>
      </x:c>
      <x:c r="C18" s="35" t="n">
        <x:f>'ALL'!I18</x:f>
        <x:v>26045.960001615174</x:v>
      </x:c>
      <x:c r="D18" s="35" t="n">
        <x:f>'ALL'!K18</x:f>
        <x:v>14018.927722546516</x:v>
      </x:c>
      <x:c r="E18" s="35" t="n">
        <x:f>'ALL'!L18</x:f>
        <x:v>28037.85544509303</x:v>
      </x:c>
      <x:c r="F18" s="35" t="n">
        <x:f>B18-E18</x:f>
        <x:v>449048.86044854386</x:v>
      </x:c>
      <x:c r="G18" s="35" t="str">
        <x:f>'ALL'!M18</x:f>
        <x:v>PASS</x:v>
      </x:c>
      <x:c r="H18" s="35" t="str">
        <x:f>'ALL'!N18</x:f>
        <x:v>survey-012</x:v>
      </x:c>
      <x:c r="I18" s="32"/>
      <x:c r="J18" s="32"/>
      <x:c r="K18" s="32"/>
      <x:c r="L18" s="32"/>
      <x:c r="M18" s="32"/>
      <x:c r="N18" s="32"/>
    </x:row>
    <x:row r="19">
      <x:c r="A19" s="35" t="n">
        <x:f>'ALL'!A19</x:f>
        <x:v>1640.9209752000002</x:v>
      </x:c>
      <x:c r="B19" s="35" t="n">
        <x:f>'ALL'!E19</x:f>
        <x:v>485707.09476391843</x:v>
      </x:c>
      <x:c r="C19" s="35" t="n">
        <x:f>'ALL'!I19</x:f>
        <x:v>26041.982543597504</x:v>
      </x:c>
      <x:c r="D19" s="35" t="n">
        <x:f>'ALL'!K19</x:f>
        <x:v>13467.273080777122</x:v>
      </x:c>
      <x:c r="E19" s="35" t="n">
        <x:f>'ALL'!L19</x:f>
        <x:v>26934.546161554244</x:v>
      </x:c>
      <x:c r="F19" s="35" t="n">
        <x:f>B19-E19</x:f>
        <x:v>458772.5486023642</x:v>
      </x:c>
      <x:c r="G19" s="35" t="str">
        <x:f>'ALL'!M19</x:f>
        <x:v>PASS</x:v>
      </x:c>
      <x:c r="H19" s="35" t="str">
        <x:f>'ALL'!N19</x:f>
        <x:v>survey-013</x:v>
      </x:c>
      <x:c r="I19" s="32"/>
      <x:c r="J19" s="32"/>
      <x:c r="K19" s="32"/>
      <x:c r="L19" s="32"/>
      <x:c r="M19" s="32"/>
      <x:c r="N19" s="32"/>
    </x:row>
    <x:row r="20">
      <x:c r="A20" s="35" t="n">
        <x:f>'ALL'!A20</x:f>
        <x:v>1678.2970752</x:v>
      </x:c>
      <x:c r="B20" s="35" t="n">
        <x:f>'ALL'!E20</x:f>
        <x:v>494320.8872486618</x:v>
      </x:c>
      <x:c r="C20" s="35" t="n">
        <x:f>'ALL'!I20</x:f>
        <x:v>26039.994347635806</x:v>
      </x:c>
      <x:c r="D20" s="35" t="n">
        <x:f>'ALL'!K20</x:f>
        <x:v>13137.332179016305</x:v>
      </x:c>
      <x:c r="E20" s="35" t="n">
        <x:f>'ALL'!L20</x:f>
        <x:v>26274.66435803261</x:v>
      </x:c>
      <x:c r="F20" s="35" t="n">
        <x:f>B20-E20</x:f>
        <x:v>468046.22289062914</x:v>
      </x:c>
      <x:c r="G20" s="35" t="str">
        <x:f>'ALL'!M20</x:f>
        <x:v>PASS</x:v>
      </x:c>
      <x:c r="H20" s="35" t="str">
        <x:f>'ALL'!N20</x:f>
        <x:v>survey-014</x:v>
      </x:c>
      <x:c r="I20" s="32"/>
      <x:c r="J20" s="32"/>
      <x:c r="K20" s="32"/>
      <x:c r="L20" s="32"/>
      <x:c r="M20" s="32"/>
      <x:c r="N20" s="32"/>
    </x:row>
    <x:row r="21">
      <x:c r="A21" s="35" t="n">
        <x:f>'ALL'!A21</x:f>
        <x:v>1716.1166592000002</x:v>
      </x:c>
      <x:c r="B21" s="35" t="n">
        <x:f>'ALL'!E21</x:f>
        <x:v>503044.30107654614</x:v>
      </x:c>
      <x:c r="C21" s="35" t="n">
        <x:f>'ALL'!I21</x:f>
        <x:v>26041.410587523715</x:v>
      </x:c>
      <x:c r="D21" s="35" t="n">
        <x:f>'ALL'!K21</x:f>
        <x:v>13289.302478170144</x:v>
      </x:c>
      <x:c r="E21" s="35" t="n">
        <x:f>'ALL'!L21</x:f>
        <x:v>26578.60495634029</x:v>
      </x:c>
      <x:c r="F21" s="35" t="n">
        <x:f>B21-E21</x:f>
        <x:v>476465.69612020586</x:v>
      </x:c>
      <x:c r="G21" s="35" t="str">
        <x:f>'ALL'!M21</x:f>
        <x:v>PASS</x:v>
      </x:c>
      <x:c r="H21" s="35" t="str">
        <x:f>'ALL'!N21</x:f>
        <x:v>survey-015</x:v>
      </x:c>
      <x:c r="I21" s="32"/>
      <x:c r="J21" s="32"/>
      <x:c r="K21" s="32"/>
      <x:c r="L21" s="32"/>
      <x:c r="M21" s="32"/>
      <x:c r="N21" s="32"/>
    </x:row>
    <x:row r="22">
      <x:c r="A22" s="35" t="n">
        <x:f>'ALL'!A22</x:f>
        <x:v>1754.5571208000001</x:v>
      </x:c>
      <x:c r="B22" s="35" t="n">
        <x:f>'ALL'!E22</x:f>
        <x:v>511938.37316616287</x:v>
      </x:c>
      <x:c r="C22" s="35" t="n">
        <x:f>'ALL'!I22</x:f>
        <x:v>26045.576247796333</x:v>
      </x:c>
      <x:c r="D22" s="35" t="n">
        <x:f>'ALL'!K22</x:f>
        <x:v>13828.652103940169</x:v>
      </x:c>
      <x:c r="E22" s="35" t="n">
        <x:f>'ALL'!L22</x:f>
        <x:v>27657.304207880337</x:v>
      </x:c>
      <x:c r="F22" s="35" t="n">
        <x:f>B22-E22</x:f>
        <x:v>484281.0689582825</x:v>
      </x:c>
      <x:c r="G22" s="35" t="str">
        <x:f>'ALL'!M22</x:f>
        <x:v>PASS</x:v>
      </x:c>
      <x:c r="H22" s="35" t="str">
        <x:f>'ALL'!N22</x:f>
        <x:v>survey-016</x:v>
      </x:c>
      <x:c r="I22" s="32"/>
      <x:c r="J22" s="32"/>
      <x:c r="K22" s="32"/>
      <x:c r="L22" s="32"/>
      <x:c r="M22" s="32"/>
      <x:c r="N22" s="32"/>
    </x:row>
    <x:row r="23">
      <x:c r="A23" s="35" t="n">
        <x:f>'ALL'!A23</x:f>
        <x:v>1793.4788616</x:v>
      </x:c>
      <x:c r="B23" s="35" t="n">
        <x:f>'ALL'!E23</x:f>
        <x:v>520975.0329266632</x:v>
      </x:c>
      <x:c r="C23" s="35" t="n">
        <x:f>'ALL'!I23</x:f>
        <x:v>26050.113435935953</x:v>
      </x:c>
      <x:c r="D23" s="35" t="n">
        <x:f>'ALL'!K23</x:f>
        <x:v>14410.724855994376</x:v>
      </x:c>
      <x:c r="E23" s="35" t="n">
        <x:f>'ALL'!L23</x:f>
        <x:v>28821.449711988753</x:v>
      </x:c>
      <x:c r="F23" s="35" t="n">
        <x:f>B23-E23</x:f>
        <x:v>492153.58321467444</x:v>
      </x:c>
      <x:c r="G23" s="35" t="str">
        <x:f>'ALL'!M23</x:f>
        <x:v>PASS</x:v>
      </x:c>
      <x:c r="H23" s="35" t="str">
        <x:f>'ALL'!N23</x:f>
        <x:v>survey-017</x:v>
      </x:c>
      <x:c r="I23" s="32"/>
      <x:c r="J23" s="32"/>
      <x:c r="K23" s="32"/>
      <x:c r="L23" s="32"/>
      <x:c r="M23" s="32"/>
      <x:c r="N23" s="32"/>
    </x:row>
    <x:row r="24">
      <x:c r="A24" s="35" t="n">
        <x:f>'ALL'!A24</x:f>
        <x:v>1832.4975288000003</x:v>
      </x:c>
      <x:c r="B24" s="35" t="n">
        <x:f>'ALL'!E24</x:f>
        <x:v>530050.028756666</x:v>
      </x:c>
      <x:c r="C24" s="35" t="n">
        <x:f>'ALL'!I24</x:f>
        <x:v>26052.248918632355</x:v>
      </x:c>
      <x:c r="D24" s="35" t="n">
        <x:f>'ALL'!K24</x:f>
        <x:v>14696.276085690224</x:v>
      </x:c>
      <x:c r="E24" s="35" t="n">
        <x:f>'ALL'!L24</x:f>
        <x:v>29392.55217138045</x:v>
      </x:c>
      <x:c r="F24" s="35" t="n">
        <x:f>B24-E24</x:f>
        <x:v>500657.47658528556</x:v>
      </x:c>
      <x:c r="G24" s="35" t="str">
        <x:f>'ALL'!M24</x:f>
        <x:v>PASS</x:v>
      </x:c>
      <x:c r="H24" s="35" t="str">
        <x:f>'ALL'!N24</x:f>
        <x:v>survey-018</x:v>
      </x:c>
      <x:c r="I24" s="32"/>
      <x:c r="J24" s="32"/>
      <x:c r="K24" s="32"/>
      <x:c r="L24" s="32"/>
      <x:c r="M24" s="32"/>
      <x:c r="N24" s="32"/>
    </x:row>
    <x:row r="25">
      <x:c r="A25" s="35" t="n">
        <x:f>'ALL'!A25</x:f>
        <x:v>1871.1787824</x:v>
      </x:c>
      <x:c r="B25" s="35" t="n">
        <x:f>'ALL'!E25</x:f>
        <x:v>539037.0019643743</x:v>
      </x:c>
      <x:c r="C25" s="35" t="n">
        <x:f>'ALL'!I25</x:f>
        <x:v>26050.584669281336</x:v>
      </x:c>
      <x:c r="D25" s="35" t="n">
        <x:f>'ALL'!K25</x:f>
        <x:v>14523.257963276968</x:v>
      </x:c>
      <x:c r="E25" s="35" t="n">
        <x:f>'ALL'!L25</x:f>
        <x:v>29046.515926553937</x:v>
      </x:c>
      <x:c r="F25" s="35" t="n">
        <x:f>B25-E25</x:f>
        <x:v>509990.4860378204</x:v>
      </x:c>
      <x:c r="G25" s="35" t="str">
        <x:f>'ALL'!M25</x:f>
        <x:v>PASS</x:v>
      </x:c>
      <x:c r="H25" s="35" t="str">
        <x:f>'ALL'!N25</x:f>
        <x:v>survey-019</x:v>
      </x:c>
      <x:c r="I25" s="32"/>
      <x:c r="J25" s="32"/>
      <x:c r="K25" s="32"/>
      <x:c r="L25" s="32"/>
      <x:c r="M25" s="32"/>
      <x:c r="N25" s="32"/>
    </x:row>
    <x:row r="26">
      <x:c r="A26" s="35" t="n">
        <x:f>'ALL'!A26</x:f>
        <x:v>1947.3607992000002</x:v>
      </x:c>
      <x:c r="B26" s="35" t="n">
        <x:f>'ALL'!E26</x:f>
        <x:v>556218.7098983912</x:v>
      </x:c>
      <x:c r="C26" s="35" t="n">
        <x:f>'ALL'!I26</x:f>
        <x:v>26033.84334186215</x:v>
      </x:c>
      <x:c r="D26" s="35" t="n">
        <x:f>'ALL'!K26</x:f>
        <x:v>8464.771745150709</x:v>
      </x:c>
      <x:c r="E26" s="35" t="n">
        <x:f>'ALL'!L26</x:f>
        <x:v>16929.543490301417</x:v>
      </x:c>
      <x:c r="F26" s="35" t="n">
        <x:f>B26-E26</x:f>
        <x:v>539289.1664080897</x:v>
      </x:c>
      <x:c r="G26" s="35" t="str">
        <x:f>'ALL'!M26</x:f>
        <x:v>PASS</x:v>
      </x:c>
      <x:c r="H26" s="35" t="str">
        <x:f>'ALL'!N26</x:f>
        <x:v>survey-020</x:v>
      </x:c>
      <x:c r="I26" s="32"/>
      <x:c r="J26" s="32"/>
      <x:c r="K26" s="32"/>
      <x:c r="L26" s="32"/>
      <x:c r="M26" s="32"/>
      <x:c r="N26" s="32"/>
    </x:row>
    <x:row r="27">
      <x:c r="A27" s="35" t="n">
        <x:f>'ALL'!A27</x:f>
        <x:v>2022.9868608</x:v>
      </x:c>
      <x:c r="B27" s="35" t="n">
        <x:f>'ALL'!E27</x:f>
        <x:v>573178.0120435266</x:v>
      </x:c>
      <x:c r="C27" s="35" t="n">
        <x:f>'ALL'!I27</x:f>
        <x:v>26021.275018591994</x:v>
      </x:c>
      <x:c r="D27" s="35" t="n">
        <x:f>'ALL'!K27</x:f>
        <x:v>6736.03129578184</x:v>
      </x:c>
      <x:c r="E27" s="35" t="n">
        <x:f>'ALL'!L27</x:f>
        <x:v>13472.06259156368</x:v>
      </x:c>
      <x:c r="F27" s="35" t="n">
        <x:f>B27-E27</x:f>
        <x:v>559705.949451963</x:v>
      </x:c>
      <x:c r="G27" s="35" t="str">
        <x:f>'ALL'!M27</x:f>
        <x:v>PASS</x:v>
      </x:c>
      <x:c r="H27" s="35" t="str">
        <x:f>'ALL'!N27</x:f>
        <x:v>survey-021</x:v>
      </x:c>
      <x:c r="I27" s="32"/>
      <x:c r="J27" s="32"/>
      <x:c r="K27" s="32"/>
      <x:c r="L27" s="32"/>
      <x:c r="M27" s="32"/>
      <x:c r="N27" s="32"/>
    </x:row>
    <x:row r="28">
      <x:c r="A28" s="35" t="n">
        <x:f>'ALL'!A28</x:f>
        <x:v>2098.3837128</x:v>
      </x:c>
      <x:c r="B28" s="35" t="n">
        <x:f>'ALL'!E28</x:f>
        <x:v>590079.5868524231</x:v>
      </x:c>
      <x:c r="C28" s="35" t="n">
        <x:f>'ALL'!I28</x:f>
        <x:v>26020.407058820667</x:v>
      </x:c>
      <x:c r="D28" s="35" t="n">
        <x:f>'ALL'!K28</x:f>
        <x:v>6607.2154035717995</x:v>
      </x:c>
      <x:c r="E28" s="35" t="n">
        <x:f>'ALL'!L28</x:f>
        <x:v>13214.430807143599</x:v>
      </x:c>
      <x:c r="F28" s="35" t="n">
        <x:f>B28-E28</x:f>
        <x:v>576865.1560452796</x:v>
      </x:c>
      <x:c r="G28" s="35" t="str">
        <x:f>'ALL'!M28</x:f>
        <x:v>PASS</x:v>
      </x:c>
      <x:c r="H28" s="35" t="str">
        <x:f>'ALL'!N28</x:f>
        <x:v>survey-022</x:v>
      </x:c>
      <x:c r="I28" s="32"/>
      <x:c r="J28" s="32"/>
      <x:c r="K28" s="32"/>
      <x:c r="L28" s="32"/>
      <x:c r="M28" s="32"/>
      <x:c r="N28" s="32"/>
    </x:row>
    <x:row r="29">
      <x:c r="A29" s="35" t="n">
        <x:f>'ALL'!A29</x:f>
        <x:v>2173.9945344000002</x:v>
      </x:c>
      <x:c r="B29" s="35" t="n">
        <x:f>'ALL'!E29</x:f>
        <x:v>607020.0895864788</x:v>
      </x:c>
      <x:c r="C29" s="35" t="n">
        <x:f>'ALL'!I29</x:f>
        <x:v>26019.31724151856</x:v>
      </x:c>
      <x:c r="D29" s="35" t="n">
        <x:f>'ALL'!K29</x:f>
        <x:v>6419.267007502434</x:v>
      </x:c>
      <x:c r="E29" s="35" t="n">
        <x:f>'ALL'!L29</x:f>
        <x:v>12838.534015004869</x:v>
      </x:c>
      <x:c r="F29" s="35" t="n">
        <x:f>B29-E29</x:f>
        <x:v>594181.5555714739</x:v>
      </x:c>
      <x:c r="G29" s="35" t="str">
        <x:f>'ALL'!M29</x:f>
        <x:v>PASS</x:v>
      </x:c>
      <x:c r="H29" s="35" t="str">
        <x:f>'ALL'!N29</x:f>
        <x:v>survey-023</x:v>
      </x:c>
      <x:c r="I29" s="32"/>
      <x:c r="J29" s="32"/>
      <x:c r="K29" s="32"/>
      <x:c r="L29" s="32"/>
      <x:c r="M29" s="32"/>
      <x:c r="N29" s="32"/>
    </x:row>
    <x:row r="30">
      <x:c r="A30" s="35" t="n">
        <x:f>'ALL'!A30</x:f>
        <x:v>2250.1543008</x:v>
      </x:c>
      <x:c r="B30" s="35" t="n">
        <x:f>'ALL'!E30</x:f>
        <x:v>624072.1267373553</x:v>
      </x:c>
      <x:c r="C30" s="35" t="n">
        <x:f>'ALL'!I30</x:f>
        <x:v>26018.002584678557</x:v>
      </x:c>
      <x:c r="D30" s="35" t="n">
        <x:f>'ALL'!K30</x:f>
        <x:v>6174.609456279386</x:v>
      </x:c>
      <x:c r="E30" s="35" t="n">
        <x:f>'ALL'!L30</x:f>
        <x:v>12349.218912558772</x:v>
      </x:c>
      <x:c r="F30" s="35" t="n">
        <x:f>B30-E30</x:f>
        <x:v>611722.9078247965</x:v>
      </x:c>
      <x:c r="G30" s="35" t="str">
        <x:f>'ALL'!M30</x:f>
        <x:v>PASS</x:v>
      </x:c>
      <x:c r="H30" s="35" t="str">
        <x:f>'ALL'!N30</x:f>
        <x:v>survey-024</x:v>
      </x:c>
      <x:c r="I30" s="32"/>
      <x:c r="J30" s="32"/>
      <x:c r="K30" s="32"/>
      <x:c r="L30" s="32"/>
      <x:c r="M30" s="32"/>
      <x:c r="N30" s="32"/>
    </x:row>
    <x:row r="31">
      <x:c r="A31" s="35" t="n">
        <x:f>'ALL'!A31</x:f>
        <x:v>2326.9172664000002</x:v>
      </x:c>
      <x:c r="B31" s="35" t="n">
        <x:f>'ALL'!E31</x:f>
        <x:v>641245.7493002525</x:v>
      </x:c>
      <x:c r="C31" s="35" t="n">
        <x:f>'ALL'!I31</x:f>
        <x:v>26016.43450087289</x:v>
      </x:c>
      <x:c r="D31" s="35" t="n">
        <x:f>'ALL'!K31</x:f>
        <x:v>5876.344539699765</x:v>
      </x:c>
      <x:c r="E31" s="35" t="n">
        <x:f>'ALL'!L31</x:f>
        <x:v>11752.68907939953</x:v>
      </x:c>
      <x:c r="F31" s="35" t="n">
        <x:f>B31-E31</x:f>
        <x:v>629493.060220853</x:v>
      </x:c>
      <x:c r="G31" s="35" t="str">
        <x:f>'ALL'!M31</x:f>
        <x:v>PASS</x:v>
      </x:c>
      <x:c r="H31" s="35" t="str">
        <x:f>'ALL'!N31</x:f>
        <x:v>survey-025</x:v>
      </x:c>
      <x:c r="I31" s="32"/>
      <x:c r="J31" s="32"/>
      <x:c r="K31" s="32"/>
      <x:c r="L31" s="32"/>
      <x:c r="M31" s="32"/>
      <x:c r="N31" s="32"/>
    </x:row>
    <x:row r="32">
      <x:c r="A32" s="35" t="n">
        <x:f>'ALL'!A32</x:f>
        <x:v>2404.030752</x:v>
      </x:c>
      <x:c r="B32" s="35" t="n">
        <x:f>'ALL'!E32</x:f>
        <x:v>658482.8943766345</x:v>
      </x:c>
      <x:c r="C32" s="35" t="n">
        <x:f>'ALL'!I32</x:f>
        <x:v>26014.617653010104</x:v>
      </x:c>
      <x:c r="D32" s="35" t="n">
        <x:f>'ALL'!K32</x:f>
        <x:v>5529.406533740687</x:v>
      </x:c>
      <x:c r="E32" s="35" t="n">
        <x:f>'ALL'!L32</x:f>
        <x:v>11058.813067481375</x:v>
      </x:c>
      <x:c r="F32" s="35" t="n">
        <x:f>B32-E32</x:f>
        <x:v>647424.0813091531</x:v>
      </x:c>
      <x:c r="G32" s="35" t="str">
        <x:f>'ALL'!M32</x:f>
        <x:v>PASS</x:v>
      </x:c>
      <x:c r="H32" s="35" t="str">
        <x:f>'ALL'!N32</x:f>
        <x:v>survey-026</x:v>
      </x:c>
      <x:c r="I32" s="32"/>
      <x:c r="J32" s="32"/>
      <x:c r="K32" s="32"/>
      <x:c r="L32" s="32"/>
      <x:c r="M32" s="32"/>
      <x:c r="N32" s="32"/>
    </x:row>
    <x:row r="33">
      <x:c r="A33" s="35" t="n">
        <x:f>'ALL'!A33</x:f>
        <x:v>2481.0637704</x:v>
      </x:c>
      <x:c r="B33" s="35" t="n">
        <x:f>'ALL'!E33</x:f>
        <x:v>675686.2595691354</x:v>
      </x:c>
      <x:c r="C33" s="35" t="n">
        <x:f>'ALL'!I33</x:f>
        <x:v>26012.596677903195</x:v>
      </x:c>
      <x:c r="D33" s="35" t="n">
        <x:f>'ALL'!K33</x:f>
        <x:v>5135.638179379317</x:v>
      </x:c>
      <x:c r="E33" s="35" t="n">
        <x:f>'ALL'!L33</x:f>
        <x:v>10271.276358758634</x:v>
      </x:c>
      <x:c r="F33" s="35" t="n">
        <x:f>B33-E33</x:f>
        <x:v>665414.9832103767</x:v>
      </x:c>
      <x:c r="G33" s="35" t="str">
        <x:f>'ALL'!M33</x:f>
        <x:v>PASS</x:v>
      </x:c>
      <x:c r="H33" s="35" t="str">
        <x:f>'ALL'!N33</x:f>
        <x:v>survey-027</x:v>
      </x:c>
      <x:c r="I33" s="32"/>
      <x:c r="J33" s="32"/>
      <x:c r="K33" s="32"/>
      <x:c r="L33" s="32"/>
      <x:c r="M33" s="32"/>
      <x:c r="N33" s="32"/>
    </x:row>
    <x:row r="34">
      <x:c r="A34" s="35" t="n">
        <x:f>'ALL'!A34</x:f>
        <x:v>2557.6252632</x:v>
      </x:c>
      <x:c r="B34" s="35" t="n">
        <x:f>'ALL'!E34</x:f>
        <x:v>692768.7105823595</x:v>
      </x:c>
      <x:c r="C34" s="35" t="n">
        <x:f>'ALL'!I34</x:f>
        <x:v>26010.536984392053</x:v>
      </x:c>
      <x:c r="D34" s="35" t="n">
        <x:f>'ALL'!K34</x:f>
        <x:v>4711.485253484027</x:v>
      </x:c>
      <x:c r="E34" s="35" t="n">
        <x:f>'ALL'!L34</x:f>
        <x:v>9422.970506968055</x:v>
      </x:c>
      <x:c r="F34" s="35" t="n">
        <x:f>B34-E34</x:f>
        <x:v>683345.7400753914</x:v>
      </x:c>
      <x:c r="G34" s="35" t="str">
        <x:f>'ALL'!M34</x:f>
        <x:v>PASS</x:v>
      </x:c>
      <x:c r="H34" s="35" t="str">
        <x:f>'ALL'!N34</x:f>
        <x:v>survey-028</x:v>
      </x:c>
      <x:c r="I34" s="32"/>
      <x:c r="J34" s="32"/>
      <x:c r="K34" s="32"/>
      <x:c r="L34" s="32"/>
      <x:c r="M34" s="32"/>
      <x:c r="N34" s="32"/>
    </x:row>
    <x:row r="35">
      <x:c r="A35" s="35" t="n">
        <x:f>'ALL'!A35</x:f>
        <x:v>2633.5658784</x:v>
      </x:c>
      <x:c r="B35" s="35" t="n">
        <x:f>'ALL'!E35</x:f>
        <x:v>709697.6280845449</x:v>
      </x:c>
      <x:c r="C35" s="35" t="n">
        <x:f>'ALL'!I35</x:f>
        <x:v>26008.54616745755</x:v>
      </x:c>
      <x:c r="D35" s="35" t="n">
        <x:f>'ALL'!K35</x:f>
        <x:v>4260.430722586636</x:v>
      </x:c>
      <x:c r="E35" s="35" t="n">
        <x:f>'ALL'!L35</x:f>
        <x:v>8520.861445173272</x:v>
      </x:c>
      <x:c r="F35" s="35" t="n">
        <x:f>B35-E35</x:f>
        <x:v>701176.7666393716</x:v>
      </x:c>
      <x:c r="G35" s="35" t="str">
        <x:f>'ALL'!M35</x:f>
        <x:v>PASS</x:v>
      </x:c>
      <x:c r="H35" s="35" t="str">
        <x:f>'ALL'!N35</x:f>
        <x:v>survey-029</x:v>
      </x:c>
      <x:c r="I35" s="32"/>
      <x:c r="J35" s="32"/>
      <x:c r="K35" s="32"/>
      <x:c r="L35" s="32"/>
      <x:c r="M35" s="32"/>
      <x:c r="N35" s="32"/>
    </x:row>
    <x:row r="36">
      <x:c r="A36" s="35" t="n">
        <x:f>'ALL'!A36</x:f>
        <x:v>2709.0514272</x:v>
      </x:c>
      <x:c r="B36" s="35" t="n">
        <x:f>'ALL'!E36</x:f>
        <x:v>726511.6770373742</x:v>
      </x:c>
      <x:c r="C36" s="35" t="n">
        <x:f>'ALL'!I36</x:f>
        <x:v>26006.790140961944</x:v>
      </x:c>
      <x:c r="D36" s="35" t="n">
        <x:f>'ALL'!K36</x:f>
        <x:v>3809.012087543358</x:v>
      </x:c>
      <x:c r="E36" s="35" t="n">
        <x:f>'ALL'!L36</x:f>
        <x:v>7618.024175086716</x:v>
      </x:c>
      <x:c r="F36" s="35" t="n">
        <x:f>B36-E36</x:f>
        <x:v>718893.6528622875</x:v>
      </x:c>
      <x:c r="G36" s="35" t="str">
        <x:f>'ALL'!M36</x:f>
        <x:v>PASS</x:v>
      </x:c>
      <x:c r="H36" s="35" t="str">
        <x:f>'ALL'!N36</x:f>
        <x:v>survey-030</x:v>
      </x:c>
      <x:c r="I36" s="32"/>
      <x:c r="J36" s="32"/>
      <x:c r="K36" s="32"/>
      <x:c r="L36" s="32"/>
      <x:c r="M36" s="32"/>
      <x:c r="N36" s="32"/>
    </x:row>
    <x:row r="37">
      <x:c r="A37" s="35" t="n">
        <x:f>'ALL'!A37</x:f>
        <x:v>2784.480588</x:v>
      </x:c>
      <x:c r="B37" s="35" t="n">
        <x:f>'ALL'!E37</x:f>
        <x:v>743301.7566949244</x:v>
      </x:c>
      <x:c r="C37" s="35" t="n">
        <x:f>'ALL'!I37</x:f>
        <x:v>26005.336108556217</x:v>
      </x:c>
      <x:c r="D37" s="35" t="n">
        <x:f>'ALL'!K37</x:f>
        <x:v>3377.9059561717727</x:v>
      </x:c>
      <x:c r="E37" s="35" t="n">
        <x:f>'ALL'!L37</x:f>
        <x:v>6755.811912343545</x:v>
      </x:c>
      <x:c r="F37" s="35" t="n">
        <x:f>B37-E37</x:f>
        <x:v>736545.944782581</x:v>
      </x:c>
      <x:c r="G37" s="35" t="str">
        <x:f>'ALL'!M37</x:f>
        <x:v>PASS</x:v>
      </x:c>
      <x:c r="H37" s="35" t="str">
        <x:f>'ALL'!N37</x:f>
        <x:v>survey-031</x:v>
      </x:c>
      <x:c r="I37" s="32"/>
      <x:c r="J37" s="32"/>
      <x:c r="K37" s="32"/>
      <x:c r="L37" s="32"/>
      <x:c r="M37" s="32"/>
      <x:c r="N37" s="32"/>
    </x:row>
    <x:row r="38">
      <x:c r="A38" s="35" t="n">
        <x:f>'ALL'!A38</x:f>
        <x:v>2860.2800807999997</x:v>
      </x:c>
      <x:c r="B38" s="35" t="n">
        <x:f>'ALL'!E38</x:f>
        <x:v>760164.9276528626</x:v>
      </x:c>
      <x:c r="C38" s="35" t="n">
        <x:f>'ALL'!I38</x:f>
        <x:v>26004.17582405631</x:v>
      </x:c>
      <x:c r="D38" s="35" t="n">
        <x:f>'ALL'!K38</x:f>
        <x:v>2980.8684489930993</x:v>
      </x:c>
      <x:c r="E38" s="35" t="n">
        <x:f>'ALL'!L38</x:f>
        <x:v>5961.7368979861985</x:v>
      </x:c>
      <x:c r="F38" s="35" t="n">
        <x:f>B38-E38</x:f>
        <x:v>754203.1907548765</x:v>
      </x:c>
      <x:c r="G38" s="35" t="str">
        <x:f>'ALL'!M38</x:f>
        <x:v>PASS</x:v>
      </x:c>
      <x:c r="H38" s="35" t="str">
        <x:f>'ALL'!N38</x:f>
        <x:v>survey-032</x:v>
      </x:c>
      <x:c r="I38" s="32"/>
      <x:c r="J38" s="32"/>
      <x:c r="K38" s="32"/>
      <x:c r="L38" s="32"/>
      <x:c r="M38" s="32"/>
      <x:c r="N38" s="32"/>
    </x:row>
    <x:row r="39">
      <x:c r="A39" s="35" t="n">
        <x:f>'ALL'!A39</x:f>
        <x:v>2936.688564</x:v>
      </x:c>
      <x:c r="B39" s="35" t="n">
        <x:f>'ALL'!E39</x:f>
        <x:v>777155.6787109898</x:v>
      </x:c>
      <x:c r="C39" s="35" t="n">
        <x:f>'ALL'!I39</x:f>
        <x:v>26003.2057613572</x:v>
      </x:c>
      <x:c r="D39" s="35" t="n">
        <x:f>'ALL'!K39</x:f>
        <x:v>2601.355278029806</x:v>
      </x:c>
      <x:c r="E39" s="35" t="n">
        <x:f>'ALL'!L39</x:f>
        <x:v>5202.710556059612</x:v>
      </x:c>
      <x:c r="F39" s="35" t="n">
        <x:f>B39-E39</x:f>
        <x:v>771952.9681549302</x:v>
      </x:c>
      <x:c r="G39" s="35" t="str">
        <x:f>'ALL'!M39</x:f>
        <x:v>PASS</x:v>
      </x:c>
      <x:c r="H39" s="35" t="str">
        <x:f>'ALL'!N39</x:f>
        <x:v>survey-033</x:v>
      </x:c>
      <x:c r="I39" s="32"/>
      <x:c r="J39" s="32"/>
      <x:c r="K39" s="32"/>
      <x:c r="L39" s="32"/>
      <x:c r="M39" s="32"/>
      <x:c r="N39" s="32"/>
    </x:row>
    <x:row r="40">
      <x:c r="A40" s="35" t="n">
        <x:f>'ALL'!A40</x:f>
        <x:v>3013.6334952</x:v>
      </x:c>
      <x:c r="B40" s="35" t="n">
        <x:f>'ALL'!E40</x:f>
        <x:v>794258.6529676841</x:v>
      </x:c>
      <x:c r="C40" s="35" t="n">
        <x:f>'ALL'!I40</x:f>
        <x:v>26002.330973268596</x:v>
      </x:c>
      <x:c r="D40" s="35" t="n">
        <x:f>'ALL'!K40</x:f>
        <x:v>2210.464287905019</x:v>
      </x:c>
      <x:c r="E40" s="35" t="n">
        <x:f>'ALL'!L40</x:f>
        <x:v>4420.928575810038</x:v>
      </x:c>
      <x:c r="F40" s="35" t="n">
        <x:f>B40-E40</x:f>
        <x:v>789837.724391874</x:v>
      </x:c>
      <x:c r="G40" s="35" t="str">
        <x:f>'ALL'!M40</x:f>
        <x:v>PASS</x:v>
      </x:c>
      <x:c r="H40" s="35" t="str">
        <x:f>'ALL'!N40</x:f>
        <x:v>survey-034</x:v>
      </x:c>
      <x:c r="I40" s="32"/>
      <x:c r="J40" s="32"/>
      <x:c r="K40" s="32"/>
      <x:c r="L40" s="32"/>
      <x:c r="M40" s="32"/>
      <x:c r="N40" s="32"/>
    </x:row>
    <x:row r="41">
      <x:c r="A41" s="35" t="n">
        <x:f>'ALL'!A41</x:f>
        <x:v>3090.7698408</x:v>
      </x:c>
      <x:c r="B41" s="35" t="n">
        <x:f>'ALL'!E41</x:f>
        <x:v>811398.364236773</x:v>
      </x:c>
      <x:c r="C41" s="35" t="n">
        <x:f>'ALL'!I41</x:f>
        <x:v>26001.59893728332</x:v>
      </x:c>
      <x:c r="D41" s="35" t="n">
        <x:f>'ALL'!K41</x:f>
        <x:v>1828.4835133349245</x:v>
      </x:c>
      <x:c r="E41" s="35" t="n">
        <x:f>'ALL'!L41</x:f>
        <x:v>3656.967026669849</x:v>
      </x:c>
      <x:c r="F41" s="35" t="n">
        <x:f>B41-E41</x:f>
        <x:v>807741.3972101031</x:v>
      </x:c>
      <x:c r="G41" s="35" t="str">
        <x:f>'ALL'!M41</x:f>
        <x:v>PASS</x:v>
      </x:c>
      <x:c r="H41" s="35" t="str">
        <x:f>'ALL'!N41</x:f>
        <x:v>survey-035</x:v>
      </x:c>
      <x:c r="I41" s="32"/>
      <x:c r="J41" s="32"/>
      <x:c r="K41" s="32"/>
      <x:c r="L41" s="32"/>
      <x:c r="M41" s="32"/>
      <x:c r="N41" s="32"/>
    </x:row>
    <x:row r="42">
      <x:c r="A42" s="35" t="n">
        <x:f>'ALL'!A42</x:f>
        <x:v>3167.6544215999998</x:v>
      </x:c>
      <x:c r="B42" s="35" t="n">
        <x:f>'ALL'!E42</x:f>
        <x:v>828481.9159706458</x:v>
      </x:c>
      <x:c r="C42" s="35" t="n">
        <x:f>'ALL'!I42</x:f>
        <x:v>26001.566115479778</x:v>
      </x:c>
      <x:c r="D42" s="35" t="n">
        <x:f>'ALL'!K42</x:f>
        <x:v>1812.5797754308658</x:v>
      </x:c>
      <x:c r="E42" s="35" t="n">
        <x:f>'ALL'!L42</x:f>
        <x:v>3625.1595508617315</x:v>
      </x:c>
      <x:c r="F42" s="35" t="n">
        <x:f>B42-E42</x:f>
        <x:v>824856.7564197842</x:v>
      </x:c>
      <x:c r="G42" s="35" t="str">
        <x:f>'ALL'!M42</x:f>
        <x:v>PASS</x:v>
      </x:c>
      <x:c r="H42" s="35" t="str">
        <x:f>'ALL'!N42</x:f>
        <x:v>survey-036</x:v>
      </x:c>
      <x:c r="I42" s="32"/>
      <x:c r="J42" s="32"/>
      <x:c r="K42" s="32"/>
      <x:c r="L42" s="32"/>
      <x:c r="M42" s="32"/>
      <x:c r="N42" s="32"/>
    </x:row>
    <x:row r="43">
      <x:c r="A43" s="35" t="n">
        <x:f>'ALL'!A43</x:f>
        <x:v>3243.9723792</x:v>
      </x:c>
      <x:c r="B43" s="35" t="n">
        <x:f>'ALL'!E43</x:f>
        <x:v>845445.6518920356</x:v>
      </x:c>
      <x:c r="C43" s="35" t="n">
        <x:f>'ALL'!I43</x:f>
        <x:v>26002.327542905805</x:v>
      </x:c>
      <x:c r="D43" s="35" t="n">
        <x:f>'ALL'!K43</x:f>
        <x:v>2217.891733412791</x:v>
      </x:c>
      <x:c r="E43" s="35" t="n">
        <x:f>'ALL'!L43</x:f>
        <x:v>4435.783466825582</x:v>
      </x:c>
      <x:c r="F43" s="35" t="n">
        <x:f>B43-E43</x:f>
        <x:v>841009.86842521</x:v>
      </x:c>
      <x:c r="G43" s="35" t="str">
        <x:f>'ALL'!M43</x:f>
        <x:v>PASS</x:v>
      </x:c>
      <x:c r="H43" s="35" t="str">
        <x:f>'ALL'!N43</x:f>
        <x:v>survey-037</x:v>
      </x:c>
      <x:c r="I43" s="32"/>
      <x:c r="J43" s="32"/>
      <x:c r="K43" s="32"/>
      <x:c r="L43" s="32"/>
      <x:c r="M43" s="32"/>
      <x:c r="N43" s="32"/>
    </x:row>
    <x:row r="44">
      <x:c r="A44" s="35" t="n">
        <x:f>'ALL'!A44</x:f>
        <x:v>3319.6978056000003</x:v>
      </x:c>
      <x:c r="B44" s="35" t="n">
        <x:f>'ALL'!E44</x:f>
        <x:v>862285.3093043673</x:v>
      </x:c>
      <x:c r="C44" s="35" t="n">
        <x:f>'ALL'!I44</x:f>
        <x:v>26003.27817969412</x:v>
      </x:c>
      <x:c r="D44" s="35" t="n">
        <x:f>'ALL'!K44</x:f>
        <x:v>2642.4110592528173</x:v>
      </x:c>
      <x:c r="E44" s="35" t="n">
        <x:f>'ALL'!L44</x:f>
        <x:v>5284.8221185056345</x:v>
      </x:c>
      <x:c r="F44" s="35" t="n">
        <x:f>B44-E44</x:f>
        <x:v>857000.4871858617</x:v>
      </x:c>
      <x:c r="G44" s="35" t="str">
        <x:f>'ALL'!M44</x:f>
        <x:v>PASS</x:v>
      </x:c>
      <x:c r="H44" s="35" t="str">
        <x:f>'ALL'!N44</x:f>
        <x:v>survey-038</x:v>
      </x:c>
      <x:c r="I44" s="32"/>
      <x:c r="J44" s="32"/>
      <x:c r="K44" s="32"/>
      <x:c r="L44" s="32"/>
      <x:c r="M44" s="32"/>
      <x:c r="N44" s="32"/>
    </x:row>
    <x:row r="45">
      <x:c r="A45" s="35" t="n">
        <x:f>'ALL'!A45</x:f>
        <x:v>3395.1068496000003</x:v>
      </x:c>
      <x:c r="B45" s="35" t="n">
        <x:f>'ALL'!E45</x:f>
        <x:v>879061.594945844</x:v>
      </x:c>
      <x:c r="C45" s="35" t="n">
        <x:f>'ALL'!I45</x:f>
        <x:v>26004.15153605139</x:v>
      </x:c>
      <x:c r="D45" s="35" t="n">
        <x:f>'ALL'!K45</x:f>
        <x:v>2979.8716159706937</x:v>
      </x:c>
      <x:c r="E45" s="35" t="n">
        <x:f>'ALL'!L45</x:f>
        <x:v>5959.743231941387</x:v>
      </x:c>
      <x:c r="F45" s="35" t="n">
        <x:f>B45-E45</x:f>
        <x:v>873101.8517139027</x:v>
      </x:c>
      <x:c r="G45" s="35" t="str">
        <x:f>'ALL'!M45</x:f>
        <x:v>PASS</x:v>
      </x:c>
      <x:c r="H45" s="35" t="str">
        <x:f>'ALL'!N45</x:f>
        <x:v>survey-039</x:v>
      </x:c>
      <x:c r="I45" s="32"/>
      <x:c r="J45" s="32"/>
      <x:c r="K45" s="32"/>
      <x:c r="L45" s="32"/>
      <x:c r="M45" s="32"/>
      <x:c r="N45" s="32"/>
    </x:row>
    <x:row r="46">
      <x:c r="A46" s="35" t="n">
        <x:f>'ALL'!A46</x:f>
        <x:v>3470.6368992</x:v>
      </x:c>
      <x:c r="B46" s="35" t="n">
        <x:f>'ALL'!E46</x:f>
        <x:v>895870.7720675812</x:v>
      </x:c>
      <x:c r="C46" s="35" t="n">
        <x:f>'ALL'!I46</x:f>
        <x:v>26004.916553862808</x:v>
      </x:c>
      <x:c r="D46" s="35" t="n">
        <x:f>'ALL'!K46</x:f>
        <x:v>3240.2265772593487</x:v>
      </x:c>
      <x:c r="E46" s="35" t="n">
        <x:f>'ALL'!L46</x:f>
        <x:v>6480.453154518697</x:v>
      </x:c>
      <x:c r="F46" s="35" t="n">
        <x:f>B46-E46</x:f>
        <x:v>889390.3189130625</x:v>
      </x:c>
      <x:c r="G46" s="35" t="str">
        <x:f>'ALL'!M46</x:f>
        <x:v>PASS</x:v>
      </x:c>
      <x:c r="H46" s="35" t="str">
        <x:f>'ALL'!N46</x:f>
        <x:v>survey-040</x:v>
      </x:c>
      <x:c r="I46" s="32"/>
      <x:c r="J46" s="32"/>
      <x:c r="K46" s="32"/>
      <x:c r="L46" s="32"/>
      <x:c r="M46" s="32"/>
      <x:c r="N46" s="32"/>
    </x:row>
    <x:row r="47">
      <x:c r="A47" s="35" t="n">
        <x:f>'ALL'!A47</x:f>
        <x:v>3546.6631632</x:v>
      </x:c>
      <x:c r="B47" s="35" t="n">
        <x:f>'ALL'!E47</x:f>
        <x:v>912796.2996201845</x:v>
      </x:c>
      <x:c r="C47" s="35" t="n">
        <x:f>'ALL'!I47</x:f>
        <x:v>26005.700459349162</x:v>
      </x:c>
      <x:c r="D47" s="35" t="n">
        <x:f>'ALL'!K47</x:f>
        <x:v>3477.5866978427607</x:v>
      </x:c>
      <x:c r="E47" s="35" t="n">
        <x:f>'ALL'!L47</x:f>
        <x:v>6955.173395685521</x:v>
      </x:c>
      <x:c r="F47" s="35" t="n">
        <x:f>B47-E47</x:f>
        <x:v>905841.126224499</x:v>
      </x:c>
      <x:c r="G47" s="35" t="str">
        <x:f>'ALL'!M47</x:f>
        <x:v>PASS</x:v>
      </x:c>
      <x:c r="H47" s="35" t="str">
        <x:f>'ALL'!N47</x:f>
        <x:v>survey-041</x:v>
      </x:c>
      <x:c r="I47" s="32"/>
      <x:c r="J47" s="32"/>
      <x:c r="K47" s="32"/>
      <x:c r="L47" s="32"/>
      <x:c r="M47" s="32"/>
      <x:c r="N47" s="32"/>
    </x:row>
    <x:row r="48">
      <x:c r="A48" s="35" t="n">
        <x:f>'ALL'!A48</x:f>
        <x:v>3623.3087808</x:v>
      </x:c>
      <x:c r="B48" s="35" t="n">
        <x:f>'ALL'!E48</x:f>
        <x:v>929866.6740240534</x:v>
      </x:c>
      <x:c r="C48" s="35" t="n">
        <x:f>'ALL'!I48</x:f>
        <x:v>26006.63104530587</x:v>
      </x:c>
      <x:c r="D48" s="35" t="n">
        <x:f>'ALL'!K48</x:f>
        <x:v>3735.52973462342</x:v>
      </x:c>
      <x:c r="E48" s="35" t="n">
        <x:f>'ALL'!L48</x:f>
        <x:v>7471.05946924684</x:v>
      </x:c>
      <x:c r="F48" s="35" t="n">
        <x:f>B48-E48</x:f>
        <x:v>922395.6145548065</x:v>
      </x:c>
      <x:c r="G48" s="35" t="str">
        <x:f>'ALL'!M48</x:f>
        <x:v>PASS</x:v>
      </x:c>
      <x:c r="H48" s="35" t="str">
        <x:f>'ALL'!N48</x:f>
        <x:v>survey-042</x:v>
      </x:c>
      <x:c r="I48" s="32"/>
      <x:c r="J48" s="32"/>
      <x:c r="K48" s="32"/>
      <x:c r="L48" s="32"/>
      <x:c r="M48" s="32"/>
      <x:c r="N48" s="32"/>
    </x:row>
    <x:row r="49">
      <x:c r="A49" s="35" t="n">
        <x:f>'ALL'!A49</x:f>
        <x:v>3700.3805088</x:v>
      </x:c>
      <x:c r="B49" s="35" t="n">
        <x:f>'ALL'!E49</x:f>
        <x:v>947040.6817547195</x:v>
      </x:c>
      <x:c r="C49" s="35" t="n">
        <x:f>'ALL'!I49</x:f>
        <x:v>26007.776719990547</x:v>
      </x:c>
      <x:c r="D49" s="35" t="n">
        <x:f>'ALL'!K49</x:f>
        <x:v>4034.182554764465</x:v>
      </x:c>
      <x:c r="E49" s="35" t="n">
        <x:f>'ALL'!L49</x:f>
        <x:v>8068.36510952893</x:v>
      </x:c>
      <x:c r="F49" s="35" t="n">
        <x:f>B49-E49</x:f>
        <x:v>938972.3166451906</x:v>
      </x:c>
      <x:c r="G49" s="35" t="str">
        <x:f>'ALL'!M49</x:f>
        <x:v>PASS</x:v>
      </x:c>
      <x:c r="H49" s="35" t="str">
        <x:f>'ALL'!N49</x:f>
        <x:v>survey-043</x:v>
      </x:c>
      <x:c r="I49" s="32"/>
      <x:c r="J49" s="32"/>
      <x:c r="K49" s="32"/>
      <x:c r="L49" s="32"/>
      <x:c r="M49" s="32"/>
      <x:c r="N49" s="32"/>
    </x:row>
    <x:row r="50">
      <x:c r="A50" s="35" t="n">
        <x:f>'ALL'!A50</x:f>
        <x:v>3777.4683912</x:v>
      </x:c>
      <x:c r="B50" s="35" t="n">
        <x:f>'ALL'!E50</x:f>
        <x:v>964227.9727141815</x:v>
      </x:c>
      <x:c r="C50" s="35" t="n">
        <x:f>'ALL'!I50</x:f>
        <x:v>26009.0081570259</x:v>
      </x:c>
      <x:c r="D50" s="35" t="n">
        <x:f>'ALL'!K50</x:f>
        <x:v>4341.399783443597</x:v>
      </x:c>
      <x:c r="E50" s="35" t="n">
        <x:f>'ALL'!L50</x:f>
        <x:v>8682.799566887194</x:v>
      </x:c>
      <x:c r="F50" s="35" t="n">
        <x:f>B50-E50</x:f>
        <x:v>955545.1731472943</x:v>
      </x:c>
      <x:c r="G50" s="35" t="str">
        <x:f>'ALL'!M50</x:f>
        <x:v>PASS</x:v>
      </x:c>
      <x:c r="H50" s="35" t="str">
        <x:f>'ALL'!N50</x:f>
        <x:v>survey-044</x:v>
      </x:c>
      <x:c r="I50" s="32"/>
      <x:c r="J50" s="32"/>
      <x:c r="K50" s="32"/>
      <x:c r="L50" s="32"/>
      <x:c r="M50" s="32"/>
      <x:c r="N50" s="32"/>
    </x:row>
    <x:row r="51">
      <x:c r="A51" s="35" t="n">
        <x:f>'ALL'!A51</x:f>
        <x:v>3854.1542424</x:v>
      </x:c>
      <x:c r="B51" s="35" t="n">
        <x:f>'ALL'!E51</x:f>
        <x:v>981335.4551047519</x:v>
      </x:c>
      <x:c r="C51" s="35" t="n">
        <x:f>'ALL'!I51</x:f>
        <x:v>26010.209224543964</x:v>
      </x:c>
      <x:c r="D51" s="35" t="n">
        <x:f>'ALL'!K51</x:f>
        <x:v>4633.867599663519</x:v>
      </x:c>
      <x:c r="E51" s="35" t="n">
        <x:f>'ALL'!L51</x:f>
        <x:v>9267.735199327039</x:v>
      </x:c>
      <x:c r="F51" s="35" t="n">
        <x:f>B51-E51</x:f>
        <x:v>972067.7199054249</x:v>
      </x:c>
      <x:c r="G51" s="35" t="str">
        <x:f>'ALL'!M51</x:f>
        <x:v>PASS</x:v>
      </x:c>
      <x:c r="H51" s="35" t="str">
        <x:f>'ALL'!N51</x:f>
        <x:v>survey-045</x:v>
      </x:c>
      <x:c r="I51" s="32"/>
      <x:c r="J51" s="32"/>
      <x:c r="K51" s="32"/>
      <x:c r="L51" s="32"/>
      <x:c r="M51" s="32"/>
      <x:c r="N51" s="32"/>
    </x:row>
    <x:row r="52">
      <x:c r="A52" s="35" t="n">
        <x:f>'ALL'!A52</x:f>
        <x:v>3930.2240928</x:v>
      </x:c>
      <x:c r="B52" s="35" t="n">
        <x:f>'ALL'!E52</x:f>
        <x:v>998314.2641407177</x:v>
      </x:c>
      <x:c r="C52" s="35" t="n">
        <x:f>'ALL'!I52</x:f>
        <x:v>26011.238128073786</x:v>
      </x:c>
      <x:c r="D52" s="35" t="n">
        <x:f>'ALL'!K52</x:f>
        <x:v>4881.413205013298</x:v>
      </x:c>
      <x:c r="E52" s="35" t="n">
        <x:f>'ALL'!L52</x:f>
        <x:v>9762.826410026595</x:v>
      </x:c>
      <x:c r="F52" s="35" t="n">
        <x:f>B52-E52</x:f>
        <x:v>988551.437730691</x:v>
      </x:c>
      <x:c r="G52" s="35" t="str">
        <x:f>'ALL'!M52</x:f>
        <x:v>PASS</x:v>
      </x:c>
      <x:c r="H52" s="35" t="str">
        <x:f>'ALL'!N52</x:f>
        <x:v>survey-046</x:v>
      </x:c>
      <x:c r="I52" s="32"/>
      <x:c r="J52" s="32"/>
      <x:c r="K52" s="32"/>
      <x:c r="L52" s="32"/>
      <x:c r="M52" s="32"/>
      <x:c r="N52" s="32"/>
    </x:row>
    <x:row r="53">
      <x:c r="A53" s="35" t="n">
        <x:f>'ALL'!A53</x:f>
        <x:v>4005.779136</x:v>
      </x:c>
      <x:c r="B53" s="35" t="n">
        <x:f>'ALL'!E53</x:f>
        <x:v>1015185.3615536197</x:v>
      </x:c>
      <x:c r="C53" s="35" t="n">
        <x:f>'ALL'!I53</x:f>
        <x:v>26012.075643901448</x:v>
      </x:c>
      <x:c r="D53" s="35" t="n">
        <x:f>'ALL'!K53</x:f>
        <x:v>5077.246908811857</x:v>
      </x:c>
      <x:c r="E53" s="35" t="n">
        <x:f>'ALL'!L53</x:f>
        <x:v>10154.493817623714</x:v>
      </x:c>
      <x:c r="F53" s="35" t="n">
        <x:f>B53-E53</x:f>
        <x:v>1005030.867735996</x:v>
      </x:c>
      <x:c r="G53" s="35" t="str">
        <x:f>'ALL'!M53</x:f>
        <x:v>PASS</x:v>
      </x:c>
      <x:c r="H53" s="35" t="str">
        <x:f>'ALL'!N53</x:f>
        <x:v>survey-047</x:v>
      </x:c>
      <x:c r="I53" s="32"/>
      <x:c r="J53" s="32"/>
      <x:c r="K53" s="32"/>
      <x:c r="L53" s="32"/>
      <x:c r="M53" s="32"/>
      <x:c r="N53" s="32"/>
    </x:row>
    <x:row r="54">
      <x:c r="A54" s="35" t="n">
        <x:f>'ALL'!A54</x:f>
        <x:v>4081.1817792</x:v>
      </x:c>
      <x:c r="B54" s="35" t="n">
        <x:f>'ALL'!E54</x:f>
        <x:v>1032028.0125999552</x:v>
      </x:c>
      <x:c r="C54" s="35" t="n">
        <x:f>'ALL'!I54</x:f>
        <x:v>26012.760436684606</x:v>
      </x:c>
      <x:c r="D54" s="35" t="n">
        <x:f>'ALL'!K54</x:f>
        <x:v>5224.495357305971</x:v>
      </x:c>
      <x:c r="E54" s="35" t="n">
        <x:f>'ALL'!L54</x:f>
        <x:v>10448.990714611942</x:v>
      </x:c>
      <x:c r="F54" s="35" t="n">
        <x:f>B54-E54</x:f>
        <x:v>1021579.0218853432</x:v>
      </x:c>
      <x:c r="G54" s="35" t="str">
        <x:f>'ALL'!M54</x:f>
        <x:v>PASS</x:v>
      </x:c>
      <x:c r="H54" s="35" t="str">
        <x:f>'ALL'!N54</x:f>
        <x:v>survey-048</x:v>
      </x:c>
      <x:c r="I54" s="32"/>
      <x:c r="J54" s="32"/>
      <x:c r="K54" s="32"/>
      <x:c r="L54" s="32"/>
      <x:c r="M54" s="32"/>
      <x:c r="N54" s="32"/>
    </x:row>
    <x:row r="55">
      <x:c r="A55" s="35" t="n">
        <x:f>'ALL'!A55</x:f>
        <x:v>4156.8727632</x:v>
      </x:c>
      <x:c r="B55" s="35" t="n">
        <x:f>'ALL'!E55</x:f>
        <x:v>1048939.150757369</x:v>
      </x:c>
      <x:c r="C55" s="35" t="n">
        <x:f>'ALL'!I55</x:f>
        <x:v>26013.327465101727</x:v>
      </x:c>
      <x:c r="D55" s="35" t="n">
        <x:f>'ALL'!K55</x:f>
        <x:v>5329.133078724494</x:v>
      </x:c>
      <x:c r="E55" s="35" t="n">
        <x:f>'ALL'!L55</x:f>
        <x:v>10658.266157448988</x:v>
      </x:c>
      <x:c r="F55" s="35" t="n">
        <x:f>B55-E55</x:f>
        <x:v>1038280.8845999199</x:v>
      </x:c>
      <x:c r="G55" s="35" t="str">
        <x:f>'ALL'!M55</x:f>
        <x:v>PASS</x:v>
      </x:c>
      <x:c r="H55" s="35" t="str">
        <x:f>'ALL'!N55</x:f>
        <x:v>survey-049</x:v>
      </x:c>
      <x:c r="I55" s="32"/>
      <x:c r="J55" s="32"/>
      <x:c r="K55" s="32"/>
      <x:c r="L55" s="32"/>
      <x:c r="M55" s="32"/>
      <x:c r="N55" s="32"/>
    </x:row>
    <x:row r="56">
      <x:c r="A56" s="35" t="n">
        <x:f>'ALL'!A56</x:f>
        <x:v>4233.1456104</x:v>
      </x:c>
      <x:c r="B56" s="35" t="n">
        <x:f>'ALL'!E56</x:f>
        <x:v>1065983.2590436984</x:v>
      </x:c>
      <x:c r="C56" s="35" t="n">
        <x:f>'ALL'!I56</x:f>
        <x:v>26013.806887728948</x:v>
      </x:c>
      <x:c r="D56" s="35" t="n">
        <x:f>'ALL'!K56</x:f>
        <x:v>5403.408250563843</x:v>
      </x:c>
      <x:c r="E56" s="35" t="n">
        <x:f>'ALL'!L56</x:f>
        <x:v>10806.816501127685</x:v>
      </x:c>
      <x:c r="F56" s="35" t="n">
        <x:f>B56-E56</x:f>
        <x:v>1055176.4425425706</x:v>
      </x:c>
      <x:c r="G56" s="35" t="str">
        <x:f>'ALL'!M56</x:f>
        <x:v>PASS</x:v>
      </x:c>
      <x:c r="H56" s="35" t="str">
        <x:f>'ALL'!N56</x:f>
        <x:v>survey-050</x:v>
      </x:c>
      <x:c r="I56" s="32"/>
      <x:c r="J56" s="32"/>
      <x:c r="K56" s="32"/>
      <x:c r="L56" s="32"/>
      <x:c r="M56" s="32"/>
      <x:c r="N56" s="32"/>
    </x:row>
    <x:row r="57">
      <x:c r="A57" s="35" t="n">
        <x:f>'ALL'!A57</x:f>
        <x:v>4309.9975776</x:v>
      </x:c>
      <x:c r="B57" s="35" t="n">
        <x:f>'ALL'!E57</x:f>
        <x:v>1083158.5300937633</x:v>
      </x:c>
      <x:c r="C57" s="35" t="n">
        <x:f>'ALL'!I57</x:f>
        <x:v>26014.1341296423</x:v>
      </x:c>
      <x:c r="D57" s="35" t="n">
        <x:f>'ALL'!K57</x:f>
        <x:v>5446.429733762008</x:v>
      </x:c>
      <x:c r="E57" s="35" t="n">
        <x:f>'ALL'!L57</x:f>
        <x:v>10892.859467524017</x:v>
      </x:c>
      <x:c r="F57" s="35" t="n">
        <x:f>B57-E57</x:f>
        <x:v>1072265.6706262392</x:v>
      </x:c>
      <x:c r="G57" s="35" t="str">
        <x:f>'ALL'!M57</x:f>
        <x:v>PASS</x:v>
      </x:c>
      <x:c r="H57" s="35" t="str">
        <x:f>'ALL'!N57</x:f>
        <x:v>survey-051</x:v>
      </x:c>
      <x:c r="I57" s="32"/>
      <x:c r="J57" s="32"/>
      <x:c r="K57" s="32"/>
      <x:c r="L57" s="32"/>
      <x:c r="M57" s="32"/>
      <x:c r="N57" s="32"/>
    </x:row>
    <x:row r="58">
      <x:c r="A58" s="35" t="n">
        <x:f>'ALL'!A58</x:f>
        <x:v>4387.1302656</x:v>
      </x:c>
      <x:c r="B58" s="35" t="n">
        <x:f>'ALL'!E58</x:f>
        <x:v>1100397.3144771114</x:v>
      </x:c>
      <x:c r="C58" s="35" t="n">
        <x:f>'ALL'!I58</x:f>
        <x:v>26014.28436234635</x:v>
      </x:c>
      <x:c r="D58" s="35" t="n">
        <x:f>'ALL'!K58</x:f>
        <x:v>5465.325847757959</x:v>
      </x:c>
      <x:c r="E58" s="35" t="n">
        <x:f>'ALL'!L58</x:f>
        <x:v>10930.651695515919</x:v>
      </x:c>
      <x:c r="F58" s="35" t="n">
        <x:f>B58-E58</x:f>
        <x:v>1089466.6627815955</x:v>
      </x:c>
      <x:c r="G58" s="35" t="str">
        <x:f>'ALL'!M58</x:f>
        <x:v>PASS</x:v>
      </x:c>
      <x:c r="H58" s="35" t="str">
        <x:f>'ALL'!N58</x:f>
        <x:v>survey-052</x:v>
      </x:c>
      <x:c r="I58" s="32"/>
      <x:c r="J58" s="32"/>
      <x:c r="K58" s="32"/>
      <x:c r="L58" s="32"/>
      <x:c r="M58" s="32"/>
      <x:c r="N58" s="32"/>
    </x:row>
    <x:row r="59">
      <x:c r="A59" s="35" t="n">
        <x:f>'ALL'!A59</x:f>
        <x:v>4464.1026288</x:v>
      </x:c>
      <x:c r="B59" s="35" t="n">
        <x:f>'ALL'!E59</x:f>
        <x:v>1117600.1657298983</x:v>
      </x:c>
      <x:c r="C59" s="35" t="n">
        <x:f>'ALL'!I59</x:f>
        <x:v>26014.241805131667</x:v>
      </x:c>
      <x:c r="D59" s="35" t="n">
        <x:f>'ALL'!K59</x:f>
        <x:v>5462.8587766814835</x:v>
      </x:c>
      <x:c r="E59" s="35" t="n">
        <x:f>'ALL'!L59</x:f>
        <x:v>10925.717553362967</x:v>
      </x:c>
      <x:c r="F59" s="35" t="n">
        <x:f>B59-E59</x:f>
        <x:v>1106674.4481765353</x:v>
      </x:c>
      <x:c r="G59" s="35" t="str">
        <x:f>'ALL'!M59</x:f>
        <x:v>PASS</x:v>
      </x:c>
      <x:c r="H59" s="35" t="str">
        <x:f>'ALL'!N59</x:f>
        <x:v>survey-053</x:v>
      </x:c>
      <x:c r="I59" s="32"/>
      <x:c r="J59" s="32"/>
      <x:c r="K59" s="32"/>
      <x:c r="L59" s="32"/>
      <x:c r="M59" s="32"/>
      <x:c r="N59" s="32"/>
    </x:row>
    <x:row r="60">
      <x:c r="A60" s="35" t="n">
        <x:f>'ALL'!A60</x:f>
        <x:v>4540.555308</x:v>
      </x:c>
      <x:c r="B60" s="35" t="n">
        <x:f>'ALL'!E60</x:f>
        <x:v>1134686.2127898713</x:v>
      </x:c>
      <x:c r="C60" s="35" t="n">
        <x:f>'ALL'!I60</x:f>
        <x:v>26014.0620840039</x:v>
      </x:c>
      <x:c r="D60" s="35" t="n">
        <x:f>'ALL'!K60</x:f>
        <x:v>5446.698722331982</x:v>
      </x:c>
      <x:c r="E60" s="35" t="n">
        <x:f>'ALL'!L60</x:f>
        <x:v>10893.397444663964</x:v>
      </x:c>
      <x:c r="F60" s="35" t="n">
        <x:f>B60-E60</x:f>
        <x:v>1123792.8153452072</x:v>
      </x:c>
      <x:c r="G60" s="35" t="str">
        <x:f>'ALL'!M60</x:f>
        <x:v>PASS</x:v>
      </x:c>
      <x:c r="H60" s="35" t="str">
        <x:f>'ALL'!N60</x:f>
        <x:v>survey-054</x:v>
      </x:c>
      <x:c r="I60" s="32"/>
      <x:c r="J60" s="32"/>
      <x:c r="K60" s="32"/>
      <x:c r="L60" s="32"/>
      <x:c r="M60" s="32"/>
      <x:c r="N60" s="32"/>
    </x:row>
    <x:row r="61">
      <x:c r="A61" s="35" t="n">
        <x:f>'ALL'!A61</x:f>
        <x:v>4616.3935104</x:v>
      </x:c>
      <x:c r="B61" s="35" t="n">
        <x:f>'ALL'!E61</x:f>
        <x:v>1151633.8485513218</x:v>
      </x:c>
      <x:c r="C61" s="35" t="n">
        <x:f>'ALL'!I61</x:f>
        <x:v>26013.81129384275</x:v>
      </x:c>
      <x:c r="D61" s="35" t="n">
        <x:f>'ALL'!K61</x:f>
        <x:v>5419.734744567189</x:v>
      </x:c>
      <x:c r="E61" s="35" t="n">
        <x:f>'ALL'!L61</x:f>
        <x:v>10839.469489134379</x:v>
      </x:c>
      <x:c r="F61" s="35" t="n">
        <x:f>B61-E61</x:f>
        <x:v>1140794.3790621874</x:v>
      </x:c>
      <x:c r="G61" s="35" t="str">
        <x:f>'ALL'!M61</x:f>
        <x:v>PASS</x:v>
      </x:c>
      <x:c r="H61" s="35" t="str">
        <x:f>'ALL'!N61</x:f>
        <x:v>survey-055</x:v>
      </x:c>
      <x:c r="I61" s="32"/>
      <x:c r="J61" s="32"/>
      <x:c r="K61" s="32"/>
      <x:c r="L61" s="32"/>
      <x:c r="M61" s="32"/>
      <x:c r="N61" s="32"/>
    </x:row>
    <x:row r="62">
      <x:c r="A62" s="35" t="n">
        <x:f>'ALL'!A62</x:f>
        <x:v>4691.8360824</x:v>
      </x:c>
      <x:c r="B62" s="35" t="n">
        <x:f>'ALL'!E62</x:f>
        <x:v>1168491.854524314</x:v>
      </x:c>
      <x:c r="C62" s="35" t="n">
        <x:f>'ALL'!I62</x:f>
        <x:v>26013.584572259704</x:v>
      </x:c>
      <x:c r="D62" s="35" t="n">
        <x:f>'ALL'!K62</x:f>
        <x:v>5389.141729174255</x:v>
      </x:c>
      <x:c r="E62" s="35" t="n">
        <x:f>'ALL'!L62</x:f>
        <x:v>10778.28345834851</x:v>
      </x:c>
      <x:c r="F62" s="35" t="n">
        <x:f>B62-E62</x:f>
        <x:v>1157713.5710659653</x:v>
      </x:c>
      <x:c r="G62" s="35" t="str">
        <x:f>'ALL'!M62</x:f>
        <x:v>PASS</x:v>
      </x:c>
      <x:c r="H62" s="35" t="str">
        <x:f>'ALL'!N62</x:f>
        <x:v>survey-056</x:v>
      </x:c>
      <x:c r="I62" s="32"/>
      <x:c r="J62" s="32"/>
      <x:c r="K62" s="32"/>
      <x:c r="L62" s="32"/>
      <x:c r="M62" s="32"/>
      <x:c r="N62" s="32"/>
    </x:row>
    <x:row r="63">
      <x:c r="A63" s="35" t="n">
        <x:f>'ALL'!A63</x:f>
        <x:v>4767.3027336000005</x:v>
      </x:c>
      <x:c r="B63" s="35" t="n">
        <x:f>'ALL'!E63</x:f>
        <x:v>1185354.175272814</x:v>
      </x:c>
      <x:c r="C63" s="35" t="n">
        <x:f>'ALL'!I63</x:f>
        <x:v>26013.45354669791</x:v>
      </x:c>
      <x:c r="D63" s="35" t="n">
        <x:f>'ALL'!K63</x:f>
        <x:v>5362.233481314568</x:v>
      </x:c>
      <x:c r="E63" s="35" t="n">
        <x:f>'ALL'!L63</x:f>
        <x:v>10724.466962629136</x:v>
      </x:c>
      <x:c r="F63" s="35" t="n">
        <x:f>B63-E63</x:f>
        <x:v>1174629.7083101848</x:v>
      </x:c>
      <x:c r="G63" s="35" t="str">
        <x:f>'ALL'!M63</x:f>
        <x:v>PASS</x:v>
      </x:c>
      <x:c r="H63" s="35" t="str">
        <x:f>'ALL'!N63</x:f>
        <x:v>survey-057</x:v>
      </x:c>
      <x:c r="I63" s="32"/>
      <x:c r="J63" s="32"/>
      <x:c r="K63" s="32"/>
      <x:c r="L63" s="32"/>
      <x:c r="M63" s="32"/>
      <x:c r="N63" s="32"/>
    </x:row>
    <x:row r="64">
      <x:c r="A64" s="35" t="n">
        <x:f>'ALL'!A64</x:f>
        <x:v>4843.2018960000005</x:v>
      </x:c>
      <x:c r="B64" s="35" t="n">
        <x:f>'ALL'!E64</x:f>
        <x:v>1202312.5490238403</x:v>
      </x:c>
      <x:c r="C64" s="35" t="n">
        <x:f>'ALL'!I64</x:f>
        <x:v>26013.456025984033</x:v>
      </x:c>
      <x:c r="D64" s="35" t="n">
        <x:f>'ALL'!K64</x:f>
        <x:v>5347.425972648599</x:v>
      </x:c>
      <x:c r="E64" s="35" t="n">
        <x:f>'ALL'!L64</x:f>
        <x:v>10694.851945297198</x:v>
      </x:c>
      <x:c r="F64" s="35" t="n">
        <x:f>B64-E64</x:f>
        <x:v>1191617.6970785432</x:v>
      </x:c>
      <x:c r="G64" s="35" t="str">
        <x:f>'ALL'!M64</x:f>
        <x:v>PASS</x:v>
      </x:c>
      <x:c r="H64" s="35" t="str">
        <x:f>'ALL'!N64</x:f>
        <x:v>survey-058</x:v>
      </x:c>
      <x:c r="I64" s="32"/>
      <x:c r="J64" s="32"/>
      <x:c r="K64" s="32"/>
      <x:c r="L64" s="32"/>
      <x:c r="M64" s="32"/>
      <x:c r="N64" s="32"/>
    </x:row>
    <x:row r="65">
      <x:c r="A65" s="35" t="n">
        <x:f>'ALL'!A65</x:f>
        <x:v>4919.7207168</x:v>
      </x:c>
      <x:c r="B65" s="35" t="n">
        <x:f>'ALL'!E65</x:f>
        <x:v>1219409.4015843999</x:v>
      </x:c>
      <x:c r="C65" s="35" t="n">
        <x:f>'ALL'!I65</x:f>
        <x:v>26013.569275678037</x:v>
      </x:c>
      <x:c r="D65" s="35" t="n">
        <x:f>'ALL'!K65</x:f>
        <x:v>5348.094378791932</x:v>
      </x:c>
      <x:c r="E65" s="35" t="n">
        <x:f>'ALL'!L65</x:f>
        <x:v>10696.188757583865</x:v>
      </x:c>
      <x:c r="F65" s="35" t="n">
        <x:f>B65-E65</x:f>
        <x:v>1208713.212826816</x:v>
      </x:c>
      <x:c r="G65" s="35" t="str">
        <x:f>'ALL'!M65</x:f>
        <x:v>PASS</x:v>
      </x:c>
      <x:c r="H65" s="35" t="str">
        <x:f>'ALL'!N65</x:f>
        <x:v>survey-059</x:v>
      </x:c>
      <x:c r="I65" s="32"/>
      <x:c r="J65" s="32"/>
      <x:c r="K65" s="32"/>
      <x:c r="L65" s="32"/>
      <x:c r="M65" s="32"/>
      <x:c r="N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 t="str">
        <x:f>"MD "&amp;'Unit Map'!$H$8</x:f>
        <x:v>MD m</x:v>
      </x:c>
      <x:c r="B68" s="32" t="str">
        <x:f>"Axial load "&amp;'Unit Map'!$H$14</x:f>
        <x:v>Axial load N</x:v>
      </x:c>
      <x:c r="C68" s="32" t="str">
        <x:f>"Sinusoidal limit "&amp;'Unit Map'!$H$14</x:f>
        <x:v>Sinusoidal limit N</x:v>
      </x:c>
      <x:c r="D68" s="32" t="str">
        <x:f>"Helical limit "&amp;'Unit Map'!$H$14</x:f>
        <x:v>Helical limit N</x:v>
      </x:c>
      <x:c r="E68" s="32"/>
      <x:c r="F68" s="32" t="str">
        <x:f>"MD "&amp;'Unit Map'!$H$8</x:f>
        <x:v>MD m</x:v>
      </x:c>
      <x:c r="G68" s="32" t="str">
        <x:f>"Torque "&amp;'Unit Map'!$H$16</x:f>
        <x:v>Torque N-m</x:v>
      </x:c>
      <x:c r="H68" s="32"/>
      <x:c r="I68" s="32"/>
      <x:c r="J68" s="32"/>
      <x:c r="K68" s="32"/>
      <x:c r="L68" s="32"/>
      <x:c r="M68" s="32"/>
      <x:c r="N68" s="32"/>
    </x:row>
    <x:row r="69">
      <x:c r="A69" s="32" t="n">
        <x:f>A6</x:f>
        <x:v>0</x:v>
      </x:c>
      <x:c r="B69" s="32" t="n">
        <x:f>B6</x:f>
        <x:v>120000</x:v>
      </x:c>
      <x:c r="C69" s="32" t="n">
        <x:f>D6</x:f>
        <x:v>0</x:v>
      </x:c>
      <x:c r="D69" s="32" t="n">
        <x:f>E6</x:f>
        <x:v>0</x:v>
      </x:c>
      <x:c r="E69" s="32"/>
      <x:c r="F69" s="32" t="n">
        <x:f>A6</x:f>
        <x:v>0</x:v>
      </x:c>
      <x:c r="G69" s="32" t="n">
        <x:f>C6</x:f>
        <x:v>26000</x:v>
      </x:c>
      <x:c r="H69" s="32"/>
      <x:c r="I69" s="32"/>
      <x:c r="J69" s="32"/>
      <x:c r="K69" s="32"/>
      <x:c r="L69" s="32"/>
      <x:c r="M69" s="32"/>
      <x:c r="N69" s="32"/>
    </x:row>
    <x:row r="70">
      <x:c r="A70" s="32" t="n">
        <x:f>A7</x:f>
        <x:v>155.10875760000002</x:v>
      </x:c>
      <x:c r="B70" s="32" t="n">
        <x:f>B7</x:f>
        <x:v>154510.13539941903</x:v>
      </x:c>
      <x:c r="C70" s="32" t="n">
        <x:f>D7</x:f>
        <x:v>3045.9878423456744</x:v>
      </x:c>
      <x:c r="D70" s="32" t="n">
        <x:f>E7</x:f>
        <x:v>6091.975684691349</x:v>
      </x:c>
      <x:c r="E70" s="32"/>
      <x:c r="F70" s="32" t="n">
        <x:f>A7</x:f>
        <x:v>155.10875760000002</x:v>
      </x:c>
      <x:c r="G70" s="32" t="n">
        <x:f>C7</x:f>
        <x:v>26008.922425328856</x:v>
      </x:c>
      <x:c r="H70" s="32"/>
      <x:c r="I70" s="32"/>
      <x:c r="J70" s="32"/>
      <x:c r="K70" s="32"/>
      <x:c r="L70" s="32"/>
      <x:c r="M70" s="32"/>
      <x:c r="N70" s="32"/>
    </x:row>
    <x:row r="71">
      <x:c r="A71" s="32" t="n">
        <x:f>A8</x:f>
        <x:v>307.974492</x:v>
      </x:c>
      <x:c r="B71" s="32" t="n">
        <x:f>B8</x:f>
        <x:v>188467.9142173173</x:v>
      </x:c>
      <x:c r="C71" s="32" t="n">
        <x:f>D8</x:f>
        <x:v>1461.161274893059</x:v>
      </x:c>
      <x:c r="D71" s="32" t="n">
        <x:f>E8</x:f>
        <x:v>2922.322549786118</x:v>
      </x:c>
      <x:c r="E71" s="32"/>
      <x:c r="F71" s="32" t="n">
        <x:f>A8</x:f>
        <x:v>307.974492</x:v>
      </x:c>
      <x:c r="G71" s="32" t="n">
        <x:f>C8</x:f>
        <x:v>26002.02346979533</x:v>
      </x:c>
      <x:c r="H71" s="32"/>
      <x:c r="I71" s="32"/>
      <x:c r="J71" s="32"/>
      <x:c r="K71" s="32"/>
      <x:c r="L71" s="32"/>
      <x:c r="M71" s="32"/>
      <x:c r="N71" s="32"/>
    </x:row>
    <x:row r="72">
      <x:c r="A72" s="32" t="n">
        <x:f>A9</x:f>
        <x:v>460.2227016</x:v>
      </x:c>
      <x:c r="B72" s="32" t="n">
        <x:f>B9</x:f>
        <x:v>222294.45447042436</x:v>
      </x:c>
      <x:c r="C72" s="32" t="n">
        <x:f>D9</x:f>
        <x:v>1712.910460216405</x:v>
      </x:c>
      <x:c r="D72" s="32" t="n">
        <x:f>E9</x:f>
        <x:v>3425.82092043281</x:v>
      </x:c>
      <x:c r="E72" s="32"/>
      <x:c r="F72" s="32" t="n">
        <x:f>A9</x:f>
        <x:v>460.2227016</x:v>
      </x:c>
      <x:c r="G72" s="32" t="n">
        <x:f>C9</x:f>
        <x:v>26002.769566444822</x:v>
      </x:c>
      <x:c r="H72" s="32"/>
      <x:c r="I72" s="32"/>
      <x:c r="J72" s="32"/>
      <x:c r="K72" s="32"/>
      <x:c r="L72" s="32"/>
      <x:c r="M72" s="32"/>
      <x:c r="N72" s="32"/>
    </x:row>
    <x:row r="73">
      <x:c r="A73" s="32" t="n">
        <x:f>A10</x:f>
        <x:v>611.9649432</x:v>
      </x:c>
      <x:c r="B73" s="32" t="n">
        <x:f>B10</x:f>
        <x:v>256016.06229413615</x:v>
      </x:c>
      <x:c r="C73" s="32" t="n">
        <x:f>D10</x:f>
        <x:v>1986.0243471491665</x:v>
      </x:c>
      <x:c r="D73" s="32" t="n">
        <x:f>E10</x:f>
        <x:v>3972.048694298333</x:v>
      </x:c>
      <x:c r="E73" s="32"/>
      <x:c r="F73" s="32" t="n">
        <x:f>A10</x:f>
        <x:v>611.9649432</x:v>
      </x:c>
      <x:c r="G73" s="32" t="n">
        <x:f>C10</x:f>
        <x:v>26003.710785950836</x:v>
      </x:c>
      <x:c r="H73" s="32"/>
      <x:c r="I73" s="32"/>
      <x:c r="J73" s="32"/>
      <x:c r="K73" s="32"/>
      <x:c r="L73" s="32"/>
      <x:c r="M73" s="32"/>
      <x:c r="N73" s="32"/>
    </x:row>
    <x:row r="74">
      <x:c r="A74" s="32" t="n">
        <x:f>A11</x:f>
        <x:v>763.5706344</x:v>
      </x:c>
      <x:c r="B74" s="32" t="n">
        <x:f>B11</x:f>
        <x:v>289718.4655474009</x:v>
      </x:c>
      <x:c r="C74" s="32" t="n">
        <x:f>D11</x:f>
        <x:v>2334.434457092405</x:v>
      </x:c>
      <x:c r="D74" s="32" t="n">
        <x:f>E11</x:f>
        <x:v>4668.86891418481</x:v>
      </x:c>
      <x:c r="E74" s="32"/>
      <x:c r="F74" s="32" t="n">
        <x:f>A11</x:f>
        <x:v>763.5706344</x:v>
      </x:c>
      <x:c r="G74" s="32" t="n">
        <x:f>C11</x:f>
        <x:v>26005.12234878211</x:v>
      </x:c>
      <x:c r="H74" s="32"/>
      <x:c r="I74" s="32"/>
      <x:c r="J74" s="32"/>
      <x:c r="K74" s="32"/>
      <x:c r="L74" s="32"/>
      <x:c r="M74" s="32"/>
      <x:c r="N74" s="32"/>
    </x:row>
    <x:row r="75">
      <x:c r="A75" s="32" t="n">
        <x:f>A12</x:f>
        <x:v>915.4786872000001</x:v>
      </x:c>
      <x:c r="B75" s="32" t="n">
        <x:f>B12</x:f>
        <x:v>323457.1728441087</x:v>
      </x:c>
      <x:c r="C75" s="32" t="n">
        <x:f>D12</x:f>
        <x:v>1131.943624491696</x:v>
      </x:c>
      <x:c r="D75" s="32" t="n">
        <x:f>E12</x:f>
        <x:v>2263.887248983392</x:v>
      </x:c>
      <x:c r="E75" s="32"/>
      <x:c r="F75" s="32" t="n">
        <x:f>A12</x:f>
        <x:v>915.4786872000001</x:v>
      </x:c>
      <x:c r="G75" s="32" t="n">
        <x:f>C12</x:f>
        <x:v>26001.206759326556</x:v>
      </x:c>
      <x:c r="H75" s="32"/>
      <x:c r="I75" s="32"/>
      <x:c r="J75" s="32"/>
      <x:c r="K75" s="32"/>
      <x:c r="L75" s="32"/>
      <x:c r="M75" s="32"/>
      <x:c r="N75" s="32"/>
    </x:row>
    <x:row r="76">
      <x:c r="A76" s="32" t="n">
        <x:f>A13</x:f>
        <x:v>1067.9740896</x:v>
      </x:c>
      <x:c r="B76" s="32" t="n">
        <x:f>B13</x:f>
        <x:v>357344.30678427016</x:v>
      </x:c>
      <x:c r="C76" s="32" t="n">
        <x:f>D13</x:f>
        <x:v>1922.4980265136417</x:v>
      </x:c>
      <x:c r="D76" s="32" t="n">
        <x:f>E13</x:f>
        <x:v>3844.9960530272833</x:v>
      </x:c>
      <x:c r="E76" s="32"/>
      <x:c r="F76" s="32" t="n">
        <x:f>A13</x:f>
        <x:v>1067.9740896</x:v>
      </x:c>
      <x:c r="G76" s="32" t="n">
        <x:f>C13</x:f>
        <x:v>26003.49444997194</x:v>
      </x:c>
      <x:c r="H76" s="32"/>
      <x:c r="I76" s="32"/>
      <x:c r="J76" s="32"/>
      <x:c r="K76" s="32"/>
      <x:c r="L76" s="32"/>
      <x:c r="M76" s="32"/>
      <x:c r="N76" s="32"/>
    </x:row>
    <x:row r="77">
      <x:c r="A77" s="32" t="n">
        <x:f>A14</x:f>
        <x:v>1221.042516</x:v>
      </x:c>
      <x:c r="B77" s="32" t="n">
        <x:f>B14</x:f>
        <x:v>391345.68470615847</x:v>
      </x:c>
      <x:c r="C77" s="32" t="n">
        <x:f>D14</x:f>
        <x:v>1394.2772985072377</x:v>
      </x:c>
      <x:c r="D77" s="32" t="n">
        <x:f>E14</x:f>
        <x:v>2788.5545970144753</x:v>
      </x:c>
      <x:c r="E77" s="32"/>
      <x:c r="F77" s="32" t="n">
        <x:f>A14</x:f>
        <x:v>1221.042516</x:v>
      </x:c>
      <x:c r="G77" s="32" t="n">
        <x:f>C14</x:f>
        <x:v>26001.844905823713</x:v>
      </x:c>
      <x:c r="H77" s="32"/>
      <x:c r="I77" s="32"/>
      <x:c r="J77" s="32"/>
      <x:c r="K77" s="32"/>
      <x:c r="L77" s="32"/>
      <x:c r="M77" s="32"/>
      <x:c r="N77" s="32"/>
    </x:row>
    <x:row r="78">
      <x:c r="A78" s="32" t="n">
        <x:f>A15</x:f>
        <x:v>1374.3773376000001</x:v>
      </x:c>
      <x:c r="B78" s="32" t="n">
        <x:f>B15</x:f>
        <x:v>425428.63075766864</x:v>
      </x:c>
      <x:c r="C78" s="32" t="n">
        <x:f>D15</x:f>
        <x:v>2221.60215796265</x:v>
      </x:c>
      <x:c r="D78" s="32" t="n">
        <x:f>E15</x:f>
        <x:v>4443.2043159253</x:v>
      </x:c>
      <x:c r="E78" s="32"/>
      <x:c r="F78" s="32" t="n">
        <x:f>A15</x:f>
        <x:v>1374.3773376000001</x:v>
      </x:c>
      <x:c r="G78" s="32" t="n">
        <x:f>C15</x:f>
        <x:v>26004.692060908415</x:v>
      </x:c>
      <x:c r="H78" s="32"/>
      <x:c r="I78" s="32"/>
      <x:c r="J78" s="32"/>
      <x:c r="K78" s="32"/>
      <x:c r="L78" s="32"/>
      <x:c r="M78" s="32"/>
      <x:c r="N78" s="32"/>
    </x:row>
    <x:row r="79">
      <x:c r="A79" s="32" t="n">
        <x:f>A16</x:f>
        <x:v>1527.5362896000001</x:v>
      </x:c>
      <x:c r="B79" s="32" t="n">
        <x:f>B16</x:f>
        <x:v>459438.75162258657</x:v>
      </x:c>
      <x:c r="C79" s="32" t="n">
        <x:f>D16</x:f>
        <x:v>651.098429003259</x:v>
      </x:c>
      <x:c r="D79" s="32" t="n">
        <x:f>E16</x:f>
        <x:v>1302.196858006518</x:v>
      </x:c>
      <x:c r="E79" s="32"/>
      <x:c r="F79" s="32" t="n">
        <x:f>A16</x:f>
        <x:v>1527.5362896000001</x:v>
      </x:c>
      <x:c r="G79" s="32" t="n">
        <x:f>C16</x:f>
        <x:v>26000.402555674227</x:v>
      </x:c>
      <x:c r="H79" s="32"/>
      <x:c r="I79" s="32"/>
      <x:c r="J79" s="32"/>
      <x:c r="K79" s="32"/>
      <x:c r="L79" s="32"/>
      <x:c r="M79" s="32"/>
      <x:c r="N79" s="32"/>
    </x:row>
    <x:row r="80">
      <x:c r="A80" s="32" t="n">
        <x:f>A17</x:f>
        <x:v>1565.8667184</x:v>
      </x:c>
      <x:c r="B80" s="32" t="n">
        <x:f>B17</x:f>
        <x:v>468349.8132751307</x:v>
      </x:c>
      <x:c r="C80" s="32" t="n">
        <x:f>D17</x:f>
        <x:v>14625.870276492271</x:v>
      </x:c>
      <x:c r="D80" s="32" t="n">
        <x:f>E17</x:f>
        <x:v>29251.740552984542</x:v>
      </x:c>
      <x:c r="E80" s="32"/>
      <x:c r="F80" s="32" t="n">
        <x:f>A17</x:f>
        <x:v>1565.8667184</x:v>
      </x:c>
      <x:c r="G80" s="32" t="n">
        <x:f>C17</x:f>
        <x:v>26050.836703813504</x:v>
      </x:c>
      <x:c r="H80" s="32"/>
      <x:c r="I80" s="32"/>
      <x:c r="J80" s="32"/>
      <x:c r="K80" s="32"/>
      <x:c r="L80" s="32"/>
      <x:c r="M80" s="32"/>
      <x:c r="N80" s="32"/>
    </x:row>
    <x:row r="81">
      <x:c r="A81" s="32" t="n">
        <x:f>A18</x:f>
        <x:v>1603.5857184000001</x:v>
      </x:c>
      <x:c r="B81" s="32" t="n">
        <x:f>B18</x:f>
        <x:v>477086.71589363687</x:v>
      </x:c>
      <x:c r="C81" s="32" t="n">
        <x:f>D18</x:f>
        <x:v>14018.927722546516</x:v>
      </x:c>
      <x:c r="D81" s="32" t="n">
        <x:f>E18</x:f>
        <x:v>28037.85544509303</x:v>
      </x:c>
      <x:c r="E81" s="32"/>
      <x:c r="F81" s="32" t="n">
        <x:f>A18</x:f>
        <x:v>1603.5857184000001</x:v>
      </x:c>
      <x:c r="G81" s="32" t="n">
        <x:f>C18</x:f>
        <x:v>26045.960001615174</x:v>
      </x:c>
      <x:c r="H81" s="32"/>
      <x:c r="I81" s="32"/>
      <x:c r="J81" s="32"/>
      <x:c r="K81" s="32"/>
      <x:c r="L81" s="32"/>
      <x:c r="M81" s="32"/>
      <x:c r="N81" s="32"/>
    </x:row>
    <x:row r="82">
      <x:c r="A82" s="32" t="n">
        <x:f>A19</x:f>
        <x:v>1640.9209752000002</x:v>
      </x:c>
      <x:c r="B82" s="32" t="n">
        <x:f>B19</x:f>
        <x:v>485707.09476391843</x:v>
      </x:c>
      <x:c r="C82" s="32" t="n">
        <x:f>D19</x:f>
        <x:v>13467.273080777122</x:v>
      </x:c>
      <x:c r="D82" s="32" t="n">
        <x:f>E19</x:f>
        <x:v>26934.546161554244</x:v>
      </x:c>
      <x:c r="E82" s="32"/>
      <x:c r="F82" s="32" t="n">
        <x:f>A19</x:f>
        <x:v>1640.9209752000002</x:v>
      </x:c>
      <x:c r="G82" s="32" t="n">
        <x:f>C19</x:f>
        <x:v>26041.982543597504</x:v>
      </x:c>
      <x:c r="H82" s="32"/>
      <x:c r="I82" s="32"/>
      <x:c r="J82" s="32"/>
      <x:c r="K82" s="32"/>
      <x:c r="L82" s="32"/>
      <x:c r="M82" s="32"/>
      <x:c r="N82" s="32"/>
    </x:row>
    <x:row r="83">
      <x:c r="A83" s="32" t="n">
        <x:f>A20</x:f>
        <x:v>1678.2970752</x:v>
      </x:c>
      <x:c r="B83" s="32" t="n">
        <x:f>B20</x:f>
        <x:v>494320.8872486618</x:v>
      </x:c>
      <x:c r="C83" s="32" t="n">
        <x:f>D20</x:f>
        <x:v>13137.332179016305</x:v>
      </x:c>
      <x:c r="D83" s="32" t="n">
        <x:f>E20</x:f>
        <x:v>26274.66435803261</x:v>
      </x:c>
      <x:c r="E83" s="32"/>
      <x:c r="F83" s="32" t="n">
        <x:f>A20</x:f>
        <x:v>1678.2970752</x:v>
      </x:c>
      <x:c r="G83" s="32" t="n">
        <x:f>C20</x:f>
        <x:v>26039.994347635806</x:v>
      </x:c>
      <x:c r="H83" s="32"/>
      <x:c r="I83" s="32"/>
      <x:c r="J83" s="32"/>
      <x:c r="K83" s="32"/>
      <x:c r="L83" s="32"/>
      <x:c r="M83" s="32"/>
      <x:c r="N83" s="32"/>
    </x:row>
    <x:row r="84">
      <x:c r="A84" s="32" t="n">
        <x:f>A21</x:f>
        <x:v>1716.1166592000002</x:v>
      </x:c>
      <x:c r="B84" s="32" t="n">
        <x:f>B21</x:f>
        <x:v>503044.30107654614</x:v>
      </x:c>
      <x:c r="C84" s="32" t="n">
        <x:f>D21</x:f>
        <x:v>13289.302478170144</x:v>
      </x:c>
      <x:c r="D84" s="32" t="n">
        <x:f>E21</x:f>
        <x:v>26578.60495634029</x:v>
      </x:c>
      <x:c r="E84" s="32"/>
      <x:c r="F84" s="32" t="n">
        <x:f>A21</x:f>
        <x:v>1716.1166592000002</x:v>
      </x:c>
      <x:c r="G84" s="32" t="n">
        <x:f>C21</x:f>
        <x:v>26041.410587523715</x:v>
      </x:c>
      <x:c r="H84" s="32"/>
      <x:c r="I84" s="32"/>
      <x:c r="J84" s="32"/>
      <x:c r="K84" s="32"/>
      <x:c r="L84" s="32"/>
      <x:c r="M84" s="32"/>
      <x:c r="N84" s="32"/>
    </x:row>
    <x:row r="85">
      <x:c r="A85" s="32" t="n">
        <x:f>A22</x:f>
        <x:v>1754.5571208000001</x:v>
      </x:c>
      <x:c r="B85" s="32" t="n">
        <x:f>B22</x:f>
        <x:v>511938.37316616287</x:v>
      </x:c>
      <x:c r="C85" s="32" t="n">
        <x:f>D22</x:f>
        <x:v>13828.652103940169</x:v>
      </x:c>
      <x:c r="D85" s="32" t="n">
        <x:f>E22</x:f>
        <x:v>27657.304207880337</x:v>
      </x:c>
      <x:c r="E85" s="32"/>
      <x:c r="F85" s="32" t="n">
        <x:f>A22</x:f>
        <x:v>1754.5571208000001</x:v>
      </x:c>
      <x:c r="G85" s="32" t="n">
        <x:f>C22</x:f>
        <x:v>26045.576247796333</x:v>
      </x:c>
      <x:c r="H85" s="32"/>
      <x:c r="I85" s="32"/>
      <x:c r="J85" s="32"/>
      <x:c r="K85" s="32"/>
      <x:c r="L85" s="32"/>
      <x:c r="M85" s="32"/>
      <x:c r="N85" s="32"/>
    </x:row>
    <x:row r="86">
      <x:c r="A86" s="32" t="n">
        <x:f>A23</x:f>
        <x:v>1793.4788616</x:v>
      </x:c>
      <x:c r="B86" s="32" t="n">
        <x:f>B23</x:f>
        <x:v>520975.0329266632</x:v>
      </x:c>
      <x:c r="C86" s="32" t="n">
        <x:f>D23</x:f>
        <x:v>14410.724855994376</x:v>
      </x:c>
      <x:c r="D86" s="32" t="n">
        <x:f>E23</x:f>
        <x:v>28821.449711988753</x:v>
      </x:c>
      <x:c r="E86" s="32"/>
      <x:c r="F86" s="32" t="n">
        <x:f>A23</x:f>
        <x:v>1793.4788616</x:v>
      </x:c>
      <x:c r="G86" s="32" t="n">
        <x:f>C23</x:f>
        <x:v>26050.113435935953</x:v>
      </x:c>
      <x:c r="H86" s="32"/>
      <x:c r="I86" s="32"/>
      <x:c r="J86" s="32"/>
      <x:c r="K86" s="32"/>
      <x:c r="L86" s="32"/>
      <x:c r="M86" s="32"/>
      <x:c r="N86" s="32"/>
    </x:row>
    <x:row r="87">
      <x:c r="A87" s="32" t="n">
        <x:f>A24</x:f>
        <x:v>1832.4975288000003</x:v>
      </x:c>
      <x:c r="B87" s="32" t="n">
        <x:f>B24</x:f>
        <x:v>530050.028756666</x:v>
      </x:c>
      <x:c r="C87" s="32" t="n">
        <x:f>D24</x:f>
        <x:v>14696.276085690224</x:v>
      </x:c>
      <x:c r="D87" s="32" t="n">
        <x:f>E24</x:f>
        <x:v>29392.55217138045</x:v>
      </x:c>
      <x:c r="E87" s="32"/>
      <x:c r="F87" s="32" t="n">
        <x:f>A24</x:f>
        <x:v>1832.4975288000003</x:v>
      </x:c>
      <x:c r="G87" s="32" t="n">
        <x:f>C24</x:f>
        <x:v>26052.248918632355</x:v>
      </x:c>
      <x:c r="H87" s="32"/>
      <x:c r="I87" s="32"/>
      <x:c r="J87" s="32"/>
      <x:c r="K87" s="32"/>
      <x:c r="L87" s="32"/>
      <x:c r="M87" s="32"/>
      <x:c r="N87" s="32"/>
    </x:row>
    <x:row r="88">
      <x:c r="A88" s="32" t="n">
        <x:f>A25</x:f>
        <x:v>1871.1787824</x:v>
      </x:c>
      <x:c r="B88" s="32" t="n">
        <x:f>B25</x:f>
        <x:v>539037.0019643743</x:v>
      </x:c>
      <x:c r="C88" s="32" t="n">
        <x:f>D25</x:f>
        <x:v>14523.257963276968</x:v>
      </x:c>
      <x:c r="D88" s="32" t="n">
        <x:f>E25</x:f>
        <x:v>29046.515926553937</x:v>
      </x:c>
      <x:c r="E88" s="32"/>
      <x:c r="F88" s="32" t="n">
        <x:f>A25</x:f>
        <x:v>1871.1787824</x:v>
      </x:c>
      <x:c r="G88" s="32" t="n">
        <x:f>C25</x:f>
        <x:v>26050.584669281336</x:v>
      </x:c>
      <x:c r="H88" s="32"/>
      <x:c r="I88" s="32"/>
      <x:c r="J88" s="32"/>
      <x:c r="K88" s="32"/>
      <x:c r="L88" s="32"/>
      <x:c r="M88" s="32"/>
      <x:c r="N88" s="32"/>
    </x:row>
    <x:row r="89">
      <x:c r="A89" s="32" t="n">
        <x:f>A26</x:f>
        <x:v>1947.3607992000002</x:v>
      </x:c>
      <x:c r="B89" s="32" t="n">
        <x:f>B26</x:f>
        <x:v>556218.7098983912</x:v>
      </x:c>
      <x:c r="C89" s="32" t="n">
        <x:f>D26</x:f>
        <x:v>8464.771745150709</x:v>
      </x:c>
      <x:c r="D89" s="32" t="n">
        <x:f>E26</x:f>
        <x:v>16929.543490301417</x:v>
      </x:c>
      <x:c r="E89" s="32"/>
      <x:c r="F89" s="32" t="n">
        <x:f>A26</x:f>
        <x:v>1947.3607992000002</x:v>
      </x:c>
      <x:c r="G89" s="32" t="n">
        <x:f>C26</x:f>
        <x:v>26033.84334186215</x:v>
      </x:c>
      <x:c r="H89" s="32"/>
      <x:c r="I89" s="32"/>
      <x:c r="J89" s="32"/>
      <x:c r="K89" s="32"/>
      <x:c r="L89" s="32"/>
      <x:c r="M89" s="32"/>
      <x:c r="N89" s="32"/>
    </x:row>
    <x:row r="90">
      <x:c r="A90" s="32" t="n">
        <x:f>A27</x:f>
        <x:v>2022.9868608</x:v>
      </x:c>
      <x:c r="B90" s="32" t="n">
        <x:f>B27</x:f>
        <x:v>573178.0120435266</x:v>
      </x:c>
      <x:c r="C90" s="32" t="n">
        <x:f>D27</x:f>
        <x:v>6736.03129578184</x:v>
      </x:c>
      <x:c r="D90" s="32" t="n">
        <x:f>E27</x:f>
        <x:v>13472.06259156368</x:v>
      </x:c>
      <x:c r="E90" s="32"/>
      <x:c r="F90" s="32" t="n">
        <x:f>A27</x:f>
        <x:v>2022.9868608</x:v>
      </x:c>
      <x:c r="G90" s="32" t="n">
        <x:f>C27</x:f>
        <x:v>26021.275018591994</x:v>
      </x:c>
      <x:c r="H90" s="32"/>
      <x:c r="I90" s="32"/>
      <x:c r="J90" s="32"/>
      <x:c r="K90" s="32"/>
      <x:c r="L90" s="32"/>
      <x:c r="M90" s="32"/>
      <x:c r="N90" s="32"/>
    </x:row>
    <x:row r="91">
      <x:c r="A91" s="32" t="n">
        <x:f>A28</x:f>
        <x:v>2098.3837128</x:v>
      </x:c>
      <x:c r="B91" s="32" t="n">
        <x:f>B28</x:f>
        <x:v>590079.5868524231</x:v>
      </x:c>
      <x:c r="C91" s="32" t="n">
        <x:f>D28</x:f>
        <x:v>6607.2154035717995</x:v>
      </x:c>
      <x:c r="D91" s="32" t="n">
        <x:f>E28</x:f>
        <x:v>13214.430807143599</x:v>
      </x:c>
      <x:c r="E91" s="32"/>
      <x:c r="F91" s="32" t="n">
        <x:f>A28</x:f>
        <x:v>2098.3837128</x:v>
      </x:c>
      <x:c r="G91" s="32" t="n">
        <x:f>C28</x:f>
        <x:v>26020.407058820667</x:v>
      </x:c>
      <x:c r="H91" s="32"/>
      <x:c r="I91" s="32"/>
      <x:c r="J91" s="32"/>
      <x:c r="K91" s="32"/>
      <x:c r="L91" s="32"/>
      <x:c r="M91" s="32"/>
      <x:c r="N91" s="32"/>
    </x:row>
    <x:row r="92">
      <x:c r="A92" s="32" t="n">
        <x:f>A29</x:f>
        <x:v>2173.9945344000002</x:v>
      </x:c>
      <x:c r="B92" s="32" t="n">
        <x:f>B29</x:f>
        <x:v>607020.0895864788</x:v>
      </x:c>
      <x:c r="C92" s="32" t="n">
        <x:f>D29</x:f>
        <x:v>6419.267007502434</x:v>
      </x:c>
      <x:c r="D92" s="32" t="n">
        <x:f>E29</x:f>
        <x:v>12838.534015004869</x:v>
      </x:c>
      <x:c r="E92" s="32"/>
      <x:c r="F92" s="32" t="n">
        <x:f>A29</x:f>
        <x:v>2173.9945344000002</x:v>
      </x:c>
      <x:c r="G92" s="32" t="n">
        <x:f>C29</x:f>
        <x:v>26019.31724151856</x:v>
      </x:c>
      <x:c r="H92" s="32"/>
      <x:c r="I92" s="32"/>
      <x:c r="J92" s="32"/>
      <x:c r="K92" s="32"/>
      <x:c r="L92" s="32"/>
      <x:c r="M92" s="32"/>
      <x:c r="N92" s="32"/>
    </x:row>
    <x:row r="93">
      <x:c r="A93" s="32" t="n">
        <x:f>A30</x:f>
        <x:v>2250.1543008</x:v>
      </x:c>
      <x:c r="B93" s="32" t="n">
        <x:f>B30</x:f>
        <x:v>624072.1267373553</x:v>
      </x:c>
      <x:c r="C93" s="32" t="n">
        <x:f>D30</x:f>
        <x:v>6174.609456279386</x:v>
      </x:c>
      <x:c r="D93" s="32" t="n">
        <x:f>E30</x:f>
        <x:v>12349.218912558772</x:v>
      </x:c>
      <x:c r="E93" s="32"/>
      <x:c r="F93" s="32" t="n">
        <x:f>A30</x:f>
        <x:v>2250.1543008</x:v>
      </x:c>
      <x:c r="G93" s="32" t="n">
        <x:f>C30</x:f>
        <x:v>26018.002584678557</x:v>
      </x:c>
      <x:c r="H93" s="32"/>
      <x:c r="I93" s="32"/>
      <x:c r="J93" s="32"/>
      <x:c r="K93" s="32"/>
      <x:c r="L93" s="32"/>
      <x:c r="M93" s="32"/>
      <x:c r="N93" s="32"/>
    </x:row>
    <x:row r="94">
      <x:c r="A94" s="32" t="n">
        <x:f>A31</x:f>
        <x:v>2326.9172664000002</x:v>
      </x:c>
      <x:c r="B94" s="32" t="n">
        <x:f>B31</x:f>
        <x:v>641245.7493002525</x:v>
      </x:c>
      <x:c r="C94" s="32" t="n">
        <x:f>D31</x:f>
        <x:v>5876.344539699765</x:v>
      </x:c>
      <x:c r="D94" s="32" t="n">
        <x:f>E31</x:f>
        <x:v>11752.68907939953</x:v>
      </x:c>
      <x:c r="E94" s="32"/>
      <x:c r="F94" s="32" t="n">
        <x:f>A31</x:f>
        <x:v>2326.9172664000002</x:v>
      </x:c>
      <x:c r="G94" s="32" t="n">
        <x:f>C31</x:f>
        <x:v>26016.43450087289</x:v>
      </x:c>
      <x:c r="H94" s="32"/>
      <x:c r="I94" s="32"/>
      <x:c r="J94" s="32"/>
      <x:c r="K94" s="32"/>
      <x:c r="L94" s="32"/>
      <x:c r="M94" s="32"/>
      <x:c r="N94" s="32"/>
    </x:row>
    <x:row r="95">
      <x:c r="A95" s="32" t="n">
        <x:f>A32</x:f>
        <x:v>2404.030752</x:v>
      </x:c>
      <x:c r="B95" s="32" t="n">
        <x:f>B32</x:f>
        <x:v>658482.8943766345</x:v>
      </x:c>
      <x:c r="C95" s="32" t="n">
        <x:f>D32</x:f>
        <x:v>5529.406533740687</x:v>
      </x:c>
      <x:c r="D95" s="32" t="n">
        <x:f>E32</x:f>
        <x:v>11058.813067481375</x:v>
      </x:c>
      <x:c r="E95" s="32"/>
      <x:c r="F95" s="32" t="n">
        <x:f>A32</x:f>
        <x:v>2404.030752</x:v>
      </x:c>
      <x:c r="G95" s="32" t="n">
        <x:f>C32</x:f>
        <x:v>26014.617653010104</x:v>
      </x:c>
      <x:c r="H95" s="32"/>
      <x:c r="I95" s="32"/>
      <x:c r="J95" s="32"/>
      <x:c r="K95" s="32"/>
      <x:c r="L95" s="32"/>
      <x:c r="M95" s="32"/>
      <x:c r="N95" s="32"/>
    </x:row>
    <x:row r="96">
      <x:c r="A96" s="32" t="n">
        <x:f>A33</x:f>
        <x:v>2481.0637704</x:v>
      </x:c>
      <x:c r="B96" s="32" t="n">
        <x:f>B33</x:f>
        <x:v>675686.2595691354</x:v>
      </x:c>
      <x:c r="C96" s="32" t="n">
        <x:f>D33</x:f>
        <x:v>5135.638179379317</x:v>
      </x:c>
      <x:c r="D96" s="32" t="n">
        <x:f>E33</x:f>
        <x:v>10271.276358758634</x:v>
      </x:c>
      <x:c r="E96" s="32"/>
      <x:c r="F96" s="32" t="n">
        <x:f>A33</x:f>
        <x:v>2481.0637704</x:v>
      </x:c>
      <x:c r="G96" s="32" t="n">
        <x:f>C33</x:f>
        <x:v>26012.596677903195</x:v>
      </x:c>
      <x:c r="H96" s="32"/>
      <x:c r="I96" s="32"/>
      <x:c r="J96" s="32"/>
      <x:c r="K96" s="32"/>
      <x:c r="L96" s="32"/>
      <x:c r="M96" s="32"/>
      <x:c r="N96" s="32"/>
    </x:row>
    <x:row r="97">
      <x:c r="A97" s="32" t="n">
        <x:f>A34</x:f>
        <x:v>2557.6252632</x:v>
      </x:c>
      <x:c r="B97" s="32" t="n">
        <x:f>B34</x:f>
        <x:v>692768.7105823595</x:v>
      </x:c>
      <x:c r="C97" s="32" t="n">
        <x:f>D34</x:f>
        <x:v>4711.485253484027</x:v>
      </x:c>
      <x:c r="D97" s="32" t="n">
        <x:f>E34</x:f>
        <x:v>9422.970506968055</x:v>
      </x:c>
      <x:c r="E97" s="32"/>
      <x:c r="F97" s="32" t="n">
        <x:f>A34</x:f>
        <x:v>2557.6252632</x:v>
      </x:c>
      <x:c r="G97" s="32" t="n">
        <x:f>C34</x:f>
        <x:v>26010.536984392053</x:v>
      </x:c>
      <x:c r="H97" s="32"/>
      <x:c r="I97" s="32"/>
      <x:c r="J97" s="32"/>
      <x:c r="K97" s="32"/>
      <x:c r="L97" s="32"/>
      <x:c r="M97" s="32"/>
      <x:c r="N97" s="32"/>
    </x:row>
    <x:row r="98">
      <x:c r="A98" s="32" t="n">
        <x:f>A35</x:f>
        <x:v>2633.5658784</x:v>
      </x:c>
      <x:c r="B98" s="32" t="n">
        <x:f>B35</x:f>
        <x:v>709697.6280845449</x:v>
      </x:c>
      <x:c r="C98" s="32" t="n">
        <x:f>D35</x:f>
        <x:v>4260.430722586636</x:v>
      </x:c>
      <x:c r="D98" s="32" t="n">
        <x:f>E35</x:f>
        <x:v>8520.861445173272</x:v>
      </x:c>
      <x:c r="E98" s="32"/>
      <x:c r="F98" s="32" t="n">
        <x:f>A35</x:f>
        <x:v>2633.5658784</x:v>
      </x:c>
      <x:c r="G98" s="32" t="n">
        <x:f>C35</x:f>
        <x:v>26008.54616745755</x:v>
      </x:c>
      <x:c r="H98" s="32"/>
      <x:c r="I98" s="32"/>
      <x:c r="J98" s="32"/>
      <x:c r="K98" s="32"/>
      <x:c r="L98" s="32"/>
      <x:c r="M98" s="32"/>
      <x:c r="N98" s="32"/>
    </x:row>
    <x:row r="99">
      <x:c r="A99" s="32" t="n">
        <x:f>A36</x:f>
        <x:v>2709.0514272</x:v>
      </x:c>
      <x:c r="B99" s="32" t="n">
        <x:f>B36</x:f>
        <x:v>726511.6770373742</x:v>
      </x:c>
      <x:c r="C99" s="32" t="n">
        <x:f>D36</x:f>
        <x:v>3809.012087543358</x:v>
      </x:c>
      <x:c r="D99" s="32" t="n">
        <x:f>E36</x:f>
        <x:v>7618.024175086716</x:v>
      </x:c>
      <x:c r="E99" s="32"/>
      <x:c r="F99" s="32" t="n">
        <x:f>A36</x:f>
        <x:v>2709.0514272</x:v>
      </x:c>
      <x:c r="G99" s="32" t="n">
        <x:f>C36</x:f>
        <x:v>26006.790140961944</x:v>
      </x:c>
      <x:c r="H99" s="32"/>
      <x:c r="I99" s="32"/>
      <x:c r="J99" s="32"/>
      <x:c r="K99" s="32"/>
      <x:c r="L99" s="32"/>
      <x:c r="M99" s="32"/>
      <x:c r="N99" s="32"/>
    </x:row>
    <x:row r="100">
      <x:c r="A100" s="32" t="n">
        <x:f>A37</x:f>
        <x:v>2784.480588</x:v>
      </x:c>
      <x:c r="B100" s="32" t="n">
        <x:f>B37</x:f>
        <x:v>743301.7566949244</x:v>
      </x:c>
      <x:c r="C100" s="32" t="n">
        <x:f>D37</x:f>
        <x:v>3377.9059561717727</x:v>
      </x:c>
      <x:c r="D100" s="32" t="n">
        <x:f>E37</x:f>
        <x:v>6755.811912343545</x:v>
      </x:c>
      <x:c r="E100" s="32"/>
      <x:c r="F100" s="32" t="n">
        <x:f>A37</x:f>
        <x:v>2784.480588</x:v>
      </x:c>
      <x:c r="G100" s="32" t="n">
        <x:f>C37</x:f>
        <x:v>26005.336108556217</x:v>
      </x:c>
      <x:c r="H100" s="32"/>
      <x:c r="I100" s="32"/>
      <x:c r="J100" s="32"/>
      <x:c r="K100" s="32"/>
      <x:c r="L100" s="32"/>
      <x:c r="M100" s="32"/>
      <x:c r="N100" s="32"/>
    </x:row>
    <x:row r="101">
      <x:c r="A101" s="32" t="n">
        <x:f>A38</x:f>
        <x:v>2860.2800807999997</x:v>
      </x:c>
      <x:c r="B101" s="32" t="n">
        <x:f>B38</x:f>
        <x:v>760164.9276528626</x:v>
      </x:c>
      <x:c r="C101" s="32" t="n">
        <x:f>D38</x:f>
        <x:v>2980.8684489930993</x:v>
      </x:c>
      <x:c r="D101" s="32" t="n">
        <x:f>E38</x:f>
        <x:v>5961.7368979861985</x:v>
      </x:c>
      <x:c r="E101" s="32"/>
      <x:c r="F101" s="32" t="n">
        <x:f>A38</x:f>
        <x:v>2860.2800807999997</x:v>
      </x:c>
      <x:c r="G101" s="32" t="n">
        <x:f>C38</x:f>
        <x:v>26004.17582405631</x:v>
      </x:c>
      <x:c r="H101" s="32"/>
      <x:c r="I101" s="32"/>
      <x:c r="J101" s="32"/>
      <x:c r="K101" s="32"/>
      <x:c r="L101" s="32"/>
      <x:c r="M101" s="32"/>
      <x:c r="N101" s="32"/>
    </x:row>
    <x:row r="102">
      <x:c r="A102" s="32" t="n">
        <x:f>A39</x:f>
        <x:v>2936.688564</x:v>
      </x:c>
      <x:c r="B102" s="32" t="n">
        <x:f>B39</x:f>
        <x:v>777155.6787109898</x:v>
      </x:c>
      <x:c r="C102" s="32" t="n">
        <x:f>D39</x:f>
        <x:v>2601.355278029806</x:v>
      </x:c>
      <x:c r="D102" s="32" t="n">
        <x:f>E39</x:f>
        <x:v>5202.710556059612</x:v>
      </x:c>
      <x:c r="E102" s="32"/>
      <x:c r="F102" s="32" t="n">
        <x:f>A39</x:f>
        <x:v>2936.688564</x:v>
      </x:c>
      <x:c r="G102" s="32" t="n">
        <x:f>C39</x:f>
        <x:v>26003.2057613572</x:v>
      </x:c>
      <x:c r="H102" s="32"/>
      <x:c r="I102" s="32"/>
      <x:c r="J102" s="32"/>
      <x:c r="K102" s="32"/>
      <x:c r="L102" s="32"/>
      <x:c r="M102" s="32"/>
      <x:c r="N102" s="32"/>
    </x:row>
    <x:row r="103">
      <x:c r="A103" s="32" t="n">
        <x:f>A40</x:f>
        <x:v>3013.6334952</x:v>
      </x:c>
      <x:c r="B103" s="32" t="n">
        <x:f>B40</x:f>
        <x:v>794258.6529676841</x:v>
      </x:c>
      <x:c r="C103" s="32" t="n">
        <x:f>D40</x:f>
        <x:v>2210.464287905019</x:v>
      </x:c>
      <x:c r="D103" s="32" t="n">
        <x:f>E40</x:f>
        <x:v>4420.928575810038</x:v>
      </x:c>
      <x:c r="E103" s="32"/>
      <x:c r="F103" s="32" t="n">
        <x:f>A40</x:f>
        <x:v>3013.6334952</x:v>
      </x:c>
      <x:c r="G103" s="32" t="n">
        <x:f>C40</x:f>
        <x:v>26002.330973268596</x:v>
      </x:c>
      <x:c r="H103" s="32"/>
      <x:c r="I103" s="32"/>
      <x:c r="J103" s="32"/>
      <x:c r="K103" s="32"/>
      <x:c r="L103" s="32"/>
      <x:c r="M103" s="32"/>
      <x:c r="N103" s="32"/>
    </x:row>
    <x:row r="104">
      <x:c r="A104" s="32" t="n">
        <x:f>A41</x:f>
        <x:v>3090.7698408</x:v>
      </x:c>
      <x:c r="B104" s="32" t="n">
        <x:f>B41</x:f>
        <x:v>811398.364236773</x:v>
      </x:c>
      <x:c r="C104" s="32" t="n">
        <x:f>D41</x:f>
        <x:v>1828.4835133349245</x:v>
      </x:c>
      <x:c r="D104" s="32" t="n">
        <x:f>E41</x:f>
        <x:v>3656.967026669849</x:v>
      </x:c>
      <x:c r="E104" s="32"/>
      <x:c r="F104" s="32" t="n">
        <x:f>A41</x:f>
        <x:v>3090.7698408</x:v>
      </x:c>
      <x:c r="G104" s="32" t="n">
        <x:f>C41</x:f>
        <x:v>26001.59893728332</x:v>
      </x:c>
      <x:c r="H104" s="32"/>
      <x:c r="I104" s="32"/>
      <x:c r="J104" s="32"/>
      <x:c r="K104" s="32"/>
      <x:c r="L104" s="32"/>
      <x:c r="M104" s="32"/>
      <x:c r="N104" s="32"/>
    </x:row>
    <x:row r="105">
      <x:c r="A105" s="32" t="n">
        <x:f>A42</x:f>
        <x:v>3167.6544215999998</x:v>
      </x:c>
      <x:c r="B105" s="32" t="n">
        <x:f>B42</x:f>
        <x:v>828481.9159706458</x:v>
      </x:c>
      <x:c r="C105" s="32" t="n">
        <x:f>D42</x:f>
        <x:v>1812.5797754308658</x:v>
      </x:c>
      <x:c r="D105" s="32" t="n">
        <x:f>E42</x:f>
        <x:v>3625.1595508617315</x:v>
      </x:c>
      <x:c r="E105" s="32"/>
      <x:c r="F105" s="32" t="n">
        <x:f>A42</x:f>
        <x:v>3167.6544215999998</x:v>
      </x:c>
      <x:c r="G105" s="32" t="n">
        <x:f>C42</x:f>
        <x:v>26001.566115479778</x:v>
      </x:c>
      <x:c r="H105" s="32"/>
      <x:c r="I105" s="32"/>
      <x:c r="J105" s="32"/>
      <x:c r="K105" s="32"/>
      <x:c r="L105" s="32"/>
      <x:c r="M105" s="32"/>
      <x:c r="N105" s="32"/>
    </x:row>
    <x:row r="106">
      <x:c r="A106" s="32" t="n">
        <x:f>A43</x:f>
        <x:v>3243.9723792</x:v>
      </x:c>
      <x:c r="B106" s="32" t="n">
        <x:f>B43</x:f>
        <x:v>845445.6518920356</x:v>
      </x:c>
      <x:c r="C106" s="32" t="n">
        <x:f>D43</x:f>
        <x:v>2217.891733412791</x:v>
      </x:c>
      <x:c r="D106" s="32" t="n">
        <x:f>E43</x:f>
        <x:v>4435.783466825582</x:v>
      </x:c>
      <x:c r="E106" s="32"/>
      <x:c r="F106" s="32" t="n">
        <x:f>A43</x:f>
        <x:v>3243.9723792</x:v>
      </x:c>
      <x:c r="G106" s="32" t="n">
        <x:f>C43</x:f>
        <x:v>26002.327542905805</x:v>
      </x:c>
      <x:c r="H106" s="32"/>
      <x:c r="I106" s="32"/>
      <x:c r="J106" s="32"/>
      <x:c r="K106" s="32"/>
      <x:c r="L106" s="32"/>
      <x:c r="M106" s="32"/>
      <x:c r="N106" s="32"/>
    </x:row>
    <x:row r="107">
      <x:c r="A107" s="32" t="n">
        <x:f>A44</x:f>
        <x:v>3319.6978056000003</x:v>
      </x:c>
      <x:c r="B107" s="32" t="n">
        <x:f>B44</x:f>
        <x:v>862285.3093043673</x:v>
      </x:c>
      <x:c r="C107" s="32" t="n">
        <x:f>D44</x:f>
        <x:v>2642.4110592528173</x:v>
      </x:c>
      <x:c r="D107" s="32" t="n">
        <x:f>E44</x:f>
        <x:v>5284.8221185056345</x:v>
      </x:c>
      <x:c r="E107" s="32"/>
      <x:c r="F107" s="32" t="n">
        <x:f>A44</x:f>
        <x:v>3319.6978056000003</x:v>
      </x:c>
      <x:c r="G107" s="32" t="n">
        <x:f>C44</x:f>
        <x:v>26003.27817969412</x:v>
      </x:c>
      <x:c r="H107" s="32"/>
      <x:c r="I107" s="32"/>
      <x:c r="J107" s="32"/>
      <x:c r="K107" s="32"/>
      <x:c r="L107" s="32"/>
      <x:c r="M107" s="32"/>
      <x:c r="N107" s="32"/>
    </x:row>
    <x:row r="108">
      <x:c r="A108" s="32" t="n">
        <x:f>A45</x:f>
        <x:v>3395.1068496000003</x:v>
      </x:c>
      <x:c r="B108" s="32" t="n">
        <x:f>B45</x:f>
        <x:v>879061.594945844</x:v>
      </x:c>
      <x:c r="C108" s="32" t="n">
        <x:f>D45</x:f>
        <x:v>2979.8716159706937</x:v>
      </x:c>
      <x:c r="D108" s="32" t="n">
        <x:f>E45</x:f>
        <x:v>5959.743231941387</x:v>
      </x:c>
      <x:c r="E108" s="32"/>
      <x:c r="F108" s="32" t="n">
        <x:f>A45</x:f>
        <x:v>3395.1068496000003</x:v>
      </x:c>
      <x:c r="G108" s="32" t="n">
        <x:f>C45</x:f>
        <x:v>26004.15153605139</x:v>
      </x:c>
      <x:c r="H108" s="32"/>
      <x:c r="I108" s="32"/>
      <x:c r="J108" s="32"/>
      <x:c r="K108" s="32"/>
      <x:c r="L108" s="32"/>
      <x:c r="M108" s="32"/>
      <x:c r="N108" s="32"/>
    </x:row>
    <x:row r="109">
      <x:c r="A109" s="32" t="n">
        <x:f>A46</x:f>
        <x:v>3470.6368992</x:v>
      </x:c>
      <x:c r="B109" s="32" t="n">
        <x:f>B46</x:f>
        <x:v>895870.7720675812</x:v>
      </x:c>
      <x:c r="C109" s="32" t="n">
        <x:f>D46</x:f>
        <x:v>3240.2265772593487</x:v>
      </x:c>
      <x:c r="D109" s="32" t="n">
        <x:f>E46</x:f>
        <x:v>6480.453154518697</x:v>
      </x:c>
      <x:c r="E109" s="32"/>
      <x:c r="F109" s="32" t="n">
        <x:f>A46</x:f>
        <x:v>3470.6368992</x:v>
      </x:c>
      <x:c r="G109" s="32" t="n">
        <x:f>C46</x:f>
        <x:v>26004.916553862808</x:v>
      </x:c>
      <x:c r="H109" s="32"/>
      <x:c r="I109" s="32"/>
      <x:c r="J109" s="32"/>
      <x:c r="K109" s="32"/>
      <x:c r="L109" s="32"/>
      <x:c r="M109" s="32"/>
      <x:c r="N109" s="32"/>
    </x:row>
    <x:row r="110">
      <x:c r="A110" s="32" t="n">
        <x:f>A47</x:f>
        <x:v>3546.6631632</x:v>
      </x:c>
      <x:c r="B110" s="32" t="n">
        <x:f>B47</x:f>
        <x:v>912796.2996201845</x:v>
      </x:c>
      <x:c r="C110" s="32" t="n">
        <x:f>D47</x:f>
        <x:v>3477.5866978427607</x:v>
      </x:c>
      <x:c r="D110" s="32" t="n">
        <x:f>E47</x:f>
        <x:v>6955.173395685521</x:v>
      </x:c>
      <x:c r="E110" s="32"/>
      <x:c r="F110" s="32" t="n">
        <x:f>A47</x:f>
        <x:v>3546.6631632</x:v>
      </x:c>
      <x:c r="G110" s="32" t="n">
        <x:f>C47</x:f>
        <x:v>26005.700459349162</x:v>
      </x:c>
      <x:c r="H110" s="32"/>
      <x:c r="I110" s="32"/>
      <x:c r="J110" s="32"/>
      <x:c r="K110" s="32"/>
      <x:c r="L110" s="32"/>
      <x:c r="M110" s="32"/>
      <x:c r="N110" s="32"/>
    </x:row>
    <x:row r="111">
      <x:c r="A111" s="32" t="n">
        <x:f>A48</x:f>
        <x:v>3623.3087808</x:v>
      </x:c>
      <x:c r="B111" s="32" t="n">
        <x:f>B48</x:f>
        <x:v>929866.6740240534</x:v>
      </x:c>
      <x:c r="C111" s="32" t="n">
        <x:f>D48</x:f>
        <x:v>3735.52973462342</x:v>
      </x:c>
      <x:c r="D111" s="32" t="n">
        <x:f>E48</x:f>
        <x:v>7471.05946924684</x:v>
      </x:c>
      <x:c r="E111" s="32"/>
      <x:c r="F111" s="32" t="n">
        <x:f>A48</x:f>
        <x:v>3623.3087808</x:v>
      </x:c>
      <x:c r="G111" s="32" t="n">
        <x:f>C48</x:f>
        <x:v>26006.63104530587</x:v>
      </x:c>
      <x:c r="H111" s="32"/>
      <x:c r="I111" s="32"/>
      <x:c r="J111" s="32"/>
      <x:c r="K111" s="32"/>
      <x:c r="L111" s="32"/>
      <x:c r="M111" s="32"/>
      <x:c r="N111" s="32"/>
    </x:row>
    <x:row r="112">
      <x:c r="A112" s="32" t="n">
        <x:f>A49</x:f>
        <x:v>3700.3805088</x:v>
      </x:c>
      <x:c r="B112" s="32" t="n">
        <x:f>B49</x:f>
        <x:v>947040.6817547195</x:v>
      </x:c>
      <x:c r="C112" s="32" t="n">
        <x:f>D49</x:f>
        <x:v>4034.182554764465</x:v>
      </x:c>
      <x:c r="D112" s="32" t="n">
        <x:f>E49</x:f>
        <x:v>8068.36510952893</x:v>
      </x:c>
      <x:c r="E112" s="32"/>
      <x:c r="F112" s="32" t="n">
        <x:f>A49</x:f>
        <x:v>3700.3805088</x:v>
      </x:c>
      <x:c r="G112" s="32" t="n">
        <x:f>C49</x:f>
        <x:v>26007.776719990547</x:v>
      </x:c>
      <x:c r="H112" s="32"/>
      <x:c r="I112" s="32"/>
      <x:c r="J112" s="32"/>
      <x:c r="K112" s="32"/>
      <x:c r="L112" s="32"/>
      <x:c r="M112" s="32"/>
      <x:c r="N112" s="32"/>
    </x:row>
    <x:row r="113">
      <x:c r="A113" s="32" t="n">
        <x:f>A50</x:f>
        <x:v>3777.4683912</x:v>
      </x:c>
      <x:c r="B113" s="32" t="n">
        <x:f>B50</x:f>
        <x:v>964227.9727141815</x:v>
      </x:c>
      <x:c r="C113" s="32" t="n">
        <x:f>D50</x:f>
        <x:v>4341.399783443597</x:v>
      </x:c>
      <x:c r="D113" s="32" t="n">
        <x:f>E50</x:f>
        <x:v>8682.799566887194</x:v>
      </x:c>
      <x:c r="E113" s="32"/>
      <x:c r="F113" s="32" t="n">
        <x:f>A50</x:f>
        <x:v>3777.4683912</x:v>
      </x:c>
      <x:c r="G113" s="32" t="n">
        <x:f>C50</x:f>
        <x:v>26009.0081570259</x:v>
      </x:c>
      <x:c r="H113" s="32"/>
      <x:c r="I113" s="32"/>
      <x:c r="J113" s="32"/>
      <x:c r="K113" s="32"/>
      <x:c r="L113" s="32"/>
      <x:c r="M113" s="32"/>
      <x:c r="N113" s="32"/>
    </x:row>
    <x:row r="114">
      <x:c r="A114" s="32" t="n">
        <x:f>A51</x:f>
        <x:v>3854.1542424</x:v>
      </x:c>
      <x:c r="B114" s="32" t="n">
        <x:f>B51</x:f>
        <x:v>981335.4551047519</x:v>
      </x:c>
      <x:c r="C114" s="32" t="n">
        <x:f>D51</x:f>
        <x:v>4633.867599663519</x:v>
      </x:c>
      <x:c r="D114" s="32" t="n">
        <x:f>E51</x:f>
        <x:v>9267.735199327039</x:v>
      </x:c>
      <x:c r="E114" s="32"/>
      <x:c r="F114" s="32" t="n">
        <x:f>A51</x:f>
        <x:v>3854.1542424</x:v>
      </x:c>
      <x:c r="G114" s="32" t="n">
        <x:f>C51</x:f>
        <x:v>26010.209224543964</x:v>
      </x:c>
      <x:c r="H114" s="32"/>
      <x:c r="I114" s="32"/>
      <x:c r="J114" s="32"/>
      <x:c r="K114" s="32"/>
      <x:c r="L114" s="32"/>
      <x:c r="M114" s="32"/>
      <x:c r="N114" s="32"/>
    </x:row>
    <x:row r="115">
      <x:c r="A115" s="32" t="n">
        <x:f>A52</x:f>
        <x:v>3930.2240928</x:v>
      </x:c>
      <x:c r="B115" s="32" t="n">
        <x:f>B52</x:f>
        <x:v>998314.2641407177</x:v>
      </x:c>
      <x:c r="C115" s="32" t="n">
        <x:f>D52</x:f>
        <x:v>4881.413205013298</x:v>
      </x:c>
      <x:c r="D115" s="32" t="n">
        <x:f>E52</x:f>
        <x:v>9762.826410026595</x:v>
      </x:c>
      <x:c r="E115" s="32"/>
      <x:c r="F115" s="32" t="n">
        <x:f>A52</x:f>
        <x:v>3930.2240928</x:v>
      </x:c>
      <x:c r="G115" s="32" t="n">
        <x:f>C52</x:f>
        <x:v>26011.238128073786</x:v>
      </x:c>
      <x:c r="H115" s="32"/>
      <x:c r="I115" s="32"/>
      <x:c r="J115" s="32"/>
      <x:c r="K115" s="32"/>
      <x:c r="L115" s="32"/>
      <x:c r="M115" s="32"/>
      <x:c r="N115" s="32"/>
    </x:row>
    <x:row r="116">
      <x:c r="A116" s="32" t="n">
        <x:f>A53</x:f>
        <x:v>4005.779136</x:v>
      </x:c>
      <x:c r="B116" s="32" t="n">
        <x:f>B53</x:f>
        <x:v>1015185.3615536197</x:v>
      </x:c>
      <x:c r="C116" s="32" t="n">
        <x:f>D53</x:f>
        <x:v>5077.246908811857</x:v>
      </x:c>
      <x:c r="D116" s="32" t="n">
        <x:f>E53</x:f>
        <x:v>10154.493817623714</x:v>
      </x:c>
      <x:c r="E116" s="32"/>
      <x:c r="F116" s="32" t="n">
        <x:f>A53</x:f>
        <x:v>4005.779136</x:v>
      </x:c>
      <x:c r="G116" s="32" t="n">
        <x:f>C53</x:f>
        <x:v>26012.075643901448</x:v>
      </x:c>
      <x:c r="H116" s="32"/>
      <x:c r="I116" s="32"/>
      <x:c r="J116" s="32"/>
      <x:c r="K116" s="32"/>
      <x:c r="L116" s="32"/>
      <x:c r="M116" s="32"/>
      <x:c r="N116" s="32"/>
    </x:row>
    <x:row r="117">
      <x:c r="A117" s="32" t="n">
        <x:f>A54</x:f>
        <x:v>4081.1817792</x:v>
      </x:c>
      <x:c r="B117" s="32" t="n">
        <x:f>B54</x:f>
        <x:v>1032028.0125999552</x:v>
      </x:c>
      <x:c r="C117" s="32" t="n">
        <x:f>D54</x:f>
        <x:v>5224.495357305971</x:v>
      </x:c>
      <x:c r="D117" s="32" t="n">
        <x:f>E54</x:f>
        <x:v>10448.990714611942</x:v>
      </x:c>
      <x:c r="E117" s="32"/>
      <x:c r="F117" s="32" t="n">
        <x:f>A54</x:f>
        <x:v>4081.1817792</x:v>
      </x:c>
      <x:c r="G117" s="32" t="n">
        <x:f>C54</x:f>
        <x:v>26012.760436684606</x:v>
      </x:c>
      <x:c r="H117" s="32"/>
      <x:c r="I117" s="32"/>
      <x:c r="J117" s="32"/>
      <x:c r="K117" s="32"/>
      <x:c r="L117" s="32"/>
      <x:c r="M117" s="32"/>
      <x:c r="N117" s="32"/>
    </x:row>
    <x:row r="118">
      <x:c r="A118" s="32" t="n">
        <x:f>A55</x:f>
        <x:v>4156.8727632</x:v>
      </x:c>
      <x:c r="B118" s="32" t="n">
        <x:f>B55</x:f>
        <x:v>1048939.150757369</x:v>
      </x:c>
      <x:c r="C118" s="32" t="n">
        <x:f>D55</x:f>
        <x:v>5329.133078724494</x:v>
      </x:c>
      <x:c r="D118" s="32" t="n">
        <x:f>E55</x:f>
        <x:v>10658.266157448988</x:v>
      </x:c>
      <x:c r="E118" s="32"/>
      <x:c r="F118" s="32" t="n">
        <x:f>A55</x:f>
        <x:v>4156.8727632</x:v>
      </x:c>
      <x:c r="G118" s="32" t="n">
        <x:f>C55</x:f>
        <x:v>26013.327465101727</x:v>
      </x:c>
      <x:c r="H118" s="32"/>
      <x:c r="I118" s="32"/>
      <x:c r="J118" s="32"/>
      <x:c r="K118" s="32"/>
      <x:c r="L118" s="32"/>
      <x:c r="M118" s="32"/>
      <x:c r="N118" s="32"/>
    </x:row>
    <x:row r="119">
      <x:c r="A119" s="32" t="n">
        <x:f>A56</x:f>
        <x:v>4233.1456104</x:v>
      </x:c>
      <x:c r="B119" s="32" t="n">
        <x:f>B56</x:f>
        <x:v>1065983.2590436984</x:v>
      </x:c>
      <x:c r="C119" s="32" t="n">
        <x:f>D56</x:f>
        <x:v>5403.408250563843</x:v>
      </x:c>
      <x:c r="D119" s="32" t="n">
        <x:f>E56</x:f>
        <x:v>10806.816501127685</x:v>
      </x:c>
      <x:c r="E119" s="32"/>
      <x:c r="F119" s="32" t="n">
        <x:f>A56</x:f>
        <x:v>4233.1456104</x:v>
      </x:c>
      <x:c r="G119" s="32" t="n">
        <x:f>C56</x:f>
        <x:v>26013.806887728948</x:v>
      </x:c>
      <x:c r="H119" s="32"/>
      <x:c r="I119" s="32"/>
      <x:c r="J119" s="32"/>
      <x:c r="K119" s="32"/>
      <x:c r="L119" s="32"/>
      <x:c r="M119" s="32"/>
      <x:c r="N119" s="32"/>
    </x:row>
    <x:row r="120">
      <x:c r="A120" s="32" t="n">
        <x:f>A57</x:f>
        <x:v>4309.9975776</x:v>
      </x:c>
      <x:c r="B120" s="32" t="n">
        <x:f>B57</x:f>
        <x:v>1083158.5300937633</x:v>
      </x:c>
      <x:c r="C120" s="32" t="n">
        <x:f>D57</x:f>
        <x:v>5446.429733762008</x:v>
      </x:c>
      <x:c r="D120" s="32" t="n">
        <x:f>E57</x:f>
        <x:v>10892.859467524017</x:v>
      </x:c>
      <x:c r="E120" s="32"/>
      <x:c r="F120" s="32" t="n">
        <x:f>A57</x:f>
        <x:v>4309.9975776</x:v>
      </x:c>
      <x:c r="G120" s="32" t="n">
        <x:f>C57</x:f>
        <x:v>26014.1341296423</x:v>
      </x:c>
      <x:c r="H120" s="32"/>
      <x:c r="I120" s="32"/>
      <x:c r="J120" s="32"/>
      <x:c r="K120" s="32"/>
      <x:c r="L120" s="32"/>
      <x:c r="M120" s="32"/>
      <x:c r="N120" s="32"/>
    </x:row>
    <x:row r="121">
      <x:c r="A121" s="32" t="n">
        <x:f>A58</x:f>
        <x:v>4387.1302656</x:v>
      </x:c>
      <x:c r="B121" s="32" t="n">
        <x:f>B58</x:f>
        <x:v>1100397.3144771114</x:v>
      </x:c>
      <x:c r="C121" s="32" t="n">
        <x:f>D58</x:f>
        <x:v>5465.325847757959</x:v>
      </x:c>
      <x:c r="D121" s="32" t="n">
        <x:f>E58</x:f>
        <x:v>10930.651695515919</x:v>
      </x:c>
      <x:c r="E121" s="32"/>
      <x:c r="F121" s="32" t="n">
        <x:f>A58</x:f>
        <x:v>4387.1302656</x:v>
      </x:c>
      <x:c r="G121" s="32" t="n">
        <x:f>C58</x:f>
        <x:v>26014.28436234635</x:v>
      </x:c>
      <x:c r="H121" s="32"/>
      <x:c r="I121" s="32"/>
      <x:c r="J121" s="32"/>
      <x:c r="K121" s="32"/>
      <x:c r="L121" s="32"/>
      <x:c r="M121" s="32"/>
      <x:c r="N121" s="32"/>
    </x:row>
    <x:row r="122">
      <x:c r="A122" s="32" t="n">
        <x:f>A59</x:f>
        <x:v>4464.1026288</x:v>
      </x:c>
      <x:c r="B122" s="32" t="n">
        <x:f>B59</x:f>
        <x:v>1117600.1657298983</x:v>
      </x:c>
      <x:c r="C122" s="32" t="n">
        <x:f>D59</x:f>
        <x:v>5462.8587766814835</x:v>
      </x:c>
      <x:c r="D122" s="32" t="n">
        <x:f>E59</x:f>
        <x:v>10925.717553362967</x:v>
      </x:c>
      <x:c r="E122" s="32"/>
      <x:c r="F122" s="32" t="n">
        <x:f>A59</x:f>
        <x:v>4464.1026288</x:v>
      </x:c>
      <x:c r="G122" s="32" t="n">
        <x:f>C59</x:f>
        <x:v>26014.241805131667</x:v>
      </x:c>
      <x:c r="H122" s="32"/>
      <x:c r="I122" s="32"/>
      <x:c r="J122" s="32"/>
      <x:c r="K122" s="32"/>
      <x:c r="L122" s="32"/>
      <x:c r="M122" s="32"/>
      <x:c r="N122" s="32"/>
    </x:row>
    <x:row r="123">
      <x:c r="A123" s="32" t="n">
        <x:f>A60</x:f>
        <x:v>4540.555308</x:v>
      </x:c>
      <x:c r="B123" s="32" t="n">
        <x:f>B60</x:f>
        <x:v>1134686.2127898713</x:v>
      </x:c>
      <x:c r="C123" s="32" t="n">
        <x:f>D60</x:f>
        <x:v>5446.698722331982</x:v>
      </x:c>
      <x:c r="D123" s="32" t="n">
        <x:f>E60</x:f>
        <x:v>10893.397444663964</x:v>
      </x:c>
      <x:c r="E123" s="32"/>
      <x:c r="F123" s="32" t="n">
        <x:f>A60</x:f>
        <x:v>4540.555308</x:v>
      </x:c>
      <x:c r="G123" s="32" t="n">
        <x:f>C60</x:f>
        <x:v>26014.0620840039</x:v>
      </x:c>
      <x:c r="H123" s="32"/>
      <x:c r="I123" s="32"/>
      <x:c r="J123" s="32"/>
      <x:c r="K123" s="32"/>
      <x:c r="L123" s="32"/>
      <x:c r="M123" s="32"/>
      <x:c r="N123" s="32"/>
    </x:row>
    <x:row r="124">
      <x:c r="A124" s="32" t="n">
        <x:f>A61</x:f>
        <x:v>4616.3935104</x:v>
      </x:c>
      <x:c r="B124" s="32" t="n">
        <x:f>B61</x:f>
        <x:v>1151633.8485513218</x:v>
      </x:c>
      <x:c r="C124" s="32" t="n">
        <x:f>D61</x:f>
        <x:v>5419.734744567189</x:v>
      </x:c>
      <x:c r="D124" s="32" t="n">
        <x:f>E61</x:f>
        <x:v>10839.469489134379</x:v>
      </x:c>
      <x:c r="E124" s="32"/>
      <x:c r="F124" s="32" t="n">
        <x:f>A61</x:f>
        <x:v>4616.3935104</x:v>
      </x:c>
      <x:c r="G124" s="32" t="n">
        <x:f>C61</x:f>
        <x:v>26013.81129384275</x:v>
      </x:c>
      <x:c r="H124" s="32"/>
      <x:c r="I124" s="32"/>
      <x:c r="J124" s="32"/>
      <x:c r="K124" s="32"/>
      <x:c r="L124" s="32"/>
      <x:c r="M124" s="32"/>
      <x:c r="N124" s="32"/>
    </x:row>
    <x:row r="125">
      <x:c r="A125" s="32" t="n">
        <x:f>A62</x:f>
        <x:v>4691.8360824</x:v>
      </x:c>
      <x:c r="B125" s="32" t="n">
        <x:f>B62</x:f>
        <x:v>1168491.854524314</x:v>
      </x:c>
      <x:c r="C125" s="32" t="n">
        <x:f>D62</x:f>
        <x:v>5389.141729174255</x:v>
      </x:c>
      <x:c r="D125" s="32" t="n">
        <x:f>E62</x:f>
        <x:v>10778.28345834851</x:v>
      </x:c>
      <x:c r="E125" s="32"/>
      <x:c r="F125" s="32" t="n">
        <x:f>A62</x:f>
        <x:v>4691.8360824</x:v>
      </x:c>
      <x:c r="G125" s="32" t="n">
        <x:f>C62</x:f>
        <x:v>26013.584572259704</x:v>
      </x:c>
      <x:c r="H125" s="32"/>
      <x:c r="I125" s="32"/>
      <x:c r="J125" s="32"/>
      <x:c r="K125" s="32"/>
      <x:c r="L125" s="32"/>
      <x:c r="M125" s="32"/>
      <x:c r="N125" s="32"/>
    </x:row>
    <x:row r="126">
      <x:c r="A126" s="32" t="n">
        <x:f>A63</x:f>
        <x:v>4767.3027336000005</x:v>
      </x:c>
      <x:c r="B126" s="32" t="n">
        <x:f>B63</x:f>
        <x:v>1185354.175272814</x:v>
      </x:c>
      <x:c r="C126" s="32" t="n">
        <x:f>D63</x:f>
        <x:v>5362.233481314568</x:v>
      </x:c>
      <x:c r="D126" s="32" t="n">
        <x:f>E63</x:f>
        <x:v>10724.466962629136</x:v>
      </x:c>
      <x:c r="E126" s="32"/>
      <x:c r="F126" s="32" t="n">
        <x:f>A63</x:f>
        <x:v>4767.3027336000005</x:v>
      </x:c>
      <x:c r="G126" s="32" t="n">
        <x:f>C63</x:f>
        <x:v>26013.45354669791</x:v>
      </x:c>
      <x:c r="H126" s="32"/>
      <x:c r="I126" s="32"/>
      <x:c r="J126" s="32"/>
      <x:c r="K126" s="32"/>
      <x:c r="L126" s="32"/>
      <x:c r="M126" s="32"/>
      <x:c r="N126" s="32"/>
    </x:row>
    <x:row r="127">
      <x:c r="A127" s="32" t="n">
        <x:f>A64</x:f>
        <x:v>4843.2018960000005</x:v>
      </x:c>
      <x:c r="B127" s="32" t="n">
        <x:f>B64</x:f>
        <x:v>1202312.5490238403</x:v>
      </x:c>
      <x:c r="C127" s="32" t="n">
        <x:f>D64</x:f>
        <x:v>5347.425972648599</x:v>
      </x:c>
      <x:c r="D127" s="32" t="n">
        <x:f>E64</x:f>
        <x:v>10694.851945297198</x:v>
      </x:c>
      <x:c r="E127" s="32"/>
      <x:c r="F127" s="32" t="n">
        <x:f>A64</x:f>
        <x:v>4843.2018960000005</x:v>
      </x:c>
      <x:c r="G127" s="32" t="n">
        <x:f>C64</x:f>
        <x:v>26013.456025984033</x:v>
      </x:c>
      <x:c r="H127" s="32"/>
      <x:c r="I127" s="32"/>
      <x:c r="J127" s="32"/>
      <x:c r="K127" s="32"/>
      <x:c r="L127" s="32"/>
      <x:c r="M127" s="32"/>
      <x:c r="N127" s="32"/>
    </x:row>
    <x:row r="128">
      <x:c r="A128" s="32" t="n">
        <x:f>A65</x:f>
        <x:v>4919.7207168</x:v>
      </x:c>
      <x:c r="B128" s="32" t="n">
        <x:f>B65</x:f>
        <x:v>1219409.4015843999</x:v>
      </x:c>
      <x:c r="C128" s="32" t="n">
        <x:f>D65</x:f>
        <x:v>5348.094378791932</x:v>
      </x:c>
      <x:c r="D128" s="32" t="n">
        <x:f>E65</x:f>
        <x:v>10696.188757583865</x:v>
      </x:c>
      <x:c r="E128" s="32"/>
      <x:c r="F128" s="32" t="n">
        <x:f>A65</x:f>
        <x:v>4919.7207168</x:v>
      </x:c>
      <x:c r="G128" s="32" t="n">
        <x:f>C65</x:f>
        <x:v>26013.569275678037</x:v>
      </x:c>
      <x:c r="H128" s="32"/>
      <x:c r="I128" s="32"/>
      <x:c r="J128" s="32"/>
      <x:c r="K128" s="32"/>
      <x:c r="L128" s="32"/>
      <x:c r="M128" s="32"/>
      <x:c r="N128" s="32"/>
    </x:row>
  </x:sheetData>
  <x:mergeCells>
    <x:mergeCell ref="A1:N1"/>
    <x:mergeCell ref="A3:H3"/>
  </x:mergeCells>
  <x:pageMargins left="0.7" right="0.7" top="0.75" bottom="0.75" header="0.3" footer="0.3"/>
  <x:drawing xmlns:r="http://schemas.openxmlformats.org/officeDocument/2006/relationships" r:id="rId1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SOW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SOW operation depth profile</x:v>
      </x:c>
      <x:c r="B3" s="33" t="str">
        <x:v>SOW operation depth profile</x:v>
      </x:c>
      <x:c r="C3" s="33" t="str">
        <x:v>SOW operation depth profile</x:v>
      </x:c>
      <x:c r="D3" s="33" t="str">
        <x:v>SOW operation depth profile</x:v>
      </x:c>
      <x:c r="E3" s="33" t="str">
        <x:v>SOW operation depth profile</x:v>
      </x:c>
      <x:c r="F3" s="33" t="str">
        <x:v>SOW operation depth profile</x:v>
      </x:c>
      <x:c r="G3" s="33" t="str">
        <x:v>SOW operation depth profile</x:v>
      </x:c>
      <x:c r="H3" s="33" t="str">
        <x:v>SOW operation depth profile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f>"MD "&amp;'Unit Map'!$H$8</x:f>
        <x:v>MD m</x:v>
      </x:c>
      <x:c r="B5" s="34" t="str">
        <x:f>"Axial load "&amp;'Unit Map'!$H$14</x:f>
        <x:v>Axial load N</x:v>
      </x:c>
      <x:c r="C5" s="34" t="str">
        <x:f>"Torque "&amp;'Unit Map'!$H$16</x:f>
        <x:v>Torque N-m</x:v>
      </x:c>
      <x:c r="D5" s="34" t="str">
        <x:f>"Sinusoidal limit "&amp;'Unit Map'!$H$14</x:f>
        <x:v>Sinusoidal limit N</x:v>
      </x:c>
      <x:c r="E5" s="34" t="str">
        <x:f>"Helical limit "&amp;'Unit Map'!$H$14</x:f>
        <x:v>Helical limit N</x:v>
      </x:c>
      <x:c r="F5" s="34" t="str">
        <x:f>"Axial margin "&amp;'Unit Map'!$H$14</x:f>
        <x:v>Axial margin N</x:v>
      </x:c>
      <x:c r="G5" s="34" t="str">
        <x:v>Buckling status</x:v>
      </x:c>
      <x:c r="H5" s="34" t="str">
        <x:v>Record ID</x:v>
      </x:c>
      <x:c r="I5" s="32"/>
      <x:c r="J5" s="32"/>
      <x:c r="K5" s="32"/>
      <x:c r="L5" s="32"/>
      <x:c r="M5" s="32"/>
      <x:c r="N5" s="32"/>
    </x:row>
    <x:row r="6">
      <x:c r="A6" s="35" t="n">
        <x:f>'ALL'!A6</x:f>
        <x:v>0</x:v>
      </x:c>
      <x:c r="B6" s="35" t="n">
        <x:f>'ALL'!F6</x:f>
        <x:v>120000</x:v>
      </x:c>
      <x:c r="C6" s="35" t="n">
        <x:f>'ALL'!J6</x:f>
        <x:v>28600.000000000004</x:v>
      </x:c>
      <x:c r="D6" s="35" t="n">
        <x:f>'ALL'!K6</x:f>
        <x:v>0</x:v>
      </x:c>
      <x:c r="E6" s="35" t="n">
        <x:f>'ALL'!L6</x:f>
        <x:v>0</x:v>
      </x:c>
      <x:c r="F6" s="35" t="n">
        <x:f>B6-E6</x:f>
        <x:v>120000</x:v>
      </x:c>
      <x:c r="G6" s="35" t="str">
        <x:f>'ALL'!M6</x:f>
        <x:v>PASS</x:v>
      </x:c>
      <x:c r="H6" s="35" t="str">
        <x:f>'ALL'!N6</x:f>
        <x:v>survey-000</x:v>
      </x:c>
      <x:c r="I6" s="32"/>
      <x:c r="J6" s="32"/>
      <x:c r="K6" s="32"/>
      <x:c r="L6" s="32"/>
      <x:c r="M6" s="32"/>
      <x:c r="N6" s="32"/>
    </x:row>
    <x:row r="7">
      <x:c r="A7" s="35" t="n">
        <x:f>'ALL'!A7</x:f>
        <x:v>155.10875760000002</x:v>
      </x:c>
      <x:c r="B7" s="35" t="n">
        <x:f>'ALL'!F7</x:f>
        <x:v>154369.6247643189</x:v>
      </x:c>
      <x:c r="C7" s="35" t="n">
        <x:f>'ALL'!J7</x:f>
        <x:v>28609.814667861745</x:v>
      </x:c>
      <x:c r="D7" s="35" t="n">
        <x:f>'ALL'!K7</x:f>
        <x:v>3045.9878423456744</x:v>
      </x:c>
      <x:c r="E7" s="35" t="n">
        <x:f>'ALL'!L7</x:f>
        <x:v>6091.975684691349</x:v>
      </x:c>
      <x:c r="F7" s="35" t="n">
        <x:f>B7-E7</x:f>
        <x:v>148277.64907962756</x:v>
      </x:c>
      <x:c r="G7" s="35" t="str">
        <x:f>'ALL'!M7</x:f>
        <x:v>PASS</x:v>
      </x:c>
      <x:c r="H7" s="35" t="str">
        <x:f>'ALL'!N7</x:f>
        <x:v>survey-001</x:v>
      </x:c>
      <x:c r="I7" s="32"/>
      <x:c r="J7" s="32"/>
      <x:c r="K7" s="32"/>
      <x:c r="L7" s="32"/>
      <x:c r="M7" s="32"/>
      <x:c r="N7" s="32"/>
    </x:row>
    <x:row r="8">
      <x:c r="A8" s="35" t="n">
        <x:f>'ALL'!A8</x:f>
        <x:v>307.974492</x:v>
      </x:c>
      <x:c r="B8" s="35" t="n">
        <x:f>'ALL'!F8</x:f>
        <x:v>188295.53791614895</x:v>
      </x:c>
      <x:c r="C8" s="35" t="n">
        <x:f>'ALL'!J8</x:f>
        <x:v>28602.225816774866</x:v>
      </x:c>
      <x:c r="D8" s="35" t="n">
        <x:f>'ALL'!K8</x:f>
        <x:v>1461.161274893059</x:v>
      </x:c>
      <x:c r="E8" s="35" t="n">
        <x:f>'ALL'!L8</x:f>
        <x:v>2922.322549786118</x:v>
      </x:c>
      <x:c r="F8" s="35" t="n">
        <x:f>B8-E8</x:f>
        <x:v>185373.21536636283</x:v>
      </x:c>
      <x:c r="G8" s="35" t="str">
        <x:f>'ALL'!M8</x:f>
        <x:v>PASS</x:v>
      </x:c>
      <x:c r="H8" s="35" t="str">
        <x:f>'ALL'!N8</x:f>
        <x:v>survey-002</x:v>
      </x:c>
      <x:c r="I8" s="32"/>
      <x:c r="J8" s="32"/>
      <x:c r="K8" s="32"/>
      <x:c r="L8" s="32"/>
      <x:c r="M8" s="32"/>
      <x:c r="N8" s="32"/>
    </x:row>
    <x:row r="9">
      <x:c r="A9" s="35" t="n">
        <x:f>'ALL'!A9</x:f>
        <x:v>460.2227016</x:v>
      </x:c>
      <x:c r="B9" s="35" t="n">
        <x:f>'ALL'!F9</x:f>
        <x:v>222078.4629496525</x:v>
      </x:c>
      <x:c r="C9" s="35" t="n">
        <x:f>'ALL'!J9</x:f>
        <x:v>28603.046523089306</x:v>
      </x:c>
      <x:c r="D9" s="35" t="n">
        <x:f>'ALL'!K9</x:f>
        <x:v>1712.910460216405</x:v>
      </x:c>
      <x:c r="E9" s="35" t="n">
        <x:f>'ALL'!L9</x:f>
        <x:v>3425.82092043281</x:v>
      </x:c>
      <x:c r="F9" s="35" t="n">
        <x:f>B9-E9</x:f>
        <x:v>218652.64202921969</x:v>
      </x:c>
      <x:c r="G9" s="35" t="str">
        <x:f>'ALL'!M9</x:f>
        <x:v>PASS</x:v>
      </x:c>
      <x:c r="H9" s="35" t="str">
        <x:f>'ALL'!N9</x:f>
        <x:v>survey-003</x:v>
      </x:c>
      <x:c r="I9" s="32"/>
      <x:c r="J9" s="32"/>
      <x:c r="K9" s="32"/>
      <x:c r="L9" s="32"/>
      <x:c r="M9" s="32"/>
      <x:c r="N9" s="32"/>
    </x:row>
    <x:row r="10">
      <x:c r="A10" s="35" t="n">
        <x:f>'ALL'!A10</x:f>
        <x:v>611.9649432</x:v>
      </x:c>
      <x:c r="B10" s="35" t="n">
        <x:f>'ALL'!F10</x:f>
        <x:v>255741.63319933537</x:v>
      </x:c>
      <x:c r="C10" s="35" t="n">
        <x:f>'ALL'!J10</x:f>
        <x:v>28604.081864545922</x:v>
      </x:c>
      <x:c r="D10" s="35" t="n">
        <x:f>'ALL'!K10</x:f>
        <x:v>1986.0243471491665</x:v>
      </x:c>
      <x:c r="E10" s="35" t="n">
        <x:f>'ALL'!L10</x:f>
        <x:v>3972.048694298333</x:v>
      </x:c>
      <x:c r="F10" s="35" t="n">
        <x:f>B10-E10</x:f>
        <x:v>251769.58450503703</x:v>
      </x:c>
      <x:c r="G10" s="35" t="str">
        <x:f>'ALL'!M10</x:f>
        <x:v>PASS</x:v>
      </x:c>
      <x:c r="H10" s="35" t="str">
        <x:f>'ALL'!N10</x:f>
        <x:v>survey-004</x:v>
      </x:c>
      <x:c r="I10" s="32"/>
      <x:c r="J10" s="32"/>
      <x:c r="K10" s="32"/>
      <x:c r="L10" s="32"/>
      <x:c r="M10" s="32"/>
      <x:c r="N10" s="32"/>
    </x:row>
    <x:row r="11">
      <x:c r="A11" s="35" t="n">
        <x:f>'ALL'!A11</x:f>
        <x:v>763.5706344</x:v>
      </x:c>
      <x:c r="B11" s="35" t="n">
        <x:f>'ALL'!F11</x:f>
        <x:v>289363.3695426456</x:v>
      </x:c>
      <x:c r="C11" s="35" t="n">
        <x:f>'ALL'!J11</x:f>
        <x:v>28605.634583660325</x:v>
      </x:c>
      <x:c r="D11" s="35" t="n">
        <x:f>'ALL'!K11</x:f>
        <x:v>2334.434457092405</x:v>
      </x:c>
      <x:c r="E11" s="35" t="n">
        <x:f>'ALL'!L11</x:f>
        <x:v>4668.86891418481</x:v>
      </x:c>
      <x:c r="F11" s="35" t="n">
        <x:f>B11-E11</x:f>
        <x:v>284694.5006284608</x:v>
      </x:c>
      <x:c r="G11" s="35" t="str">
        <x:f>'ALL'!M11</x:f>
        <x:v>PASS</x:v>
      </x:c>
      <x:c r="H11" s="35" t="str">
        <x:f>'ALL'!N11</x:f>
        <x:v>survey-005</x:v>
      </x:c>
      <x:c r="I11" s="32"/>
      <x:c r="J11" s="32"/>
      <x:c r="K11" s="32"/>
      <x:c r="L11" s="32"/>
      <x:c r="M11" s="32"/>
      <x:c r="N11" s="32"/>
    </x:row>
    <x:row r="12">
      <x:c r="A12" s="35" t="n">
        <x:f>'ALL'!A12</x:f>
        <x:v>915.4786872000001</x:v>
      </x:c>
      <x:c r="B12" s="35" t="n">
        <x:f>'ALL'!F12</x:f>
        <x:v>323083.07275547064</x:v>
      </x:c>
      <x:c r="C12" s="35" t="n">
        <x:f>'ALL'!J12</x:f>
        <x:v>28601.327435259216</x:v>
      </x:c>
      <x:c r="D12" s="35" t="n">
        <x:f>'ALL'!K12</x:f>
        <x:v>1131.943624491696</x:v>
      </x:c>
      <x:c r="E12" s="35" t="n">
        <x:f>'ALL'!L12</x:f>
        <x:v>2263.887248983392</x:v>
      </x:c>
      <x:c r="F12" s="35" t="n">
        <x:f>B12-E12</x:f>
        <x:v>320819.18550648727</x:v>
      </x:c>
      <x:c r="G12" s="35" t="str">
        <x:f>'ALL'!M12</x:f>
        <x:v>PASS</x:v>
      </x:c>
      <x:c r="H12" s="35" t="str">
        <x:f>'ALL'!N12</x:f>
        <x:v>survey-006</x:v>
      </x:c>
      <x:c r="I12" s="32"/>
      <x:c r="J12" s="32"/>
      <x:c r="K12" s="32"/>
      <x:c r="L12" s="32"/>
      <x:c r="M12" s="32"/>
      <x:c r="N12" s="32"/>
    </x:row>
    <x:row r="13">
      <x:c r="A13" s="35" t="n">
        <x:f>'ALL'!A13</x:f>
        <x:v>1067.9740896</x:v>
      </x:c>
      <x:c r="B13" s="35" t="n">
        <x:f>'ALL'!F13</x:f>
        <x:v>356915.17598741263</x:v>
      </x:c>
      <x:c r="C13" s="35" t="n">
        <x:f>'ALL'!J13</x:f>
        <x:v>28603.843894969134</x:v>
      </x:c>
      <x:c r="D13" s="35" t="n">
        <x:f>'ALL'!K13</x:f>
        <x:v>1922.4980265136417</x:v>
      </x:c>
      <x:c r="E13" s="35" t="n">
        <x:f>'ALL'!L13</x:f>
        <x:v>3844.9960530272833</x:v>
      </x:c>
      <x:c r="F13" s="35" t="n">
        <x:f>B13-E13</x:f>
        <x:v>353070.17993438535</x:v>
      </x:c>
      <x:c r="G13" s="35" t="str">
        <x:f>'ALL'!M13</x:f>
        <x:v>PASS</x:v>
      </x:c>
      <x:c r="H13" s="35" t="str">
        <x:f>'ALL'!N13</x:f>
        <x:v>survey-007</x:v>
      </x:c>
      <x:c r="I13" s="32"/>
      <x:c r="J13" s="32"/>
      <x:c r="K13" s="32"/>
      <x:c r="L13" s="32"/>
      <x:c r="M13" s="32"/>
      <x:c r="N13" s="32"/>
    </x:row>
    <x:row r="14">
      <x:c r="A14" s="35" t="n">
        <x:f>'ALL'!A14</x:f>
        <x:v>1221.042516</x:v>
      </x:c>
      <x:c r="B14" s="35" t="n">
        <x:f>'ALL'!F14</x:f>
        <x:v>390887.50027428183</x:v>
      </x:c>
      <x:c r="C14" s="35" t="n">
        <x:f>'ALL'!J14</x:f>
        <x:v>28602.029396406087</x:v>
      </x:c>
      <x:c r="D14" s="35" t="n">
        <x:f>'ALL'!K14</x:f>
        <x:v>1394.2772985072377</x:v>
      </x:c>
      <x:c r="E14" s="35" t="n">
        <x:f>'ALL'!L14</x:f>
        <x:v>2788.5545970144753</x:v>
      </x:c>
      <x:c r="F14" s="35" t="n">
        <x:f>B14-E14</x:f>
        <x:v>388098.94567726733</x:v>
      </x:c>
      <x:c r="G14" s="35" t="str">
        <x:f>'ALL'!M14</x:f>
        <x:v>PASS</x:v>
      </x:c>
      <x:c r="H14" s="35" t="str">
        <x:f>'ALL'!N14</x:f>
        <x:v>survey-008</x:v>
      </x:c>
      <x:c r="I14" s="32"/>
      <x:c r="J14" s="32"/>
      <x:c r="K14" s="32"/>
      <x:c r="L14" s="32"/>
      <x:c r="M14" s="32"/>
      <x:c r="N14" s="32"/>
    </x:row>
    <x:row r="15">
      <x:c r="A15" s="35" t="n">
        <x:f>'ALL'!A15</x:f>
        <x:v>1374.3773376000001</x:v>
      </x:c>
      <x:c r="B15" s="35" t="n">
        <x:f>'ALL'!F15</x:f>
        <x:v>424896.5556028249</x:v>
      </x:c>
      <x:c r="C15" s="35" t="n">
        <x:f>'ALL'!J15</x:f>
        <x:v>28605.16126699926</x:v>
      </x:c>
      <x:c r="D15" s="35" t="n">
        <x:f>'ALL'!K15</x:f>
        <x:v>2221.60215796265</x:v>
      </x:c>
      <x:c r="E15" s="35" t="n">
        <x:f>'ALL'!L15</x:f>
        <x:v>4443.2043159253</x:v>
      </x:c>
      <x:c r="F15" s="35" t="n">
        <x:f>B15-E15</x:f>
        <x:v>420453.3512868996</x:v>
      </x:c>
      <x:c r="G15" s="35" t="str">
        <x:f>'ALL'!M15</x:f>
        <x:v>PASS</x:v>
      </x:c>
      <x:c r="H15" s="35" t="str">
        <x:f>'ALL'!N15</x:f>
        <x:v>survey-009</x:v>
      </x:c>
      <x:c r="I15" s="32"/>
      <x:c r="J15" s="32"/>
      <x:c r="K15" s="32"/>
      <x:c r="L15" s="32"/>
      <x:c r="M15" s="32"/>
      <x:c r="N15" s="32"/>
    </x:row>
    <x:row r="16">
      <x:c r="A16" s="35" t="n">
        <x:f>'ALL'!A16</x:f>
        <x:v>1527.5362896000001</x:v>
      </x:c>
      <x:c r="B16" s="35" t="n">
        <x:f>'ALL'!F16</x:f>
        <x:v>458900.33700830623</x:v>
      </x:c>
      <x:c r="C16" s="35" t="n">
        <x:f>'ALL'!J16</x:f>
        <x:v>28600.442811241654</x:v>
      </x:c>
      <x:c r="D16" s="35" t="n">
        <x:f>'ALL'!K16</x:f>
        <x:v>651.098429003259</x:v>
      </x:c>
      <x:c r="E16" s="35" t="n">
        <x:f>'ALL'!L16</x:f>
        <x:v>1302.196858006518</x:v>
      </x:c>
      <x:c r="F16" s="35" t="n">
        <x:f>B16-E16</x:f>
        <x:v>457598.1401502997</x:v>
      </x:c>
      <x:c r="G16" s="35" t="str">
        <x:f>'ALL'!M16</x:f>
        <x:v>PASS</x:v>
      </x:c>
      <x:c r="H16" s="35" t="str">
        <x:f>'ALL'!N16</x:f>
        <x:v>survey-010</x:v>
      </x:c>
      <x:c r="I16" s="32"/>
      <x:c r="J16" s="32"/>
      <x:c r="K16" s="32"/>
      <x:c r="L16" s="32"/>
      <x:c r="M16" s="32"/>
      <x:c r="N16" s="32"/>
    </x:row>
    <x:row r="17">
      <x:c r="A17" s="35" t="n">
        <x:f>'ALL'!A17</x:f>
        <x:v>1565.8667184</x:v>
      </x:c>
      <x:c r="B17" s="35" t="n">
        <x:f>'ALL'!F17</x:f>
        <x:v>467010.8206480392</x:v>
      </x:c>
      <x:c r="C17" s="35" t="n">
        <x:f>'ALL'!J17</x:f>
        <x:v>28655.920374194855</x:v>
      </x:c>
      <x:c r="D17" s="35" t="n">
        <x:f>'ALL'!K17</x:f>
        <x:v>14625.870276492271</x:v>
      </x:c>
      <x:c r="E17" s="35" t="n">
        <x:f>'ALL'!L17</x:f>
        <x:v>29251.740552984542</x:v>
      </x:c>
      <x:c r="F17" s="35" t="n">
        <x:f>B17-E17</x:f>
        <x:v>437759.0800950547</x:v>
      </x:c>
      <x:c r="G17" s="35" t="str">
        <x:f>'ALL'!M17</x:f>
        <x:v>PASS</x:v>
      </x:c>
      <x:c r="H17" s="35" t="str">
        <x:f>'ALL'!N17</x:f>
        <x:v>survey-011</x:v>
      </x:c>
      <x:c r="I17" s="32"/>
      <x:c r="J17" s="32"/>
      <x:c r="K17" s="32"/>
      <x:c r="L17" s="32"/>
      <x:c r="M17" s="32"/>
      <x:c r="N17" s="32"/>
    </x:row>
    <x:row r="18">
      <x:c r="A18" s="35" t="n">
        <x:f>'ALL'!A18</x:f>
        <x:v>1603.5857184000001</x:v>
      </x:c>
      <x:c r="B18" s="35" t="n">
        <x:f>'ALL'!F18</x:f>
        <x:v>475023.9437135505</x:v>
      </x:c>
      <x:c r="C18" s="35" t="n">
        <x:f>'ALL'!J18</x:f>
        <x:v>28650.556001776695</x:v>
      </x:c>
      <x:c r="D18" s="35" t="n">
        <x:f>'ALL'!K18</x:f>
        <x:v>14018.927722546516</x:v>
      </x:c>
      <x:c r="E18" s="35" t="n">
        <x:f>'ALL'!L18</x:f>
        <x:v>28037.85544509303</x:v>
      </x:c>
      <x:c r="F18" s="35" t="n">
        <x:f>B18-E18</x:f>
        <x:v>446986.0882684575</x:v>
      </x:c>
      <x:c r="G18" s="35" t="str">
        <x:f>'ALL'!M18</x:f>
        <x:v>PASS</x:v>
      </x:c>
      <x:c r="H18" s="35" t="str">
        <x:f>'ALL'!N18</x:f>
        <x:v>survey-012</x:v>
      </x:c>
      <x:c r="I18" s="32"/>
      <x:c r="J18" s="32"/>
      <x:c r="K18" s="32"/>
      <x:c r="L18" s="32"/>
      <x:c r="M18" s="32"/>
      <x:c r="N18" s="32"/>
    </x:row>
    <x:row r="19">
      <x:c r="A19" s="35" t="n">
        <x:f>'ALL'!A19</x:f>
        <x:v>1640.9209752000002</x:v>
      </x:c>
      <x:c r="B19" s="35" t="n">
        <x:f>'ALL'!F19</x:f>
        <x:v>482983.18016497383</x:v>
      </x:c>
      <x:c r="C19" s="35" t="n">
        <x:f>'ALL'!J19</x:f>
        <x:v>28646.180797957255</x:v>
      </x:c>
      <x:c r="D19" s="35" t="n">
        <x:f>'ALL'!K19</x:f>
        <x:v>13467.273080777122</x:v>
      </x:c>
      <x:c r="E19" s="35" t="n">
        <x:f>'ALL'!L19</x:f>
        <x:v>26934.546161554244</x:v>
      </x:c>
      <x:c r="F19" s="35" t="n">
        <x:f>B19-E19</x:f>
        <x:v>456048.6340034196</x:v>
      </x:c>
      <x:c r="G19" s="35" t="str">
        <x:f>'ALL'!M19</x:f>
        <x:v>PASS</x:v>
      </x:c>
      <x:c r="H19" s="35" t="str">
        <x:f>'ALL'!N19</x:f>
        <x:v>survey-013</x:v>
      </x:c>
      <x:c r="I19" s="32"/>
      <x:c r="J19" s="32"/>
      <x:c r="K19" s="32"/>
      <x:c r="L19" s="32"/>
      <x:c r="M19" s="32"/>
      <x:c r="N19" s="32"/>
    </x:row>
    <x:row r="20">
      <x:c r="A20" s="35" t="n">
        <x:f>'ALL'!A20</x:f>
        <x:v>1678.2970752</x:v>
      </x:c>
      <x:c r="B20" s="35" t="n">
        <x:f>'ALL'!F20</x:f>
        <x:v>490967.14040348405</x:v>
      </x:c>
      <x:c r="C20" s="35" t="n">
        <x:f>'ALL'!J20</x:f>
        <x:v>28643.99378239939</x:v>
      </x:c>
      <x:c r="D20" s="35" t="n">
        <x:f>'ALL'!K20</x:f>
        <x:v>13137.332179016305</x:v>
      </x:c>
      <x:c r="E20" s="35" t="n">
        <x:f>'ALL'!L20</x:f>
        <x:v>26274.66435803261</x:v>
      </x:c>
      <x:c r="F20" s="35" t="n">
        <x:f>B20-E20</x:f>
        <x:v>464692.4760454514</x:v>
      </x:c>
      <x:c r="G20" s="35" t="str">
        <x:f>'ALL'!M20</x:f>
        <x:v>PASS</x:v>
      </x:c>
      <x:c r="H20" s="35" t="str">
        <x:f>'ALL'!N20</x:f>
        <x:v>survey-014</x:v>
      </x:c>
      <x:c r="I20" s="32"/>
      <x:c r="J20" s="32"/>
      <x:c r="K20" s="32"/>
      <x:c r="L20" s="32"/>
      <x:c r="M20" s="32"/>
      <x:c r="N20" s="32"/>
    </x:row>
    <x:row r="21">
      <x:c r="A21" s="35" t="n">
        <x:f>'ALL'!A21</x:f>
        <x:v>1716.1166592000002</x:v>
      </x:c>
      <x:c r="B21" s="35" t="n">
        <x:f>'ALL'!F21</x:f>
        <x:v>499038.4189947745</x:v>
      </x:c>
      <x:c r="C21" s="35" t="n">
        <x:f>'ALL'!J21</x:f>
        <x:v>28645.55164627609</x:v>
      </x:c>
      <x:c r="D21" s="35" t="n">
        <x:f>'ALL'!K21</x:f>
        <x:v>13289.302478170144</x:v>
      </x:c>
      <x:c r="E21" s="35" t="n">
        <x:f>'ALL'!L21</x:f>
        <x:v>26578.60495634029</x:v>
      </x:c>
      <x:c r="F21" s="35" t="n">
        <x:f>B21-E21</x:f>
        <x:v>472459.81403843424</x:v>
      </x:c>
      <x:c r="G21" s="35" t="str">
        <x:f>'ALL'!M21</x:f>
        <x:v>PASS</x:v>
      </x:c>
      <x:c r="H21" s="35" t="str">
        <x:f>'ALL'!N21</x:f>
        <x:v>survey-015</x:v>
      </x:c>
      <x:c r="I21" s="32"/>
      <x:c r="J21" s="32"/>
      <x:c r="K21" s="32"/>
      <x:c r="L21" s="32"/>
      <x:c r="M21" s="32"/>
      <x:c r="N21" s="32"/>
    </x:row>
    <x:row r="22">
      <x:c r="A22" s="35" t="n">
        <x:f>'ALL'!A22</x:f>
        <x:v>1754.5571208000001</x:v>
      </x:c>
      <x:c r="B22" s="35" t="n">
        <x:f>'ALL'!F22</x:f>
        <x:v>507214.75489862217</x:v>
      </x:c>
      <x:c r="C22" s="35" t="n">
        <x:f>'ALL'!J22</x:f>
        <x:v>28650.133872575967</x:v>
      </x:c>
      <x:c r="D22" s="35" t="n">
        <x:f>'ALL'!K22</x:f>
        <x:v>13828.652103940169</x:v>
      </x:c>
      <x:c r="E22" s="35" t="n">
        <x:f>'ALL'!L22</x:f>
        <x:v>27657.304207880337</x:v>
      </x:c>
      <x:c r="F22" s="35" t="n">
        <x:f>B22-E22</x:f>
        <x:v>479557.4506907418</x:v>
      </x:c>
      <x:c r="G22" s="35" t="str">
        <x:f>'ALL'!M22</x:f>
        <x:v>PASS</x:v>
      </x:c>
      <x:c r="H22" s="35" t="str">
        <x:f>'ALL'!N22</x:f>
        <x:v>survey-016</x:v>
      </x:c>
      <x:c r="I22" s="32"/>
      <x:c r="J22" s="32"/>
      <x:c r="K22" s="32"/>
      <x:c r="L22" s="32"/>
      <x:c r="M22" s="32"/>
      <x:c r="N22" s="32"/>
    </x:row>
    <x:row r="23">
      <x:c r="A23" s="35" t="n">
        <x:f>'ALL'!A23</x:f>
        <x:v>1793.4788616</x:v>
      </x:c>
      <x:c r="B23" s="35" t="n">
        <x:f>'ALL'!F23</x:f>
        <x:v>515462.2266916272</x:v>
      </x:c>
      <x:c r="C23" s="35" t="n">
        <x:f>'ALL'!J23</x:f>
        <x:v>28655.12477952955</x:v>
      </x:c>
      <x:c r="D23" s="35" t="n">
        <x:f>'ALL'!K23</x:f>
        <x:v>14410.724855994376</x:v>
      </x:c>
      <x:c r="E23" s="35" t="n">
        <x:f>'ALL'!L23</x:f>
        <x:v>28821.449711988753</x:v>
      </x:c>
      <x:c r="F23" s="35" t="n">
        <x:f>B23-E23</x:f>
        <x:v>486640.77697963844</x:v>
      </x:c>
      <x:c r="G23" s="35" t="str">
        <x:f>'ALL'!M23</x:f>
        <x:v>PASS</x:v>
      </x:c>
      <x:c r="H23" s="35" t="str">
        <x:f>'ALL'!N23</x:f>
        <x:v>survey-017</x:v>
      </x:c>
      <x:c r="I23" s="32"/>
      <x:c r="J23" s="32"/>
      <x:c r="K23" s="32"/>
      <x:c r="L23" s="32"/>
      <x:c r="M23" s="32"/>
      <x:c r="N23" s="32"/>
    </x:row>
    <x:row r="24">
      <x:c r="A24" s="35" t="n">
        <x:f>'ALL'!A24</x:f>
        <x:v>1832.4975288000003</x:v>
      </x:c>
      <x:c r="B24" s="35" t="n">
        <x:f>'ALL'!F24</x:f>
        <x:v>523714.4049053724</x:v>
      </x:c>
      <x:c r="C24" s="35" t="n">
        <x:f>'ALL'!J24</x:f>
        <x:v>28657.473810495594</x:v>
      </x:c>
      <x:c r="D24" s="35" t="n">
        <x:f>'ALL'!K24</x:f>
        <x:v>14696.276085690224</x:v>
      </x:c>
      <x:c r="E24" s="35" t="n">
        <x:f>'ALL'!L24</x:f>
        <x:v>29392.55217138045</x:v>
      </x:c>
      <x:c r="F24" s="35" t="n">
        <x:f>B24-E24</x:f>
        <x:v>494321.852733992</x:v>
      </x:c>
      <x:c r="G24" s="35" t="str">
        <x:f>'ALL'!M24</x:f>
        <x:v>PASS</x:v>
      </x:c>
      <x:c r="H24" s="35" t="str">
        <x:f>'ALL'!N24</x:f>
        <x:v>survey-018</x:v>
      </x:c>
      <x:c r="I24" s="32"/>
      <x:c r="J24" s="32"/>
      <x:c r="K24" s="32"/>
      <x:c r="L24" s="32"/>
      <x:c r="M24" s="32"/>
      <x:c r="N24" s="32"/>
    </x:row>
    <x:row r="25">
      <x:c r="A25" s="35" t="n">
        <x:f>'ALL'!A25</x:f>
        <x:v>1871.1787824</x:v>
      </x:c>
      <x:c r="B25" s="35" t="n">
        <x:f>'ALL'!F25</x:f>
        <x:v>531904.7691480203</x:v>
      </x:c>
      <x:c r="C25" s="35" t="n">
        <x:f>'ALL'!J25</x:f>
        <x:v>28655.64313620947</x:v>
      </x:c>
      <x:c r="D25" s="35" t="n">
        <x:f>'ALL'!K25</x:f>
        <x:v>14523.257963276968</x:v>
      </x:c>
      <x:c r="E25" s="35" t="n">
        <x:f>'ALL'!L25</x:f>
        <x:v>29046.515926553937</x:v>
      </x:c>
      <x:c r="F25" s="35" t="n">
        <x:f>B25-E25</x:f>
        <x:v>502858.2532214664</x:v>
      </x:c>
      <x:c r="G25" s="35" t="str">
        <x:f>'ALL'!M25</x:f>
        <x:v>PASS</x:v>
      </x:c>
      <x:c r="H25" s="35" t="str">
        <x:f>'ALL'!N25</x:f>
        <x:v>survey-019</x:v>
      </x:c>
      <x:c r="I25" s="32"/>
      <x:c r="J25" s="32"/>
      <x:c r="K25" s="32"/>
      <x:c r="L25" s="32"/>
      <x:c r="M25" s="32"/>
      <x:c r="N25" s="32"/>
    </x:row>
    <x:row r="26">
      <x:c r="A26" s="35" t="n">
        <x:f>'ALL'!A26</x:f>
        <x:v>1947.3607992000002</x:v>
      </x:c>
      <x:c r="B26" s="35" t="n">
        <x:f>'ALL'!F26</x:f>
        <x:v>548553.5110684601</x:v>
      </x:c>
      <x:c r="C26" s="35" t="n">
        <x:f>'ALL'!J26</x:f>
        <x:v>28637.227676048366</x:v>
      </x:c>
      <x:c r="D26" s="35" t="n">
        <x:f>'ALL'!K26</x:f>
        <x:v>8464.771745150709</x:v>
      </x:c>
      <x:c r="E26" s="35" t="n">
        <x:f>'ALL'!L26</x:f>
        <x:v>16929.543490301417</x:v>
      </x:c>
      <x:c r="F26" s="35" t="n">
        <x:f>B26-E26</x:f>
        <x:v>531623.9675781586</x:v>
      </x:c>
      <x:c r="G26" s="35" t="str">
        <x:f>'ALL'!M26</x:f>
        <x:v>PASS</x:v>
      </x:c>
      <x:c r="H26" s="35" t="str">
        <x:f>'ALL'!N26</x:f>
        <x:v>survey-020</x:v>
      </x:c>
      <x:c r="I26" s="32"/>
      <x:c r="J26" s="32"/>
      <x:c r="K26" s="32"/>
      <x:c r="L26" s="32"/>
      <x:c r="M26" s="32"/>
      <x:c r="N26" s="32"/>
    </x:row>
    <x:row r="27">
      <x:c r="A27" s="35" t="n">
        <x:f>'ALL'!A27</x:f>
        <x:v>2022.9868608</x:v>
      </x:c>
      <x:c r="B27" s="35" t="n">
        <x:f>'ALL'!F27</x:f>
        <x:v>565177.7735507294</x:v>
      </x:c>
      <x:c r="C27" s="35" t="n">
        <x:f>'ALL'!J27</x:f>
        <x:v>28623.402520451196</x:v>
      </x:c>
      <x:c r="D27" s="35" t="n">
        <x:f>'ALL'!K27</x:f>
        <x:v>6736.03129578184</x:v>
      </x:c>
      <x:c r="E27" s="35" t="n">
        <x:f>'ALL'!L27</x:f>
        <x:v>13472.06259156368</x:v>
      </x:c>
      <x:c r="F27" s="35" t="n">
        <x:f>B27-E27</x:f>
        <x:v>551705.7109591657</x:v>
      </x:c>
      <x:c r="G27" s="35" t="str">
        <x:f>'ALL'!M27</x:f>
        <x:v>PASS</x:v>
      </x:c>
      <x:c r="H27" s="35" t="str">
        <x:f>'ALL'!N27</x:f>
        <x:v>survey-021</x:v>
      </x:c>
      <x:c r="I27" s="32"/>
      <x:c r="J27" s="32"/>
      <x:c r="K27" s="32"/>
      <x:c r="L27" s="32"/>
      <x:c r="M27" s="32"/>
      <x:c r="N27" s="32"/>
    </x:row>
    <x:row r="28">
      <x:c r="A28" s="35" t="n">
        <x:f>'ALL'!A28</x:f>
        <x:v>2098.3837128</x:v>
      </x:c>
      <x:c r="B28" s="35" t="n">
        <x:f>'ALL'!F28</x:f>
        <x:v>581757.977354576</x:v>
      </x:c>
      <x:c r="C28" s="35" t="n">
        <x:f>'ALL'!J28</x:f>
        <x:v>28622.447764702734</x:v>
      </x:c>
      <x:c r="D28" s="35" t="n">
        <x:f>'ALL'!K28</x:f>
        <x:v>6607.2154035717995</x:v>
      </x:c>
      <x:c r="E28" s="35" t="n">
        <x:f>'ALL'!L28</x:f>
        <x:v>13214.430807143599</x:v>
      </x:c>
      <x:c r="F28" s="35" t="n">
        <x:f>B28-E28</x:f>
        <x:v>568543.5465474324</x:v>
      </x:c>
      <x:c r="G28" s="35" t="str">
        <x:f>'ALL'!M28</x:f>
        <x:v>PASS</x:v>
      </x:c>
      <x:c r="H28" s="35" t="str">
        <x:f>'ALL'!N28</x:f>
        <x:v>survey-022</x:v>
      </x:c>
      <x:c r="I28" s="32"/>
      <x:c r="J28" s="32"/>
      <x:c r="K28" s="32"/>
      <x:c r="L28" s="32"/>
      <x:c r="M28" s="32"/>
      <x:c r="N28" s="32"/>
    </x:row>
    <x:row r="29">
      <x:c r="A29" s="35" t="n">
        <x:f>'ALL'!A29</x:f>
        <x:v>2173.9945344000002</x:v>
      </x:c>
      <x:c r="B29" s="35" t="n">
        <x:f>'ALL'!F29</x:f>
        <x:v>598394.2715607802</x:v>
      </x:c>
      <x:c r="C29" s="35" t="n">
        <x:f>'ALL'!J29</x:f>
        <x:v>28621.24896567042</x:v>
      </x:c>
      <x:c r="D29" s="35" t="n">
        <x:f>'ALL'!K29</x:f>
        <x:v>6419.267007502434</x:v>
      </x:c>
      <x:c r="E29" s="35" t="n">
        <x:f>'ALL'!L29</x:f>
        <x:v>12838.534015004869</x:v>
      </x:c>
      <x:c r="F29" s="35" t="n">
        <x:f>B29-E29</x:f>
        <x:v>585555.7375457754</x:v>
      </x:c>
      <x:c r="G29" s="35" t="str">
        <x:f>'ALL'!M29</x:f>
        <x:v>PASS</x:v>
      </x:c>
      <x:c r="H29" s="35" t="str">
        <x:f>'ALL'!N29</x:f>
        <x:v>survey-023</x:v>
      </x:c>
      <x:c r="I29" s="32"/>
      <x:c r="J29" s="32"/>
      <x:c r="K29" s="32"/>
      <x:c r="L29" s="32"/>
      <x:c r="M29" s="32"/>
      <x:c r="N29" s="32"/>
    </x:row>
    <x:row r="30">
      <x:c r="A30" s="35" t="n">
        <x:f>'ALL'!A30</x:f>
        <x:v>2250.1543008</x:v>
      </x:c>
      <x:c r="B30" s="35" t="n">
        <x:f>'ALL'!F30</x:f>
        <x:v>615162.8034411283</x:v>
      </x:c>
      <x:c r="C30" s="35" t="n">
        <x:f>'ALL'!J30</x:f>
        <x:v>28619.802843146415</x:v>
      </x:c>
      <x:c r="D30" s="35" t="n">
        <x:f>'ALL'!K30</x:f>
        <x:v>6174.609456279386</x:v>
      </x:c>
      <x:c r="E30" s="35" t="n">
        <x:f>'ALL'!L30</x:f>
        <x:v>12349.218912558772</x:v>
      </x:c>
      <x:c r="F30" s="35" t="n">
        <x:f>B30-E30</x:f>
        <x:v>602813.5845285696</x:v>
      </x:c>
      <x:c r="G30" s="35" t="str">
        <x:f>'ALL'!M30</x:f>
        <x:v>PASS</x:v>
      </x:c>
      <x:c r="H30" s="35" t="str">
        <x:f>'ALL'!N30</x:f>
        <x:v>survey-024</x:v>
      </x:c>
      <x:c r="I30" s="32"/>
      <x:c r="J30" s="32"/>
      <x:c r="K30" s="32"/>
      <x:c r="L30" s="32"/>
      <x:c r="M30" s="32"/>
      <x:c r="N30" s="32"/>
    </x:row>
    <x:row r="31">
      <x:c r="A31" s="35" t="n">
        <x:f>'ALL'!A31</x:f>
        <x:v>2326.9172664000002</x:v>
      </x:c>
      <x:c r="B31" s="35" t="n">
        <x:f>'ALL'!F31</x:f>
        <x:v>632077.6149666572</x:v>
      </x:c>
      <x:c r="C31" s="35" t="n">
        <x:f>'ALL'!J31</x:f>
        <x:v>28618.07795096018</x:v>
      </x:c>
      <x:c r="D31" s="35" t="n">
        <x:f>'ALL'!K31</x:f>
        <x:v>5876.344539699765</x:v>
      </x:c>
      <x:c r="E31" s="35" t="n">
        <x:f>'ALL'!L31</x:f>
        <x:v>11752.68907939953</x:v>
      </x:c>
      <x:c r="F31" s="35" t="n">
        <x:f>B31-E31</x:f>
        <x:v>620324.9258872577</x:v>
      </x:c>
      <x:c r="G31" s="35" t="str">
        <x:f>'ALL'!M31</x:f>
        <x:v>PASS</x:v>
      </x:c>
      <x:c r="H31" s="35" t="str">
        <x:f>'ALL'!N31</x:f>
        <x:v>survey-025</x:v>
      </x:c>
      <x:c r="I31" s="32"/>
      <x:c r="J31" s="32"/>
      <x:c r="K31" s="32"/>
      <x:c r="L31" s="32"/>
      <x:c r="M31" s="32"/>
      <x:c r="N31" s="32"/>
    </x:row>
    <x:row r="32">
      <x:c r="A32" s="35" t="n">
        <x:f>'ALL'!A32</x:f>
        <x:v>2404.030752</x:v>
      </x:c>
      <x:c r="B32" s="35" t="n">
        <x:f>'ALL'!F32</x:f>
        <x:v>649084.5607830377</x:v>
      </x:c>
      <x:c r="C32" s="35" t="n">
        <x:f>'ALL'!J32</x:f>
        <x:v>28616.079418311117</x:v>
      </x:c>
      <x:c r="D32" s="35" t="n">
        <x:f>'ALL'!K32</x:f>
        <x:v>5529.406533740687</x:v>
      </x:c>
      <x:c r="E32" s="35" t="n">
        <x:f>'ALL'!L32</x:f>
        <x:v>11058.813067481375</x:v>
      </x:c>
      <x:c r="F32" s="35" t="n">
        <x:f>B32-E32</x:f>
        <x:v>638025.7477155563</x:v>
      </x:c>
      <x:c r="G32" s="35" t="str">
        <x:f>'ALL'!M32</x:f>
        <x:v>PASS</x:v>
      </x:c>
      <x:c r="H32" s="35" t="str">
        <x:f>'ALL'!N32</x:f>
        <x:v>survey-026</x:v>
      </x:c>
      <x:c r="I32" s="32"/>
      <x:c r="J32" s="32"/>
      <x:c r="K32" s="32"/>
      <x:c r="L32" s="32"/>
      <x:c r="M32" s="32"/>
      <x:c r="N32" s="32"/>
    </x:row>
    <x:row r="33">
      <x:c r="A33" s="35" t="n">
        <x:f>'ALL'!A33</x:f>
        <x:v>2481.0637704</x:v>
      </x:c>
      <x:c r="B33" s="35" t="n">
        <x:f>'ALL'!F33</x:f>
        <x:v>666089.5530951733</x:v>
      </x:c>
      <x:c r="C33" s="35" t="n">
        <x:f>'ALL'!J33</x:f>
        <x:v>28613.856345693515</x:v>
      </x:c>
      <x:c r="D33" s="35" t="n">
        <x:f>'ALL'!K33</x:f>
        <x:v>5135.638179379317</x:v>
      </x:c>
      <x:c r="E33" s="35" t="n">
        <x:f>'ALL'!L33</x:f>
        <x:v>10271.276358758634</x:v>
      </x:c>
      <x:c r="F33" s="35" t="n">
        <x:f>B33-E33</x:f>
        <x:v>655818.2767364146</x:v>
      </x:c>
      <x:c r="G33" s="35" t="str">
        <x:f>'ALL'!M33</x:f>
        <x:v>PASS</x:v>
      </x:c>
      <x:c r="H33" s="35" t="str">
        <x:f>'ALL'!N33</x:f>
        <x:v>survey-027</x:v>
      </x:c>
      <x:c r="I33" s="32"/>
      <x:c r="J33" s="32"/>
      <x:c r="K33" s="32"/>
      <x:c r="L33" s="32"/>
      <x:c r="M33" s="32"/>
      <x:c r="N33" s="32"/>
    </x:row>
    <x:row r="34">
      <x:c r="A34" s="35" t="n">
        <x:f>'ALL'!A34</x:f>
        <x:v>2557.6252632</x:v>
      </x:c>
      <x:c r="B34" s="35" t="n">
        <x:f>'ALL'!F34</x:f>
        <x:v>683006.0673463177</x:v>
      </x:c>
      <x:c r="C34" s="35" t="n">
        <x:f>'ALL'!J34</x:f>
        <x:v>28611.59068283126</x:v>
      </x:c>
      <x:c r="D34" s="35" t="n">
        <x:f>'ALL'!K34</x:f>
        <x:v>4711.485253484027</x:v>
      </x:c>
      <x:c r="E34" s="35" t="n">
        <x:f>'ALL'!L34</x:f>
        <x:v>9422.970506968055</x:v>
      </x:c>
      <x:c r="F34" s="35" t="n">
        <x:f>B34-E34</x:f>
        <x:v>673583.0968393496</x:v>
      </x:c>
      <x:c r="G34" s="35" t="str">
        <x:f>'ALL'!M34</x:f>
        <x:v>PASS</x:v>
      </x:c>
      <x:c r="H34" s="35" t="str">
        <x:f>'ALL'!N34</x:f>
        <x:v>survey-028</x:v>
      </x:c>
      <x:c r="I34" s="32"/>
      <x:c r="J34" s="32"/>
      <x:c r="K34" s="32"/>
      <x:c r="L34" s="32"/>
      <x:c r="M34" s="32"/>
      <x:c r="N34" s="32"/>
    </x:row>
    <x:row r="35">
      <x:c r="A35" s="35" t="n">
        <x:f>'ALL'!A35</x:f>
        <x:v>2633.5658784</x:v>
      </x:c>
      <x:c r="B35" s="35" t="n">
        <x:f>'ALL'!F35</x:f>
        <x:v>699800.3995342111</x:v>
      </x:c>
      <x:c r="C35" s="35" t="n">
        <x:f>'ALL'!J35</x:f>
        <x:v>28609.400784203306</x:v>
      </x:c>
      <x:c r="D35" s="35" t="n">
        <x:f>'ALL'!K35</x:f>
        <x:v>4260.430722586636</x:v>
      </x:c>
      <x:c r="E35" s="35" t="n">
        <x:f>'ALL'!L35</x:f>
        <x:v>8520.861445173272</x:v>
      </x:c>
      <x:c r="F35" s="35" t="n">
        <x:f>B35-E35</x:f>
        <x:v>691279.5380890379</x:v>
      </x:c>
      <x:c r="G35" s="35" t="str">
        <x:f>'ALL'!M35</x:f>
        <x:v>PASS</x:v>
      </x:c>
      <x:c r="H35" s="35" t="str">
        <x:f>'ALL'!N35</x:f>
        <x:v>survey-029</x:v>
      </x:c>
      <x:c r="I35" s="32"/>
      <x:c r="J35" s="32"/>
      <x:c r="K35" s="32"/>
      <x:c r="L35" s="32"/>
      <x:c r="M35" s="32"/>
      <x:c r="N35" s="32"/>
    </x:row>
    <x:row r="36">
      <x:c r="A36" s="35" t="n">
        <x:f>'ALL'!A36</x:f>
        <x:v>2709.0514272</x:v>
      </x:c>
      <x:c r="B36" s="35" t="n">
        <x:f>'ALL'!F36</x:f>
        <x:v>716507.5171333092</x:v>
      </x:c>
      <x:c r="C36" s="35" t="n">
        <x:f>'ALL'!J36</x:f>
        <x:v>28607.46915505814</x:v>
      </x:c>
      <x:c r="D36" s="35" t="n">
        <x:f>'ALL'!K36</x:f>
        <x:v>3809.012087543358</x:v>
      </x:c>
      <x:c r="E36" s="35" t="n">
        <x:f>'ALL'!L36</x:f>
        <x:v>7618.024175086716</x:v>
      </x:c>
      <x:c r="F36" s="35" t="n">
        <x:f>B36-E36</x:f>
        <x:v>708889.4929582224</x:v>
      </x:c>
      <x:c r="G36" s="35" t="str">
        <x:f>'ALL'!M36</x:f>
        <x:v>PASS</x:v>
      </x:c>
      <x:c r="H36" s="35" t="str">
        <x:f>'ALL'!N36</x:f>
        <x:v>survey-030</x:v>
      </x:c>
      <x:c r="I36" s="32"/>
      <x:c r="J36" s="32"/>
      <x:c r="K36" s="32"/>
      <x:c r="L36" s="32"/>
      <x:c r="M36" s="32"/>
      <x:c r="N36" s="32"/>
    </x:row>
    <x:row r="37">
      <x:c r="A37" s="35" t="n">
        <x:f>'ALL'!A37</x:f>
        <x:v>2784.480588</x:v>
      </x:c>
      <x:c r="B37" s="35" t="n">
        <x:f>'ALL'!F37</x:f>
        <x:v>733213.5635852496</x:v>
      </x:c>
      <x:c r="C37" s="35" t="n">
        <x:f>'ALL'!J37</x:f>
        <x:v>28605.869719411843</x:v>
      </x:c>
      <x:c r="D37" s="35" t="n">
        <x:f>'ALL'!K37</x:f>
        <x:v>3377.9059561717727</x:v>
      </x:c>
      <x:c r="E37" s="35" t="n">
        <x:f>'ALL'!L37</x:f>
        <x:v>6755.811912343545</x:v>
      </x:c>
      <x:c r="F37" s="35" t="n">
        <x:f>B37-E37</x:f>
        <x:v>726457.7516729061</x:v>
      </x:c>
      <x:c r="G37" s="35" t="str">
        <x:f>'ALL'!M37</x:f>
        <x:v>PASS</x:v>
      </x:c>
      <x:c r="H37" s="35" t="str">
        <x:f>'ALL'!N37</x:f>
        <x:v>survey-031</x:v>
      </x:c>
      <x:c r="I37" s="32"/>
      <x:c r="J37" s="32"/>
      <x:c r="K37" s="32"/>
      <x:c r="L37" s="32"/>
      <x:c r="M37" s="32"/>
      <x:c r="N37" s="32"/>
    </x:row>
    <x:row r="38">
      <x:c r="A38" s="35" t="n">
        <x:f>'ALL'!A38</x:f>
        <x:v>2860.2800807999997</x:v>
      </x:c>
      <x:c r="B38" s="35" t="n">
        <x:f>'ALL'!F38</x:f>
        <x:v>750010.9735344269</x:v>
      </x:c>
      <x:c r="C38" s="35" t="n">
        <x:f>'ALL'!J38</x:f>
        <x:v>28604.593406461943</x:v>
      </x:c>
      <x:c r="D38" s="35" t="n">
        <x:f>'ALL'!K38</x:f>
        <x:v>2980.8684489930993</x:v>
      </x:c>
      <x:c r="E38" s="35" t="n">
        <x:f>'ALL'!L38</x:f>
        <x:v>5961.7368979861985</x:v>
      </x:c>
      <x:c r="F38" s="35" t="n">
        <x:f>B38-E38</x:f>
        <x:v>744049.2366364407</x:v>
      </x:c>
      <x:c r="G38" s="35" t="str">
        <x:f>'ALL'!M38</x:f>
        <x:v>PASS</x:v>
      </x:c>
      <x:c r="H38" s="35" t="str">
        <x:f>'ALL'!N38</x:f>
        <x:v>survey-032</x:v>
      </x:c>
      <x:c r="I38" s="32"/>
      <x:c r="J38" s="32"/>
      <x:c r="K38" s="32"/>
      <x:c r="L38" s="32"/>
      <x:c r="M38" s="32"/>
      <x:c r="N38" s="32"/>
    </x:row>
    <x:row r="39">
      <x:c r="A39" s="35" t="n">
        <x:f>'ALL'!A39</x:f>
        <x:v>2936.688564</x:v>
      </x:c>
      <x:c r="B39" s="35" t="n">
        <x:f>'ALL'!F39</x:f>
        <x:v>766951.240161732</x:v>
      </x:c>
      <x:c r="C39" s="35" t="n">
        <x:f>'ALL'!J39</x:f>
        <x:v>28603.526337492924</x:v>
      </x:c>
      <x:c r="D39" s="35" t="n">
        <x:f>'ALL'!K39</x:f>
        <x:v>2601.355278029806</x:v>
      </x:c>
      <x:c r="E39" s="35" t="n">
        <x:f>'ALL'!L39</x:f>
        <x:v>5202.710556059612</x:v>
      </x:c>
      <x:c r="F39" s="35" t="n">
        <x:f>B39-E39</x:f>
        <x:v>761748.5296056723</x:v>
      </x:c>
      <x:c r="G39" s="35" t="str">
        <x:f>'ALL'!M39</x:f>
        <x:v>PASS</x:v>
      </x:c>
      <x:c r="H39" s="35" t="str">
        <x:f>'ALL'!N39</x:f>
        <x:v>survey-033</x:v>
      </x:c>
      <x:c r="I39" s="32"/>
      <x:c r="J39" s="32"/>
      <x:c r="K39" s="32"/>
      <x:c r="L39" s="32"/>
      <x:c r="M39" s="32"/>
      <x:c r="N39" s="32"/>
    </x:row>
    <x:row r="40">
      <x:c r="A40" s="35" t="n">
        <x:f>'ALL'!A40</x:f>
        <x:v>3013.6334952</x:v>
      </x:c>
      <x:c r="B40" s="35" t="n">
        <x:f>'ALL'!F40</x:f>
        <x:v>784017.5061779759</x:v>
      </x:c>
      <x:c r="C40" s="35" t="n">
        <x:f>'ALL'!J40</x:f>
        <x:v>28602.564070595457</x:v>
      </x:c>
      <x:c r="D40" s="35" t="n">
        <x:f>'ALL'!K40</x:f>
        <x:v>2210.464287905019</x:v>
      </x:c>
      <x:c r="E40" s="35" t="n">
        <x:f>'ALL'!L40</x:f>
        <x:v>4420.928575810038</x:v>
      </x:c>
      <x:c r="F40" s="35" t="n">
        <x:f>B40-E40</x:f>
        <x:v>779596.5776021659</x:v>
      </x:c>
      <x:c r="G40" s="35" t="str">
        <x:f>'ALL'!M40</x:f>
        <x:v>PASS</x:v>
      </x:c>
      <x:c r="H40" s="35" t="str">
        <x:f>'ALL'!N40</x:f>
        <x:v>survey-034</x:v>
      </x:c>
      <x:c r="I40" s="32"/>
      <x:c r="J40" s="32"/>
      <x:c r="K40" s="32"/>
      <x:c r="L40" s="32"/>
      <x:c r="M40" s="32"/>
      <x:c r="N40" s="32"/>
    </x:row>
    <x:row r="41">
      <x:c r="A41" s="35" t="n">
        <x:f>'ALL'!A41</x:f>
        <x:v>3090.7698408</x:v>
      </x:c>
      <x:c r="B41" s="35" t="n">
        <x:f>'ALL'!F41</x:f>
        <x:v>801132.0373323669</x:v>
      </x:c>
      <x:c r="C41" s="35" t="n">
        <x:f>'ALL'!J41</x:f>
        <x:v>28601.758831011655</x:v>
      </x:c>
      <x:c r="D41" s="35" t="n">
        <x:f>'ALL'!K41</x:f>
        <x:v>1828.4835133349245</x:v>
      </x:c>
      <x:c r="E41" s="35" t="n">
        <x:f>'ALL'!L41</x:f>
        <x:v>3656.967026669849</x:v>
      </x:c>
      <x:c r="F41" s="35" t="n">
        <x:f>B41-E41</x:f>
        <x:v>797475.070305697</x:v>
      </x:c>
      <x:c r="G41" s="35" t="str">
        <x:f>'ALL'!M41</x:f>
        <x:v>PASS</x:v>
      </x:c>
      <x:c r="H41" s="35" t="str">
        <x:f>'ALL'!N41</x:f>
        <x:v>survey-035</x:v>
      </x:c>
      <x:c r="I41" s="32"/>
      <x:c r="J41" s="32"/>
      <x:c r="K41" s="32"/>
      <x:c r="L41" s="32"/>
      <x:c r="M41" s="32"/>
      <x:c r="N41" s="32"/>
    </x:row>
    <x:row r="42">
      <x:c r="A42" s="35" t="n">
        <x:f>'ALL'!A42</x:f>
        <x:v>3167.6544215999998</x:v>
      </x:c>
      <x:c r="B42" s="35" t="n">
        <x:f>'ALL'!F42</x:f>
        <x:v>818190.9258303377</x:v>
      </x:c>
      <x:c r="C42" s="35" t="n">
        <x:f>'ALL'!J42</x:f>
        <x:v>28601.722727027758</x:v>
      </x:c>
      <x:c r="D42" s="35" t="n">
        <x:f>'ALL'!K42</x:f>
        <x:v>1812.5797754308658</x:v>
      </x:c>
      <x:c r="E42" s="35" t="n">
        <x:f>'ALL'!L42</x:f>
        <x:v>3625.1595508617315</x:v>
      </x:c>
      <x:c r="F42" s="35" t="n">
        <x:f>B42-E42</x:f>
        <x:v>814565.766279476</x:v>
      </x:c>
      <x:c r="G42" s="35" t="str">
        <x:f>'ALL'!M42</x:f>
        <x:v>PASS</x:v>
      </x:c>
      <x:c r="H42" s="35" t="str">
        <x:f>'ALL'!N42</x:f>
        <x:v>survey-036</x:v>
      </x:c>
      <x:c r="I42" s="32"/>
      <x:c r="J42" s="32"/>
      <x:c r="K42" s="32"/>
      <x:c r="L42" s="32"/>
      <x:c r="M42" s="32"/>
      <x:c r="N42" s="32"/>
    </x:row>
    <x:row r="43">
      <x:c r="A43" s="35" t="n">
        <x:f>'ALL'!A43</x:f>
        <x:v>3243.9723792</x:v>
      </x:c>
      <x:c r="B43" s="35" t="n">
        <x:f>'ALL'!F43</x:f>
        <x:v>835118.0075327385</x:v>
      </x:c>
      <x:c r="C43" s="35" t="n">
        <x:f>'ALL'!J43</x:f>
        <x:v>28602.56029719639</x:v>
      </x:c>
      <x:c r="D43" s="35" t="n">
        <x:f>'ALL'!K43</x:f>
        <x:v>2217.891733412791</x:v>
      </x:c>
      <x:c r="E43" s="35" t="n">
        <x:f>'ALL'!L43</x:f>
        <x:v>4435.783466825582</x:v>
      </x:c>
      <x:c r="F43" s="35" t="n">
        <x:f>B43-E43</x:f>
        <x:v>830682.2240659129</x:v>
      </x:c>
      <x:c r="G43" s="35" t="str">
        <x:f>'ALL'!M43</x:f>
        <x:v>PASS</x:v>
      </x:c>
      <x:c r="H43" s="35" t="str">
        <x:f>'ALL'!N43</x:f>
        <x:v>survey-037</x:v>
      </x:c>
      <x:c r="I43" s="32"/>
      <x:c r="J43" s="32"/>
      <x:c r="K43" s="32"/>
      <x:c r="L43" s="32"/>
      <x:c r="M43" s="32"/>
      <x:c r="N43" s="32"/>
    </x:row>
    <x:row r="44">
      <x:c r="A44" s="35" t="n">
        <x:f>'ALL'!A44</x:f>
        <x:v>3319.6978056000003</x:v>
      </x:c>
      <x:c r="B44" s="35" t="n">
        <x:f>'ALL'!F44</x:f>
        <x:v>851906.0400679975</x:v>
      </x:c>
      <x:c r="C44" s="35" t="n">
        <x:f>'ALL'!J44</x:f>
        <x:v>28603.605997663533</x:v>
      </x:c>
      <x:c r="D44" s="35" t="n">
        <x:f>'ALL'!K44</x:f>
        <x:v>2642.4110592528173</x:v>
      </x:c>
      <x:c r="E44" s="35" t="n">
        <x:f>'ALL'!L44</x:f>
        <x:v>5284.8221185056345</x:v>
      </x:c>
      <x:c r="F44" s="35" t="n">
        <x:f>B44-E44</x:f>
        <x:v>846621.2179494919</x:v>
      </x:c>
      <x:c r="G44" s="35" t="str">
        <x:f>'ALL'!M44</x:f>
        <x:v>PASS</x:v>
      </x:c>
      <x:c r="H44" s="35" t="str">
        <x:f>'ALL'!N44</x:f>
        <x:v>survey-038</x:v>
      </x:c>
      <x:c r="I44" s="32"/>
      <x:c r="J44" s="32"/>
      <x:c r="K44" s="32"/>
      <x:c r="L44" s="32"/>
      <x:c r="M44" s="32"/>
      <x:c r="N44" s="32"/>
    </x:row>
    <x:row r="45">
      <x:c r="A45" s="35" t="n">
        <x:f>'ALL'!A45</x:f>
        <x:v>3395.1068496000003</x:v>
      </x:c>
      <x:c r="B45" s="35" t="n">
        <x:f>'ALL'!F45</x:f>
        <x:v>868616.94718898</x:v>
      </x:c>
      <x:c r="C45" s="35" t="n">
        <x:f>'ALL'!J45</x:f>
        <x:v>28604.566689656534</x:v>
      </x:c>
      <x:c r="D45" s="35" t="n">
        <x:f>'ALL'!K45</x:f>
        <x:v>2979.8716159706937</x:v>
      </x:c>
      <x:c r="E45" s="35" t="n">
        <x:f>'ALL'!L45</x:f>
        <x:v>5959.743231941387</x:v>
      </x:c>
      <x:c r="F45" s="35" t="n">
        <x:f>B45-E45</x:f>
        <x:v>862657.2039570386</x:v>
      </x:c>
      <x:c r="G45" s="35" t="str">
        <x:f>'ALL'!M45</x:f>
        <x:v>PASS</x:v>
      </x:c>
      <x:c r="H45" s="35" t="str">
        <x:f>'ALL'!N45</x:f>
        <x:v>survey-039</x:v>
      </x:c>
      <x:c r="I45" s="32"/>
      <x:c r="J45" s="32"/>
      <x:c r="K45" s="32"/>
      <x:c r="L45" s="32"/>
      <x:c r="M45" s="32"/>
      <x:c r="N45" s="32"/>
    </x:row>
    <x:row r="46">
      <x:c r="A46" s="35" t="n">
        <x:f>'ALL'!A46</x:f>
        <x:v>3470.6368992</x:v>
      </x:c>
      <x:c r="B46" s="35" t="n">
        <x:f>'ALL'!F46</x:f>
        <x:v>885348.6982656334</x:v>
      </x:c>
      <x:c r="C46" s="35" t="n">
        <x:f>'ALL'!J46</x:f>
        <x:v>28605.40820924909</x:v>
      </x:c>
      <x:c r="D46" s="35" t="n">
        <x:f>'ALL'!K46</x:f>
        <x:v>3240.2265772593487</x:v>
      </x:c>
      <x:c r="E46" s="35" t="n">
        <x:f>'ALL'!L46</x:f>
        <x:v>6480.453154518697</x:v>
      </x:c>
      <x:c r="F46" s="35" t="n">
        <x:f>B46-E46</x:f>
        <x:v>878868.2451111147</x:v>
      </x:c>
      <x:c r="G46" s="35" t="str">
        <x:f>'ALL'!M46</x:f>
        <x:v>PASS</x:v>
      </x:c>
      <x:c r="H46" s="35" t="str">
        <x:f>'ALL'!N46</x:f>
        <x:v>survey-040</x:v>
      </x:c>
      <x:c r="I46" s="32"/>
      <x:c r="J46" s="32"/>
      <x:c r="K46" s="32"/>
      <x:c r="L46" s="32"/>
      <x:c r="M46" s="32"/>
      <x:c r="N46" s="32"/>
    </x:row>
    <x:row r="47">
      <x:c r="A47" s="35" t="n">
        <x:f>'ALL'!A47</x:f>
        <x:v>3546.6631632</x:v>
      </x:c>
      <x:c r="B47" s="35" t="n">
        <x:f>'ALL'!F47</x:f>
        <x:v>902184.4548048641</x:v>
      </x:c>
      <x:c r="C47" s="35" t="n">
        <x:f>'ALL'!J47</x:f>
        <x:v>28606.27050528408</x:v>
      </x:c>
      <x:c r="D47" s="35" t="n">
        <x:f>'ALL'!K47</x:f>
        <x:v>3477.5866978427607</x:v>
      </x:c>
      <x:c r="E47" s="35" t="n">
        <x:f>'ALL'!L47</x:f>
        <x:v>6955.173395685521</x:v>
      </x:c>
      <x:c r="F47" s="35" t="n">
        <x:f>B47-E47</x:f>
        <x:v>895229.2814091786</x:v>
      </x:c>
      <x:c r="G47" s="35" t="str">
        <x:f>'ALL'!M47</x:f>
        <x:v>PASS</x:v>
      </x:c>
      <x:c r="H47" s="35" t="str">
        <x:f>'ALL'!N47</x:f>
        <x:v>survey-041</x:v>
      </x:c>
      <x:c r="I47" s="32"/>
      <x:c r="J47" s="32"/>
      <x:c r="K47" s="32"/>
      <x:c r="L47" s="32"/>
      <x:c r="M47" s="32"/>
      <x:c r="N47" s="32"/>
    </x:row>
    <x:row r="48">
      <x:c r="A48" s="35" t="n">
        <x:f>'ALL'!A48</x:f>
        <x:v>3623.3087808</x:v>
      </x:c>
      <x:c r="B48" s="35" t="n">
        <x:f>'ALL'!F48</x:f>
        <x:v>919150.4032984045</x:v>
      </x:c>
      <x:c r="C48" s="35" t="n">
        <x:f>'ALL'!J48</x:f>
        <x:v>28607.294149836456</x:v>
      </x:c>
      <x:c r="D48" s="35" t="n">
        <x:f>'ALL'!K48</x:f>
        <x:v>3735.52973462342</x:v>
      </x:c>
      <x:c r="E48" s="35" t="n">
        <x:f>'ALL'!L48</x:f>
        <x:v>7471.05946924684</x:v>
      </x:c>
      <x:c r="F48" s="35" t="n">
        <x:f>B48-E48</x:f>
        <x:v>911679.3438291576</x:v>
      </x:c>
      <x:c r="G48" s="35" t="str">
        <x:f>'ALL'!M48</x:f>
        <x:v>PASS</x:v>
      </x:c>
      <x:c r="H48" s="35" t="str">
        <x:f>'ALL'!N48</x:f>
        <x:v>survey-042</x:v>
      </x:c>
      <x:c r="I48" s="32"/>
      <x:c r="J48" s="32"/>
      <x:c r="K48" s="32"/>
      <x:c r="L48" s="32"/>
      <x:c r="M48" s="32"/>
      <x:c r="N48" s="32"/>
    </x:row>
    <x:row r="49">
      <x:c r="A49" s="35" t="n">
        <x:f>'ALL'!A49</x:f>
        <x:v>3700.3805088</x:v>
      </x:c>
      <x:c r="B49" s="35" t="n">
        <x:f>'ALL'!F49</x:f>
        <x:v>936201.9429977234</x:v>
      </x:c>
      <x:c r="C49" s="35" t="n">
        <x:f>'ALL'!J49</x:f>
        <x:v>28608.554391989604</x:v>
      </x:c>
      <x:c r="D49" s="35" t="n">
        <x:f>'ALL'!K49</x:f>
        <x:v>4034.182554764465</x:v>
      </x:c>
      <x:c r="E49" s="35" t="n">
        <x:f>'ALL'!L49</x:f>
        <x:v>8068.36510952893</x:v>
      </x:c>
      <x:c r="F49" s="35" t="n">
        <x:f>B49-E49</x:f>
        <x:v>928133.5778881945</x:v>
      </x:c>
      <x:c r="G49" s="35" t="str">
        <x:f>'ALL'!M49</x:f>
        <x:v>PASS</x:v>
      </x:c>
      <x:c r="H49" s="35" t="str">
        <x:f>'ALL'!N49</x:f>
        <x:v>survey-043</x:v>
      </x:c>
      <x:c r="I49" s="32"/>
      <x:c r="J49" s="32"/>
      <x:c r="K49" s="32"/>
      <x:c r="L49" s="32"/>
      <x:c r="M49" s="32"/>
      <x:c r="N49" s="32"/>
    </x:row>
    <x:row r="50">
      <x:c r="A50" s="35" t="n">
        <x:f>'ALL'!A50</x:f>
        <x:v>3777.4683912</x:v>
      </x:c>
      <x:c r="B50" s="35" t="n">
        <x:f>'ALL'!F50</x:f>
        <x:v>953247.3732166202</x:v>
      </x:c>
      <x:c r="C50" s="35" t="n">
        <x:f>'ALL'!J50</x:f>
        <x:v>28609.90897272849</x:v>
      </x:c>
      <x:c r="D50" s="35" t="n">
        <x:f>'ALL'!K50</x:f>
        <x:v>4341.399783443597</x:v>
      </x:c>
      <x:c r="E50" s="35" t="n">
        <x:f>'ALL'!L50</x:f>
        <x:v>8682.799566887194</x:v>
      </x:c>
      <x:c r="F50" s="35" t="n">
        <x:f>B50-E50</x:f>
        <x:v>944564.573649733</x:v>
      </x:c>
      <x:c r="G50" s="35" t="str">
        <x:f>'ALL'!M50</x:f>
        <x:v>PASS</x:v>
      </x:c>
      <x:c r="H50" s="35" t="str">
        <x:f>'ALL'!N50</x:f>
        <x:v>survey-044</x:v>
      </x:c>
      <x:c r="I50" s="32"/>
      <x:c r="J50" s="32"/>
      <x:c r="K50" s="32"/>
      <x:c r="L50" s="32"/>
      <x:c r="M50" s="32"/>
      <x:c r="N50" s="32"/>
    </x:row>
    <x:row r="51">
      <x:c r="A51" s="35" t="n">
        <x:f>'ALL'!A51</x:f>
        <x:v>3854.1542424</x:v>
      </x:c>
      <x:c r="B51" s="35" t="n">
        <x:f>'ALL'!F51</x:f>
        <x:v>970194.0804175219</x:v>
      </x:c>
      <x:c r="C51" s="35" t="n">
        <x:f>'ALL'!J51</x:f>
        <x:v>28611.23014699836</x:v>
      </x:c>
      <x:c r="D51" s="35" t="n">
        <x:f>'ALL'!K51</x:f>
        <x:v>4633.867599663519</x:v>
      </x:c>
      <x:c r="E51" s="35" t="n">
        <x:f>'ALL'!L51</x:f>
        <x:v>9267.735199327039</x:v>
      </x:c>
      <x:c r="F51" s="35" t="n">
        <x:f>B51-E51</x:f>
        <x:v>960926.3452181949</x:v>
      </x:c>
      <x:c r="G51" s="35" t="str">
        <x:f>'ALL'!M51</x:f>
        <x:v>PASS</x:v>
      </x:c>
      <x:c r="H51" s="35" t="str">
        <x:f>'ALL'!N51</x:f>
        <x:v>survey-045</x:v>
      </x:c>
      <x:c r="I51" s="32"/>
      <x:c r="J51" s="32"/>
      <x:c r="K51" s="32"/>
      <x:c r="L51" s="32"/>
      <x:c r="M51" s="32"/>
      <x:c r="N51" s="32"/>
    </x:row>
    <x:row r="52">
      <x:c r="A52" s="35" t="n">
        <x:f>'ALL'!A52</x:f>
        <x:v>3930.2240928</x:v>
      </x:c>
      <x:c r="B52" s="35" t="n">
        <x:f>'ALL'!F52</x:f>
        <x:v>986995.911058625</x:v>
      </x:c>
      <x:c r="C52" s="35" t="n">
        <x:f>'ALL'!J52</x:f>
        <x:v>28612.36194088117</x:v>
      </x:c>
      <x:c r="D52" s="35" t="n">
        <x:f>'ALL'!K52</x:f>
        <x:v>4881.413205013298</x:v>
      </x:c>
      <x:c r="E52" s="35" t="n">
        <x:f>'ALL'!L52</x:f>
        <x:v>9762.826410026595</x:v>
      </x:c>
      <x:c r="F52" s="35" t="n">
        <x:f>B52-E52</x:f>
        <x:v>977233.0846485983</x:v>
      </x:c>
      <x:c r="G52" s="35" t="str">
        <x:f>'ALL'!M52</x:f>
        <x:v>PASS</x:v>
      </x:c>
      <x:c r="H52" s="35" t="str">
        <x:f>'ALL'!N52</x:f>
        <x:v>survey-046</x:v>
      </x:c>
      <x:c r="I52" s="32"/>
      <x:c r="J52" s="32"/>
      <x:c r="K52" s="32"/>
      <x:c r="L52" s="32"/>
      <x:c r="M52" s="32"/>
      <x:c r="N52" s="32"/>
    </x:row>
    <x:row r="53">
      <x:c r="A53" s="35" t="n">
        <x:f>'ALL'!A53</x:f>
        <x:v>4005.779136</x:v>
      </x:c>
      <x:c r="B53" s="35" t="n">
        <x:f>'ALL'!F53</x:f>
        <x:v>1003676.8408510318</x:v>
      </x:c>
      <x:c r="C53" s="35" t="n">
        <x:f>'ALL'!J53</x:f>
        <x:v>28613.283208291596</x:v>
      </x:c>
      <x:c r="D53" s="35" t="n">
        <x:f>'ALL'!K53</x:f>
        <x:v>5077.246908811857</x:v>
      </x:c>
      <x:c r="E53" s="35" t="n">
        <x:f>'ALL'!L53</x:f>
        <x:v>10154.493817623714</x:v>
      </x:c>
      <x:c r="F53" s="35" t="n">
        <x:f>B53-E53</x:f>
        <x:v>993522.3470334081</x:v>
      </x:c>
      <x:c r="G53" s="35" t="str">
        <x:f>'ALL'!M53</x:f>
        <x:v>PASS</x:v>
      </x:c>
      <x:c r="H53" s="35" t="str">
        <x:f>'ALL'!N53</x:f>
        <x:v>survey-047</x:v>
      </x:c>
      <x:c r="I53" s="32"/>
      <x:c r="J53" s="32"/>
      <x:c r="K53" s="32"/>
      <x:c r="L53" s="32"/>
      <x:c r="M53" s="32"/>
      <x:c r="N53" s="32"/>
    </x:row>
    <x:row r="54">
      <x:c r="A54" s="35" t="n">
        <x:f>'ALL'!A54</x:f>
        <x:v>4081.1817792</x:v>
      </x:c>
      <x:c r="B54" s="35" t="n">
        <x:f>'ALL'!F54</x:f>
        <x:v>1020318.5401385546</x:v>
      </x:c>
      <x:c r="C54" s="35" t="n">
        <x:f>'ALL'!J54</x:f>
        <x:v>28614.03648035307</x:v>
      </x:c>
      <x:c r="D54" s="35" t="n">
        <x:f>'ALL'!K54</x:f>
        <x:v>5224.495357305971</x:v>
      </x:c>
      <x:c r="E54" s="35" t="n">
        <x:f>'ALL'!L54</x:f>
        <x:v>10448.990714611942</x:v>
      </x:c>
      <x:c r="F54" s="35" t="n">
        <x:f>B54-E54</x:f>
        <x:v>1009869.5494239427</x:v>
      </x:c>
      <x:c r="G54" s="35" t="str">
        <x:f>'ALL'!M54</x:f>
        <x:v>PASS</x:v>
      </x:c>
      <x:c r="H54" s="35" t="str">
        <x:f>'ALL'!N54</x:f>
        <x:v>survey-048</x:v>
      </x:c>
      <x:c r="I54" s="32"/>
      <x:c r="J54" s="32"/>
      <x:c r="K54" s="32"/>
      <x:c r="L54" s="32"/>
      <x:c r="M54" s="32"/>
      <x:c r="N54" s="32"/>
    </x:row>
    <x:row r="55">
      <x:c r="A55" s="35" t="n">
        <x:f>'ALL'!A55</x:f>
        <x:v>4156.8727632</x:v>
      </x:c>
      <x:c r="B55" s="35" t="n">
        <x:f>'ALL'!F55</x:f>
        <x:v>1037019.7969557836</x:v>
      </x:c>
      <x:c r="C55" s="35" t="n">
        <x:f>'ALL'!J55</x:f>
        <x:v>28614.660211611903</x:v>
      </x:c>
      <x:c r="D55" s="35" t="n">
        <x:f>'ALL'!K55</x:f>
        <x:v>5329.133078724494</x:v>
      </x:c>
      <x:c r="E55" s="35" t="n">
        <x:f>'ALL'!L55</x:f>
        <x:v>10658.266157448988</x:v>
      </x:c>
      <x:c r="F55" s="35" t="n">
        <x:f>B55-E55</x:f>
        <x:v>1026361.5307983346</x:v>
      </x:c>
      <x:c r="G55" s="35" t="str">
        <x:f>'ALL'!M55</x:f>
        <x:v>PASS</x:v>
      </x:c>
      <x:c r="H55" s="35" t="str">
        <x:f>'ALL'!N55</x:f>
        <x:v>survey-049</x:v>
      </x:c>
      <x:c r="I55" s="32"/>
      <x:c r="J55" s="32"/>
      <x:c r="K55" s="32"/>
      <x:c r="L55" s="32"/>
      <x:c r="M55" s="32"/>
      <x:c r="N55" s="32"/>
    </x:row>
    <x:row r="56">
      <x:c r="A56" s="35" t="n">
        <x:f>'ALL'!A56</x:f>
        <x:v>4233.1456104</x:v>
      </x:c>
      <x:c r="B56" s="35" t="n">
        <x:f>'ALL'!F56</x:f>
        <x:v>1053846.4739392952</x:v>
      </x:c>
      <x:c r="C56" s="35" t="n">
        <x:f>'ALL'!J56</x:f>
        <x:v>28615.187576501845</x:v>
      </x:c>
      <x:c r="D56" s="35" t="n">
        <x:f>'ALL'!K56</x:f>
        <x:v>5403.408250563843</x:v>
      </x:c>
      <x:c r="E56" s="35" t="n">
        <x:f>'ALL'!L56</x:f>
        <x:v>10806.816501127685</x:v>
      </x:c>
      <x:c r="F56" s="35" t="n">
        <x:f>B56-E56</x:f>
        <x:v>1043039.6574381675</x:v>
      </x:c>
      <x:c r="G56" s="35" t="str">
        <x:f>'ALL'!M56</x:f>
        <x:v>PASS</x:v>
      </x:c>
      <x:c r="H56" s="35" t="str">
        <x:f>'ALL'!N56</x:f>
        <x:v>survey-050</x:v>
      </x:c>
      <x:c r="I56" s="32"/>
      <x:c r="J56" s="32"/>
      <x:c r="K56" s="32"/>
      <x:c r="L56" s="32"/>
      <x:c r="M56" s="32"/>
      <x:c r="N56" s="32"/>
    </x:row>
    <x:row r="57">
      <x:c r="A57" s="35" t="n">
        <x:f>'ALL'!A57</x:f>
        <x:v>4309.9975776</x:v>
      </x:c>
      <x:c r="B57" s="35" t="n">
        <x:f>'ALL'!F57</x:f>
        <x:v>1070799.1602705836</x:v>
      </x:c>
      <x:c r="C57" s="35" t="n">
        <x:f>'ALL'!J57</x:f>
        <x:v>28615.547542606535</x:v>
      </x:c>
      <x:c r="D57" s="35" t="n">
        <x:f>'ALL'!K57</x:f>
        <x:v>5446.429733762008</x:v>
      </x:c>
      <x:c r="E57" s="35" t="n">
        <x:f>'ALL'!L57</x:f>
        <x:v>10892.859467524017</x:v>
      </x:c>
      <x:c r="F57" s="35" t="n">
        <x:f>B57-E57</x:f>
        <x:v>1059906.3008030595</x:v>
      </x:c>
      <x:c r="G57" s="35" t="str">
        <x:f>'ALL'!M57</x:f>
        <x:v>PASS</x:v>
      </x:c>
      <x:c r="H57" s="35" t="str">
        <x:f>'ALL'!N57</x:f>
        <x:v>survey-051</x:v>
      </x:c>
      <x:c r="I57" s="32"/>
      <x:c r="J57" s="32"/>
      <x:c r="K57" s="32"/>
      <x:c r="L57" s="32"/>
      <x:c r="M57" s="32"/>
      <x:c r="N57" s="32"/>
    </x:row>
    <x:row r="58">
      <x:c r="A58" s="35" t="n">
        <x:f>'ALL'!A58</x:f>
        <x:v>4387.1302656</x:v>
      </x:c>
      <x:c r="B58" s="35" t="n">
        <x:f>'ALL'!F58</x:f>
        <x:v>1087812.9940658004</x:v>
      </x:c>
      <x:c r="C58" s="35" t="n">
        <x:f>'ALL'!J58</x:f>
        <x:v>28615.712798580986</x:v>
      </x:c>
      <x:c r="D58" s="35" t="n">
        <x:f>'ALL'!K58</x:f>
        <x:v>5465.325847757959</x:v>
      </x:c>
      <x:c r="E58" s="35" t="n">
        <x:f>'ALL'!L58</x:f>
        <x:v>10930.651695515919</x:v>
      </x:c>
      <x:c r="F58" s="35" t="n">
        <x:f>B58-E58</x:f>
        <x:v>1076882.3423702845</x:v>
      </x:c>
      <x:c r="G58" s="35" t="str">
        <x:f>'ALL'!M58</x:f>
        <x:v>PASS</x:v>
      </x:c>
      <x:c r="H58" s="35" t="str">
        <x:f>'ALL'!N58</x:f>
        <x:v>survey-052</x:v>
      </x:c>
      <x:c r="I58" s="32"/>
      <x:c r="J58" s="32"/>
      <x:c r="K58" s="32"/>
      <x:c r="L58" s="32"/>
      <x:c r="M58" s="32"/>
      <x:c r="N58" s="32"/>
    </x:row>
    <x:row r="59">
      <x:c r="A59" s="35" t="n">
        <x:f>'ALL'!A59</x:f>
        <x:v>4464.1026288</x:v>
      </x:c>
      <x:c r="B59" s="35" t="n">
        <x:f>'ALL'!F59</x:f>
        <x:v>1104791.564922813</x:v>
      </x:c>
      <x:c r="C59" s="35" t="n">
        <x:f>'ALL'!J59</x:f>
        <x:v>28615.665985644835</x:v>
      </x:c>
      <x:c r="D59" s="35" t="n">
        <x:f>'ALL'!K59</x:f>
        <x:v>5462.8587766814835</x:v>
      </x:c>
      <x:c r="E59" s="35" t="n">
        <x:f>'ALL'!L59</x:f>
        <x:v>10925.717553362967</x:v>
      </x:c>
      <x:c r="F59" s="35" t="n">
        <x:f>B59-E59</x:f>
        <x:v>1093865.8473694501</x:v>
      </x:c>
      <x:c r="G59" s="35" t="str">
        <x:f>'ALL'!M59</x:f>
        <x:v>PASS</x:v>
      </x:c>
      <x:c r="H59" s="35" t="str">
        <x:f>'ALL'!N59</x:f>
        <x:v>survey-053</x:v>
      </x:c>
      <x:c r="I59" s="32"/>
      <x:c r="J59" s="32"/>
      <x:c r="K59" s="32"/>
      <x:c r="L59" s="32"/>
      <x:c r="M59" s="32"/>
      <x:c r="N59" s="32"/>
    </x:row>
    <x:row r="60">
      <x:c r="A60" s="35" t="n">
        <x:f>'ALL'!A60</x:f>
        <x:v>4540.555308</x:v>
      </x:c>
      <x:c r="B60" s="35" t="n">
        <x:f>'ALL'!F60</x:f>
        <x:v>1121656.1618409925</x:v>
      </x:c>
      <x:c r="C60" s="35" t="n">
        <x:f>'ALL'!J60</x:f>
        <x:v>28615.468292404294</x:v>
      </x:c>
      <x:c r="D60" s="35" t="n">
        <x:f>'ALL'!K60</x:f>
        <x:v>5446.698722331982</x:v>
      </x:c>
      <x:c r="E60" s="35" t="n">
        <x:f>'ALL'!L60</x:f>
        <x:v>10893.397444663964</x:v>
      </x:c>
      <x:c r="F60" s="35" t="n">
        <x:f>B60-E60</x:f>
        <x:v>1110762.7643963285</x:v>
      </x:c>
      <x:c r="G60" s="35" t="str">
        <x:f>'ALL'!M60</x:f>
        <x:v>PASS</x:v>
      </x:c>
      <x:c r="H60" s="35" t="str">
        <x:f>'ALL'!N60</x:f>
        <x:v>survey-054</x:v>
      </x:c>
      <x:c r="I60" s="32"/>
      <x:c r="J60" s="32"/>
      <x:c r="K60" s="32"/>
      <x:c r="L60" s="32"/>
      <x:c r="M60" s="32"/>
      <x:c r="N60" s="32"/>
    </x:row>
    <x:row r="61">
      <x:c r="A61" s="35" t="n">
        <x:f>'ALL'!A61</x:f>
        <x:v>4616.3935104</x:v>
      </x:c>
      <x:c r="B61" s="35" t="n">
        <x:f>'ALL'!F61</x:f>
        <x:v>1138386.296912006</x:v>
      </x:c>
      <x:c r="C61" s="35" t="n">
        <x:f>'ALL'!J61</x:f>
        <x:v>28615.19242322703</x:v>
      </x:c>
      <x:c r="D61" s="35" t="n">
        <x:f>'ALL'!K61</x:f>
        <x:v>5419.734744567189</x:v>
      </x:c>
      <x:c r="E61" s="35" t="n">
        <x:f>'ALL'!L61</x:f>
        <x:v>10839.469489134379</x:v>
      </x:c>
      <x:c r="F61" s="35" t="n">
        <x:f>B61-E61</x:f>
        <x:v>1127546.8274228717</x:v>
      </x:c>
      <x:c r="G61" s="35" t="str">
        <x:f>'ALL'!M61</x:f>
        <x:v>PASS</x:v>
      </x:c>
      <x:c r="H61" s="35" t="str">
        <x:f>'ALL'!N61</x:f>
        <x:v>survey-055</x:v>
      </x:c>
      <x:c r="I61" s="32"/>
      <x:c r="J61" s="32"/>
      <x:c r="K61" s="32"/>
      <x:c r="L61" s="32"/>
      <x:c r="M61" s="32"/>
      <x:c r="N61" s="32"/>
    </x:row>
    <x:row r="62">
      <x:c r="A62" s="35" t="n">
        <x:f>'ALL'!A62</x:f>
        <x:v>4691.8360824</x:v>
      </x:c>
      <x:c r="B62" s="35" t="n">
        <x:f>'ALL'!F62</x:f>
        <x:v>1155030.372613192</x:v>
      </x:c>
      <x:c r="C62" s="35" t="n">
        <x:f>'ALL'!J62</x:f>
        <x:v>28614.943029485676</x:v>
      </x:c>
      <x:c r="D62" s="35" t="n">
        <x:f>'ALL'!K62</x:f>
        <x:v>5389.141729174255</x:v>
      </x:c>
      <x:c r="E62" s="35" t="n">
        <x:f>'ALL'!L62</x:f>
        <x:v>10778.28345834851</x:v>
      </x:c>
      <x:c r="F62" s="35" t="n">
        <x:f>B62-E62</x:f>
        <x:v>1144252.0891548435</x:v>
      </x:c>
      <x:c r="G62" s="35" t="str">
        <x:f>'ALL'!M62</x:f>
        <x:v>PASS</x:v>
      </x:c>
      <x:c r="H62" s="35" t="str">
        <x:f>'ALL'!N62</x:f>
        <x:v>survey-056</x:v>
      </x:c>
      <x:c r="I62" s="32"/>
      <x:c r="J62" s="32"/>
      <x:c r="K62" s="32"/>
      <x:c r="L62" s="32"/>
      <x:c r="M62" s="32"/>
      <x:c r="N62" s="32"/>
    </x:row>
    <x:row r="63">
      <x:c r="A63" s="35" t="n">
        <x:f>'ALL'!A63</x:f>
        <x:v>4767.3027336000005</x:v>
      </x:c>
      <x:c r="B63" s="35" t="n">
        <x:f>'ALL'!F63</x:f>
        <x:v>1171680.8264845596</x:v>
      </x:c>
      <x:c r="C63" s="35" t="n">
        <x:f>'ALL'!J63</x:f>
        <x:v>28614.798901367703</x:v>
      </x:c>
      <x:c r="D63" s="35" t="n">
        <x:f>'ALL'!K63</x:f>
        <x:v>5362.233481314568</x:v>
      </x:c>
      <x:c r="E63" s="35" t="n">
        <x:f>'ALL'!L63</x:f>
        <x:v>10724.466962629136</x:v>
      </x:c>
      <x:c r="F63" s="35" t="n">
        <x:f>B63-E63</x:f>
        <x:v>1160956.3595219303</x:v>
      </x:c>
      <x:c r="G63" s="35" t="str">
        <x:f>'ALL'!M63</x:f>
        <x:v>PASS</x:v>
      </x:c>
      <x:c r="H63" s="35" t="str">
        <x:f>'ALL'!N63</x:f>
        <x:v>survey-057</x:v>
      </x:c>
      <x:c r="I63" s="32"/>
      <x:c r="J63" s="32"/>
      <x:c r="K63" s="32"/>
      <x:c r="L63" s="32"/>
      <x:c r="M63" s="32"/>
      <x:c r="N63" s="32"/>
    </x:row>
    <x:row r="64">
      <x:c r="A64" s="35" t="n">
        <x:f>'ALL'!A64</x:f>
        <x:v>4843.2018960000005</x:v>
      </x:c>
      <x:c r="B64" s="35" t="n">
        <x:f>'ALL'!F64</x:f>
        <x:v>1188427.2943145775</x:v>
      </x:c>
      <x:c r="C64" s="35" t="n">
        <x:f>'ALL'!J64</x:f>
        <x:v>28614.801628582438</x:v>
      </x:c>
      <x:c r="D64" s="35" t="n">
        <x:f>'ALL'!K64</x:f>
        <x:v>5347.425972648599</x:v>
      </x:c>
      <x:c r="E64" s="35" t="n">
        <x:f>'ALL'!L64</x:f>
        <x:v>10694.851945297198</x:v>
      </x:c>
      <x:c r="F64" s="35" t="n">
        <x:f>B64-E64</x:f>
        <x:v>1177732.4423692804</x:v>
      </x:c>
      <x:c r="G64" s="35" t="str">
        <x:f>'ALL'!M64</x:f>
        <x:v>PASS</x:v>
      </x:c>
      <x:c r="H64" s="35" t="str">
        <x:f>'ALL'!N64</x:f>
        <x:v>survey-058</x:v>
      </x:c>
      <x:c r="I64" s="32"/>
      <x:c r="J64" s="32"/>
      <x:c r="K64" s="32"/>
      <x:c r="L64" s="32"/>
      <x:c r="M64" s="32"/>
      <x:c r="N64" s="32"/>
    </x:row>
    <x:row r="65">
      <x:c r="A65" s="35" t="n">
        <x:f>'ALL'!A65</x:f>
        <x:v>4919.7207168</x:v>
      </x:c>
      <x:c r="B65" s="35" t="n">
        <x:f>'ALL'!F65</x:f>
        <x:v>1205310.4574943804</x:v>
      </x:c>
      <x:c r="C65" s="35" t="n">
        <x:f>'ALL'!J65</x:f>
        <x:v>28614.926203245843</x:v>
      </x:c>
      <x:c r="D65" s="35" t="n">
        <x:f>'ALL'!K65</x:f>
        <x:v>5348.094378791932</x:v>
      </x:c>
      <x:c r="E65" s="35" t="n">
        <x:f>'ALL'!L65</x:f>
        <x:v>10696.188757583865</x:v>
      </x:c>
      <x:c r="F65" s="35" t="n">
        <x:f>B65-E65</x:f>
        <x:v>1194614.2687367965</x:v>
      </x:c>
      <x:c r="G65" s="35" t="str">
        <x:f>'ALL'!M65</x:f>
        <x:v>PASS</x:v>
      </x:c>
      <x:c r="H65" s="35" t="str">
        <x:f>'ALL'!N65</x:f>
        <x:v>survey-059</x:v>
      </x:c>
      <x:c r="I65" s="32"/>
      <x:c r="J65" s="32"/>
      <x:c r="K65" s="32"/>
      <x:c r="L65" s="32"/>
      <x:c r="M65" s="32"/>
      <x:c r="N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 t="str">
        <x:f>"MD "&amp;'Unit Map'!$H$8</x:f>
        <x:v>MD m</x:v>
      </x:c>
      <x:c r="B68" s="32" t="str">
        <x:f>"Axial load "&amp;'Unit Map'!$H$14</x:f>
        <x:v>Axial load N</x:v>
      </x:c>
      <x:c r="C68" s="32" t="str">
        <x:f>"Sinusoidal limit "&amp;'Unit Map'!$H$14</x:f>
        <x:v>Sinusoidal limit N</x:v>
      </x:c>
      <x:c r="D68" s="32" t="str">
        <x:f>"Helical limit "&amp;'Unit Map'!$H$14</x:f>
        <x:v>Helical limit N</x:v>
      </x:c>
      <x:c r="E68" s="32"/>
      <x:c r="F68" s="32" t="str">
        <x:f>"MD "&amp;'Unit Map'!$H$8</x:f>
        <x:v>MD m</x:v>
      </x:c>
      <x:c r="G68" s="32" t="str">
        <x:f>"Torque "&amp;'Unit Map'!$H$16</x:f>
        <x:v>Torque N-m</x:v>
      </x:c>
      <x:c r="H68" s="32"/>
      <x:c r="I68" s="32"/>
      <x:c r="J68" s="32"/>
      <x:c r="K68" s="32"/>
      <x:c r="L68" s="32"/>
      <x:c r="M68" s="32"/>
      <x:c r="N68" s="32"/>
    </x:row>
    <x:row r="69">
      <x:c r="A69" s="32" t="n">
        <x:f>A6</x:f>
        <x:v>0</x:v>
      </x:c>
      <x:c r="B69" s="32" t="n">
        <x:f>B6</x:f>
        <x:v>120000</x:v>
      </x:c>
      <x:c r="C69" s="32" t="n">
        <x:f>D6</x:f>
        <x:v>0</x:v>
      </x:c>
      <x:c r="D69" s="32" t="n">
        <x:f>E6</x:f>
        <x:v>0</x:v>
      </x:c>
      <x:c r="E69" s="32"/>
      <x:c r="F69" s="32" t="n">
        <x:f>A6</x:f>
        <x:v>0</x:v>
      </x:c>
      <x:c r="G69" s="32" t="n">
        <x:f>C6</x:f>
        <x:v>28600.000000000004</x:v>
      </x:c>
      <x:c r="H69" s="32"/>
      <x:c r="I69" s="32"/>
      <x:c r="J69" s="32"/>
      <x:c r="K69" s="32"/>
      <x:c r="L69" s="32"/>
      <x:c r="M69" s="32"/>
      <x:c r="N69" s="32"/>
    </x:row>
    <x:row r="70">
      <x:c r="A70" s="32" t="n">
        <x:f>A7</x:f>
        <x:v>155.10875760000002</x:v>
      </x:c>
      <x:c r="B70" s="32" t="n">
        <x:f>B7</x:f>
        <x:v>154369.6247643189</x:v>
      </x:c>
      <x:c r="C70" s="32" t="n">
        <x:f>D7</x:f>
        <x:v>3045.9878423456744</x:v>
      </x:c>
      <x:c r="D70" s="32" t="n">
        <x:f>E7</x:f>
        <x:v>6091.975684691349</x:v>
      </x:c>
      <x:c r="E70" s="32"/>
      <x:c r="F70" s="32" t="n">
        <x:f>A7</x:f>
        <x:v>155.10875760000002</x:v>
      </x:c>
      <x:c r="G70" s="32" t="n">
        <x:f>C7</x:f>
        <x:v>28609.814667861745</x:v>
      </x:c>
      <x:c r="H70" s="32"/>
      <x:c r="I70" s="32"/>
      <x:c r="J70" s="32"/>
      <x:c r="K70" s="32"/>
      <x:c r="L70" s="32"/>
      <x:c r="M70" s="32"/>
      <x:c r="N70" s="32"/>
    </x:row>
    <x:row r="71">
      <x:c r="A71" s="32" t="n">
        <x:f>A8</x:f>
        <x:v>307.974492</x:v>
      </x:c>
      <x:c r="B71" s="32" t="n">
        <x:f>B8</x:f>
        <x:v>188295.53791614895</x:v>
      </x:c>
      <x:c r="C71" s="32" t="n">
        <x:f>D8</x:f>
        <x:v>1461.161274893059</x:v>
      </x:c>
      <x:c r="D71" s="32" t="n">
        <x:f>E8</x:f>
        <x:v>2922.322549786118</x:v>
      </x:c>
      <x:c r="E71" s="32"/>
      <x:c r="F71" s="32" t="n">
        <x:f>A8</x:f>
        <x:v>307.974492</x:v>
      </x:c>
      <x:c r="G71" s="32" t="n">
        <x:f>C8</x:f>
        <x:v>28602.225816774866</x:v>
      </x:c>
      <x:c r="H71" s="32"/>
      <x:c r="I71" s="32"/>
      <x:c r="J71" s="32"/>
      <x:c r="K71" s="32"/>
      <x:c r="L71" s="32"/>
      <x:c r="M71" s="32"/>
      <x:c r="N71" s="32"/>
    </x:row>
    <x:row r="72">
      <x:c r="A72" s="32" t="n">
        <x:f>A9</x:f>
        <x:v>460.2227016</x:v>
      </x:c>
      <x:c r="B72" s="32" t="n">
        <x:f>B9</x:f>
        <x:v>222078.4629496525</x:v>
      </x:c>
      <x:c r="C72" s="32" t="n">
        <x:f>D9</x:f>
        <x:v>1712.910460216405</x:v>
      </x:c>
      <x:c r="D72" s="32" t="n">
        <x:f>E9</x:f>
        <x:v>3425.82092043281</x:v>
      </x:c>
      <x:c r="E72" s="32"/>
      <x:c r="F72" s="32" t="n">
        <x:f>A9</x:f>
        <x:v>460.2227016</x:v>
      </x:c>
      <x:c r="G72" s="32" t="n">
        <x:f>C9</x:f>
        <x:v>28603.046523089306</x:v>
      </x:c>
      <x:c r="H72" s="32"/>
      <x:c r="I72" s="32"/>
      <x:c r="J72" s="32"/>
      <x:c r="K72" s="32"/>
      <x:c r="L72" s="32"/>
      <x:c r="M72" s="32"/>
      <x:c r="N72" s="32"/>
    </x:row>
    <x:row r="73">
      <x:c r="A73" s="32" t="n">
        <x:f>A10</x:f>
        <x:v>611.9649432</x:v>
      </x:c>
      <x:c r="B73" s="32" t="n">
        <x:f>B10</x:f>
        <x:v>255741.63319933537</x:v>
      </x:c>
      <x:c r="C73" s="32" t="n">
        <x:f>D10</x:f>
        <x:v>1986.0243471491665</x:v>
      </x:c>
      <x:c r="D73" s="32" t="n">
        <x:f>E10</x:f>
        <x:v>3972.048694298333</x:v>
      </x:c>
      <x:c r="E73" s="32"/>
      <x:c r="F73" s="32" t="n">
        <x:f>A10</x:f>
        <x:v>611.9649432</x:v>
      </x:c>
      <x:c r="G73" s="32" t="n">
        <x:f>C10</x:f>
        <x:v>28604.081864545922</x:v>
      </x:c>
      <x:c r="H73" s="32"/>
      <x:c r="I73" s="32"/>
      <x:c r="J73" s="32"/>
      <x:c r="K73" s="32"/>
      <x:c r="L73" s="32"/>
      <x:c r="M73" s="32"/>
      <x:c r="N73" s="32"/>
    </x:row>
    <x:row r="74">
      <x:c r="A74" s="32" t="n">
        <x:f>A11</x:f>
        <x:v>763.5706344</x:v>
      </x:c>
      <x:c r="B74" s="32" t="n">
        <x:f>B11</x:f>
        <x:v>289363.3695426456</x:v>
      </x:c>
      <x:c r="C74" s="32" t="n">
        <x:f>D11</x:f>
        <x:v>2334.434457092405</x:v>
      </x:c>
      <x:c r="D74" s="32" t="n">
        <x:f>E11</x:f>
        <x:v>4668.86891418481</x:v>
      </x:c>
      <x:c r="E74" s="32"/>
      <x:c r="F74" s="32" t="n">
        <x:f>A11</x:f>
        <x:v>763.5706344</x:v>
      </x:c>
      <x:c r="G74" s="32" t="n">
        <x:f>C11</x:f>
        <x:v>28605.634583660325</x:v>
      </x:c>
      <x:c r="H74" s="32"/>
      <x:c r="I74" s="32"/>
      <x:c r="J74" s="32"/>
      <x:c r="K74" s="32"/>
      <x:c r="L74" s="32"/>
      <x:c r="M74" s="32"/>
      <x:c r="N74" s="32"/>
    </x:row>
    <x:row r="75">
      <x:c r="A75" s="32" t="n">
        <x:f>A12</x:f>
        <x:v>915.4786872000001</x:v>
      </x:c>
      <x:c r="B75" s="32" t="n">
        <x:f>B12</x:f>
        <x:v>323083.07275547064</x:v>
      </x:c>
      <x:c r="C75" s="32" t="n">
        <x:f>D12</x:f>
        <x:v>1131.943624491696</x:v>
      </x:c>
      <x:c r="D75" s="32" t="n">
        <x:f>E12</x:f>
        <x:v>2263.887248983392</x:v>
      </x:c>
      <x:c r="E75" s="32"/>
      <x:c r="F75" s="32" t="n">
        <x:f>A12</x:f>
        <x:v>915.4786872000001</x:v>
      </x:c>
      <x:c r="G75" s="32" t="n">
        <x:f>C12</x:f>
        <x:v>28601.327435259216</x:v>
      </x:c>
      <x:c r="H75" s="32"/>
      <x:c r="I75" s="32"/>
      <x:c r="J75" s="32"/>
      <x:c r="K75" s="32"/>
      <x:c r="L75" s="32"/>
      <x:c r="M75" s="32"/>
      <x:c r="N75" s="32"/>
    </x:row>
    <x:row r="76">
      <x:c r="A76" s="32" t="n">
        <x:f>A13</x:f>
        <x:v>1067.9740896</x:v>
      </x:c>
      <x:c r="B76" s="32" t="n">
        <x:f>B13</x:f>
        <x:v>356915.17598741263</x:v>
      </x:c>
      <x:c r="C76" s="32" t="n">
        <x:f>D13</x:f>
        <x:v>1922.4980265136417</x:v>
      </x:c>
      <x:c r="D76" s="32" t="n">
        <x:f>E13</x:f>
        <x:v>3844.9960530272833</x:v>
      </x:c>
      <x:c r="E76" s="32"/>
      <x:c r="F76" s="32" t="n">
        <x:f>A13</x:f>
        <x:v>1067.9740896</x:v>
      </x:c>
      <x:c r="G76" s="32" t="n">
        <x:f>C13</x:f>
        <x:v>28603.843894969134</x:v>
      </x:c>
      <x:c r="H76" s="32"/>
      <x:c r="I76" s="32"/>
      <x:c r="J76" s="32"/>
      <x:c r="K76" s="32"/>
      <x:c r="L76" s="32"/>
      <x:c r="M76" s="32"/>
      <x:c r="N76" s="32"/>
    </x:row>
    <x:row r="77">
      <x:c r="A77" s="32" t="n">
        <x:f>A14</x:f>
        <x:v>1221.042516</x:v>
      </x:c>
      <x:c r="B77" s="32" t="n">
        <x:f>B14</x:f>
        <x:v>390887.50027428183</x:v>
      </x:c>
      <x:c r="C77" s="32" t="n">
        <x:f>D14</x:f>
        <x:v>1394.2772985072377</x:v>
      </x:c>
      <x:c r="D77" s="32" t="n">
        <x:f>E14</x:f>
        <x:v>2788.5545970144753</x:v>
      </x:c>
      <x:c r="E77" s="32"/>
      <x:c r="F77" s="32" t="n">
        <x:f>A14</x:f>
        <x:v>1221.042516</x:v>
      </x:c>
      <x:c r="G77" s="32" t="n">
        <x:f>C14</x:f>
        <x:v>28602.029396406087</x:v>
      </x:c>
      <x:c r="H77" s="32"/>
      <x:c r="I77" s="32"/>
      <x:c r="J77" s="32"/>
      <x:c r="K77" s="32"/>
      <x:c r="L77" s="32"/>
      <x:c r="M77" s="32"/>
      <x:c r="N77" s="32"/>
    </x:row>
    <x:row r="78">
      <x:c r="A78" s="32" t="n">
        <x:f>A15</x:f>
        <x:v>1374.3773376000001</x:v>
      </x:c>
      <x:c r="B78" s="32" t="n">
        <x:f>B15</x:f>
        <x:v>424896.5556028249</x:v>
      </x:c>
      <x:c r="C78" s="32" t="n">
        <x:f>D15</x:f>
        <x:v>2221.60215796265</x:v>
      </x:c>
      <x:c r="D78" s="32" t="n">
        <x:f>E15</x:f>
        <x:v>4443.2043159253</x:v>
      </x:c>
      <x:c r="E78" s="32"/>
      <x:c r="F78" s="32" t="n">
        <x:f>A15</x:f>
        <x:v>1374.3773376000001</x:v>
      </x:c>
      <x:c r="G78" s="32" t="n">
        <x:f>C15</x:f>
        <x:v>28605.16126699926</x:v>
      </x:c>
      <x:c r="H78" s="32"/>
      <x:c r="I78" s="32"/>
      <x:c r="J78" s="32"/>
      <x:c r="K78" s="32"/>
      <x:c r="L78" s="32"/>
      <x:c r="M78" s="32"/>
      <x:c r="N78" s="32"/>
    </x:row>
    <x:row r="79">
      <x:c r="A79" s="32" t="n">
        <x:f>A16</x:f>
        <x:v>1527.5362896000001</x:v>
      </x:c>
      <x:c r="B79" s="32" t="n">
        <x:f>B16</x:f>
        <x:v>458900.33700830623</x:v>
      </x:c>
      <x:c r="C79" s="32" t="n">
        <x:f>D16</x:f>
        <x:v>651.098429003259</x:v>
      </x:c>
      <x:c r="D79" s="32" t="n">
        <x:f>E16</x:f>
        <x:v>1302.196858006518</x:v>
      </x:c>
      <x:c r="E79" s="32"/>
      <x:c r="F79" s="32" t="n">
        <x:f>A16</x:f>
        <x:v>1527.5362896000001</x:v>
      </x:c>
      <x:c r="G79" s="32" t="n">
        <x:f>C16</x:f>
        <x:v>28600.442811241654</x:v>
      </x:c>
      <x:c r="H79" s="32"/>
      <x:c r="I79" s="32"/>
      <x:c r="J79" s="32"/>
      <x:c r="K79" s="32"/>
      <x:c r="L79" s="32"/>
      <x:c r="M79" s="32"/>
      <x:c r="N79" s="32"/>
    </x:row>
    <x:row r="80">
      <x:c r="A80" s="32" t="n">
        <x:f>A17</x:f>
        <x:v>1565.8667184</x:v>
      </x:c>
      <x:c r="B80" s="32" t="n">
        <x:f>B17</x:f>
        <x:v>467010.8206480392</x:v>
      </x:c>
      <x:c r="C80" s="32" t="n">
        <x:f>D17</x:f>
        <x:v>14625.870276492271</x:v>
      </x:c>
      <x:c r="D80" s="32" t="n">
        <x:f>E17</x:f>
        <x:v>29251.740552984542</x:v>
      </x:c>
      <x:c r="E80" s="32"/>
      <x:c r="F80" s="32" t="n">
        <x:f>A17</x:f>
        <x:v>1565.8667184</x:v>
      </x:c>
      <x:c r="G80" s="32" t="n">
        <x:f>C17</x:f>
        <x:v>28655.920374194855</x:v>
      </x:c>
      <x:c r="H80" s="32"/>
      <x:c r="I80" s="32"/>
      <x:c r="J80" s="32"/>
      <x:c r="K80" s="32"/>
      <x:c r="L80" s="32"/>
      <x:c r="M80" s="32"/>
      <x:c r="N80" s="32"/>
    </x:row>
    <x:row r="81">
      <x:c r="A81" s="32" t="n">
        <x:f>A18</x:f>
        <x:v>1603.5857184000001</x:v>
      </x:c>
      <x:c r="B81" s="32" t="n">
        <x:f>B18</x:f>
        <x:v>475023.9437135505</x:v>
      </x:c>
      <x:c r="C81" s="32" t="n">
        <x:f>D18</x:f>
        <x:v>14018.927722546516</x:v>
      </x:c>
      <x:c r="D81" s="32" t="n">
        <x:f>E18</x:f>
        <x:v>28037.85544509303</x:v>
      </x:c>
      <x:c r="E81" s="32"/>
      <x:c r="F81" s="32" t="n">
        <x:f>A18</x:f>
        <x:v>1603.5857184000001</x:v>
      </x:c>
      <x:c r="G81" s="32" t="n">
        <x:f>C18</x:f>
        <x:v>28650.556001776695</x:v>
      </x:c>
      <x:c r="H81" s="32"/>
      <x:c r="I81" s="32"/>
      <x:c r="J81" s="32"/>
      <x:c r="K81" s="32"/>
      <x:c r="L81" s="32"/>
      <x:c r="M81" s="32"/>
      <x:c r="N81" s="32"/>
    </x:row>
    <x:row r="82">
      <x:c r="A82" s="32" t="n">
        <x:f>A19</x:f>
        <x:v>1640.9209752000002</x:v>
      </x:c>
      <x:c r="B82" s="32" t="n">
        <x:f>B19</x:f>
        <x:v>482983.18016497383</x:v>
      </x:c>
      <x:c r="C82" s="32" t="n">
        <x:f>D19</x:f>
        <x:v>13467.273080777122</x:v>
      </x:c>
      <x:c r="D82" s="32" t="n">
        <x:f>E19</x:f>
        <x:v>26934.546161554244</x:v>
      </x:c>
      <x:c r="E82" s="32"/>
      <x:c r="F82" s="32" t="n">
        <x:f>A19</x:f>
        <x:v>1640.9209752000002</x:v>
      </x:c>
      <x:c r="G82" s="32" t="n">
        <x:f>C19</x:f>
        <x:v>28646.180797957255</x:v>
      </x:c>
      <x:c r="H82" s="32"/>
      <x:c r="I82" s="32"/>
      <x:c r="J82" s="32"/>
      <x:c r="K82" s="32"/>
      <x:c r="L82" s="32"/>
      <x:c r="M82" s="32"/>
      <x:c r="N82" s="32"/>
    </x:row>
    <x:row r="83">
      <x:c r="A83" s="32" t="n">
        <x:f>A20</x:f>
        <x:v>1678.2970752</x:v>
      </x:c>
      <x:c r="B83" s="32" t="n">
        <x:f>B20</x:f>
        <x:v>490967.14040348405</x:v>
      </x:c>
      <x:c r="C83" s="32" t="n">
        <x:f>D20</x:f>
        <x:v>13137.332179016305</x:v>
      </x:c>
      <x:c r="D83" s="32" t="n">
        <x:f>E20</x:f>
        <x:v>26274.66435803261</x:v>
      </x:c>
      <x:c r="E83" s="32"/>
      <x:c r="F83" s="32" t="n">
        <x:f>A20</x:f>
        <x:v>1678.2970752</x:v>
      </x:c>
      <x:c r="G83" s="32" t="n">
        <x:f>C20</x:f>
        <x:v>28643.99378239939</x:v>
      </x:c>
      <x:c r="H83" s="32"/>
      <x:c r="I83" s="32"/>
      <x:c r="J83" s="32"/>
      <x:c r="K83" s="32"/>
      <x:c r="L83" s="32"/>
      <x:c r="M83" s="32"/>
      <x:c r="N83" s="32"/>
    </x:row>
    <x:row r="84">
      <x:c r="A84" s="32" t="n">
        <x:f>A21</x:f>
        <x:v>1716.1166592000002</x:v>
      </x:c>
      <x:c r="B84" s="32" t="n">
        <x:f>B21</x:f>
        <x:v>499038.4189947745</x:v>
      </x:c>
      <x:c r="C84" s="32" t="n">
        <x:f>D21</x:f>
        <x:v>13289.302478170144</x:v>
      </x:c>
      <x:c r="D84" s="32" t="n">
        <x:f>E21</x:f>
        <x:v>26578.60495634029</x:v>
      </x:c>
      <x:c r="E84" s="32"/>
      <x:c r="F84" s="32" t="n">
        <x:f>A21</x:f>
        <x:v>1716.1166592000002</x:v>
      </x:c>
      <x:c r="G84" s="32" t="n">
        <x:f>C21</x:f>
        <x:v>28645.55164627609</x:v>
      </x:c>
      <x:c r="H84" s="32"/>
      <x:c r="I84" s="32"/>
      <x:c r="J84" s="32"/>
      <x:c r="K84" s="32"/>
      <x:c r="L84" s="32"/>
      <x:c r="M84" s="32"/>
      <x:c r="N84" s="32"/>
    </x:row>
    <x:row r="85">
      <x:c r="A85" s="32" t="n">
        <x:f>A22</x:f>
        <x:v>1754.5571208000001</x:v>
      </x:c>
      <x:c r="B85" s="32" t="n">
        <x:f>B22</x:f>
        <x:v>507214.75489862217</x:v>
      </x:c>
      <x:c r="C85" s="32" t="n">
        <x:f>D22</x:f>
        <x:v>13828.652103940169</x:v>
      </x:c>
      <x:c r="D85" s="32" t="n">
        <x:f>E22</x:f>
        <x:v>27657.304207880337</x:v>
      </x:c>
      <x:c r="E85" s="32"/>
      <x:c r="F85" s="32" t="n">
        <x:f>A22</x:f>
        <x:v>1754.5571208000001</x:v>
      </x:c>
      <x:c r="G85" s="32" t="n">
        <x:f>C22</x:f>
        <x:v>28650.133872575967</x:v>
      </x:c>
      <x:c r="H85" s="32"/>
      <x:c r="I85" s="32"/>
      <x:c r="J85" s="32"/>
      <x:c r="K85" s="32"/>
      <x:c r="L85" s="32"/>
      <x:c r="M85" s="32"/>
      <x:c r="N85" s="32"/>
    </x:row>
    <x:row r="86">
      <x:c r="A86" s="32" t="n">
        <x:f>A23</x:f>
        <x:v>1793.4788616</x:v>
      </x:c>
      <x:c r="B86" s="32" t="n">
        <x:f>B23</x:f>
        <x:v>515462.2266916272</x:v>
      </x:c>
      <x:c r="C86" s="32" t="n">
        <x:f>D23</x:f>
        <x:v>14410.724855994376</x:v>
      </x:c>
      <x:c r="D86" s="32" t="n">
        <x:f>E23</x:f>
        <x:v>28821.449711988753</x:v>
      </x:c>
      <x:c r="E86" s="32"/>
      <x:c r="F86" s="32" t="n">
        <x:f>A23</x:f>
        <x:v>1793.4788616</x:v>
      </x:c>
      <x:c r="G86" s="32" t="n">
        <x:f>C23</x:f>
        <x:v>28655.12477952955</x:v>
      </x:c>
      <x:c r="H86" s="32"/>
      <x:c r="I86" s="32"/>
      <x:c r="J86" s="32"/>
      <x:c r="K86" s="32"/>
      <x:c r="L86" s="32"/>
      <x:c r="M86" s="32"/>
      <x:c r="N86" s="32"/>
    </x:row>
    <x:row r="87">
      <x:c r="A87" s="32" t="n">
        <x:f>A24</x:f>
        <x:v>1832.4975288000003</x:v>
      </x:c>
      <x:c r="B87" s="32" t="n">
        <x:f>B24</x:f>
        <x:v>523714.4049053724</x:v>
      </x:c>
      <x:c r="C87" s="32" t="n">
        <x:f>D24</x:f>
        <x:v>14696.276085690224</x:v>
      </x:c>
      <x:c r="D87" s="32" t="n">
        <x:f>E24</x:f>
        <x:v>29392.55217138045</x:v>
      </x:c>
      <x:c r="E87" s="32"/>
      <x:c r="F87" s="32" t="n">
        <x:f>A24</x:f>
        <x:v>1832.4975288000003</x:v>
      </x:c>
      <x:c r="G87" s="32" t="n">
        <x:f>C24</x:f>
        <x:v>28657.473810495594</x:v>
      </x:c>
      <x:c r="H87" s="32"/>
      <x:c r="I87" s="32"/>
      <x:c r="J87" s="32"/>
      <x:c r="K87" s="32"/>
      <x:c r="L87" s="32"/>
      <x:c r="M87" s="32"/>
      <x:c r="N87" s="32"/>
    </x:row>
    <x:row r="88">
      <x:c r="A88" s="32" t="n">
        <x:f>A25</x:f>
        <x:v>1871.1787824</x:v>
      </x:c>
      <x:c r="B88" s="32" t="n">
        <x:f>B25</x:f>
        <x:v>531904.7691480203</x:v>
      </x:c>
      <x:c r="C88" s="32" t="n">
        <x:f>D25</x:f>
        <x:v>14523.257963276968</x:v>
      </x:c>
      <x:c r="D88" s="32" t="n">
        <x:f>E25</x:f>
        <x:v>29046.515926553937</x:v>
      </x:c>
      <x:c r="E88" s="32"/>
      <x:c r="F88" s="32" t="n">
        <x:f>A25</x:f>
        <x:v>1871.1787824</x:v>
      </x:c>
      <x:c r="G88" s="32" t="n">
        <x:f>C25</x:f>
        <x:v>28655.64313620947</x:v>
      </x:c>
      <x:c r="H88" s="32"/>
      <x:c r="I88" s="32"/>
      <x:c r="J88" s="32"/>
      <x:c r="K88" s="32"/>
      <x:c r="L88" s="32"/>
      <x:c r="M88" s="32"/>
      <x:c r="N88" s="32"/>
    </x:row>
    <x:row r="89">
      <x:c r="A89" s="32" t="n">
        <x:f>A26</x:f>
        <x:v>1947.3607992000002</x:v>
      </x:c>
      <x:c r="B89" s="32" t="n">
        <x:f>B26</x:f>
        <x:v>548553.5110684601</x:v>
      </x:c>
      <x:c r="C89" s="32" t="n">
        <x:f>D26</x:f>
        <x:v>8464.771745150709</x:v>
      </x:c>
      <x:c r="D89" s="32" t="n">
        <x:f>E26</x:f>
        <x:v>16929.543490301417</x:v>
      </x:c>
      <x:c r="E89" s="32"/>
      <x:c r="F89" s="32" t="n">
        <x:f>A26</x:f>
        <x:v>1947.3607992000002</x:v>
      </x:c>
      <x:c r="G89" s="32" t="n">
        <x:f>C26</x:f>
        <x:v>28637.227676048366</x:v>
      </x:c>
      <x:c r="H89" s="32"/>
      <x:c r="I89" s="32"/>
      <x:c r="J89" s="32"/>
      <x:c r="K89" s="32"/>
      <x:c r="L89" s="32"/>
      <x:c r="M89" s="32"/>
      <x:c r="N89" s="32"/>
    </x:row>
    <x:row r="90">
      <x:c r="A90" s="32" t="n">
        <x:f>A27</x:f>
        <x:v>2022.9868608</x:v>
      </x:c>
      <x:c r="B90" s="32" t="n">
        <x:f>B27</x:f>
        <x:v>565177.7735507294</x:v>
      </x:c>
      <x:c r="C90" s="32" t="n">
        <x:f>D27</x:f>
        <x:v>6736.03129578184</x:v>
      </x:c>
      <x:c r="D90" s="32" t="n">
        <x:f>E27</x:f>
        <x:v>13472.06259156368</x:v>
      </x:c>
      <x:c r="E90" s="32"/>
      <x:c r="F90" s="32" t="n">
        <x:f>A27</x:f>
        <x:v>2022.9868608</x:v>
      </x:c>
      <x:c r="G90" s="32" t="n">
        <x:f>C27</x:f>
        <x:v>28623.402520451196</x:v>
      </x:c>
      <x:c r="H90" s="32"/>
      <x:c r="I90" s="32"/>
      <x:c r="J90" s="32"/>
      <x:c r="K90" s="32"/>
      <x:c r="L90" s="32"/>
      <x:c r="M90" s="32"/>
      <x:c r="N90" s="32"/>
    </x:row>
    <x:row r="91">
      <x:c r="A91" s="32" t="n">
        <x:f>A28</x:f>
        <x:v>2098.3837128</x:v>
      </x:c>
      <x:c r="B91" s="32" t="n">
        <x:f>B28</x:f>
        <x:v>581757.977354576</x:v>
      </x:c>
      <x:c r="C91" s="32" t="n">
        <x:f>D28</x:f>
        <x:v>6607.2154035717995</x:v>
      </x:c>
      <x:c r="D91" s="32" t="n">
        <x:f>E28</x:f>
        <x:v>13214.430807143599</x:v>
      </x:c>
      <x:c r="E91" s="32"/>
      <x:c r="F91" s="32" t="n">
        <x:f>A28</x:f>
        <x:v>2098.3837128</x:v>
      </x:c>
      <x:c r="G91" s="32" t="n">
        <x:f>C28</x:f>
        <x:v>28622.447764702734</x:v>
      </x:c>
      <x:c r="H91" s="32"/>
      <x:c r="I91" s="32"/>
      <x:c r="J91" s="32"/>
      <x:c r="K91" s="32"/>
      <x:c r="L91" s="32"/>
      <x:c r="M91" s="32"/>
      <x:c r="N91" s="32"/>
    </x:row>
    <x:row r="92">
      <x:c r="A92" s="32" t="n">
        <x:f>A29</x:f>
        <x:v>2173.9945344000002</x:v>
      </x:c>
      <x:c r="B92" s="32" t="n">
        <x:f>B29</x:f>
        <x:v>598394.2715607802</x:v>
      </x:c>
      <x:c r="C92" s="32" t="n">
        <x:f>D29</x:f>
        <x:v>6419.267007502434</x:v>
      </x:c>
      <x:c r="D92" s="32" t="n">
        <x:f>E29</x:f>
        <x:v>12838.534015004869</x:v>
      </x:c>
      <x:c r="E92" s="32"/>
      <x:c r="F92" s="32" t="n">
        <x:f>A29</x:f>
        <x:v>2173.9945344000002</x:v>
      </x:c>
      <x:c r="G92" s="32" t="n">
        <x:f>C29</x:f>
        <x:v>28621.24896567042</x:v>
      </x:c>
      <x:c r="H92" s="32"/>
      <x:c r="I92" s="32"/>
      <x:c r="J92" s="32"/>
      <x:c r="K92" s="32"/>
      <x:c r="L92" s="32"/>
      <x:c r="M92" s="32"/>
      <x:c r="N92" s="32"/>
    </x:row>
    <x:row r="93">
      <x:c r="A93" s="32" t="n">
        <x:f>A30</x:f>
        <x:v>2250.1543008</x:v>
      </x:c>
      <x:c r="B93" s="32" t="n">
        <x:f>B30</x:f>
        <x:v>615162.8034411283</x:v>
      </x:c>
      <x:c r="C93" s="32" t="n">
        <x:f>D30</x:f>
        <x:v>6174.609456279386</x:v>
      </x:c>
      <x:c r="D93" s="32" t="n">
        <x:f>E30</x:f>
        <x:v>12349.218912558772</x:v>
      </x:c>
      <x:c r="E93" s="32"/>
      <x:c r="F93" s="32" t="n">
        <x:f>A30</x:f>
        <x:v>2250.1543008</x:v>
      </x:c>
      <x:c r="G93" s="32" t="n">
        <x:f>C30</x:f>
        <x:v>28619.802843146415</x:v>
      </x:c>
      <x:c r="H93" s="32"/>
      <x:c r="I93" s="32"/>
      <x:c r="J93" s="32"/>
      <x:c r="K93" s="32"/>
      <x:c r="L93" s="32"/>
      <x:c r="M93" s="32"/>
      <x:c r="N93" s="32"/>
    </x:row>
    <x:row r="94">
      <x:c r="A94" s="32" t="n">
        <x:f>A31</x:f>
        <x:v>2326.9172664000002</x:v>
      </x:c>
      <x:c r="B94" s="32" t="n">
        <x:f>B31</x:f>
        <x:v>632077.6149666572</x:v>
      </x:c>
      <x:c r="C94" s="32" t="n">
        <x:f>D31</x:f>
        <x:v>5876.344539699765</x:v>
      </x:c>
      <x:c r="D94" s="32" t="n">
        <x:f>E31</x:f>
        <x:v>11752.68907939953</x:v>
      </x:c>
      <x:c r="E94" s="32"/>
      <x:c r="F94" s="32" t="n">
        <x:f>A31</x:f>
        <x:v>2326.9172664000002</x:v>
      </x:c>
      <x:c r="G94" s="32" t="n">
        <x:f>C31</x:f>
        <x:v>28618.07795096018</x:v>
      </x:c>
      <x:c r="H94" s="32"/>
      <x:c r="I94" s="32"/>
      <x:c r="J94" s="32"/>
      <x:c r="K94" s="32"/>
      <x:c r="L94" s="32"/>
      <x:c r="M94" s="32"/>
      <x:c r="N94" s="32"/>
    </x:row>
    <x:row r="95">
      <x:c r="A95" s="32" t="n">
        <x:f>A32</x:f>
        <x:v>2404.030752</x:v>
      </x:c>
      <x:c r="B95" s="32" t="n">
        <x:f>B32</x:f>
        <x:v>649084.5607830377</x:v>
      </x:c>
      <x:c r="C95" s="32" t="n">
        <x:f>D32</x:f>
        <x:v>5529.406533740687</x:v>
      </x:c>
      <x:c r="D95" s="32" t="n">
        <x:f>E32</x:f>
        <x:v>11058.813067481375</x:v>
      </x:c>
      <x:c r="E95" s="32"/>
      <x:c r="F95" s="32" t="n">
        <x:f>A32</x:f>
        <x:v>2404.030752</x:v>
      </x:c>
      <x:c r="G95" s="32" t="n">
        <x:f>C32</x:f>
        <x:v>28616.079418311117</x:v>
      </x:c>
      <x:c r="H95" s="32"/>
      <x:c r="I95" s="32"/>
      <x:c r="J95" s="32"/>
      <x:c r="K95" s="32"/>
      <x:c r="L95" s="32"/>
      <x:c r="M95" s="32"/>
      <x:c r="N95" s="32"/>
    </x:row>
    <x:row r="96">
      <x:c r="A96" s="32" t="n">
        <x:f>A33</x:f>
        <x:v>2481.0637704</x:v>
      </x:c>
      <x:c r="B96" s="32" t="n">
        <x:f>B33</x:f>
        <x:v>666089.5530951733</x:v>
      </x:c>
      <x:c r="C96" s="32" t="n">
        <x:f>D33</x:f>
        <x:v>5135.638179379317</x:v>
      </x:c>
      <x:c r="D96" s="32" t="n">
        <x:f>E33</x:f>
        <x:v>10271.276358758634</x:v>
      </x:c>
      <x:c r="E96" s="32"/>
      <x:c r="F96" s="32" t="n">
        <x:f>A33</x:f>
        <x:v>2481.0637704</x:v>
      </x:c>
      <x:c r="G96" s="32" t="n">
        <x:f>C33</x:f>
        <x:v>28613.856345693515</x:v>
      </x:c>
      <x:c r="H96" s="32"/>
      <x:c r="I96" s="32"/>
      <x:c r="J96" s="32"/>
      <x:c r="K96" s="32"/>
      <x:c r="L96" s="32"/>
      <x:c r="M96" s="32"/>
      <x:c r="N96" s="32"/>
    </x:row>
    <x:row r="97">
      <x:c r="A97" s="32" t="n">
        <x:f>A34</x:f>
        <x:v>2557.6252632</x:v>
      </x:c>
      <x:c r="B97" s="32" t="n">
        <x:f>B34</x:f>
        <x:v>683006.0673463177</x:v>
      </x:c>
      <x:c r="C97" s="32" t="n">
        <x:f>D34</x:f>
        <x:v>4711.485253484027</x:v>
      </x:c>
      <x:c r="D97" s="32" t="n">
        <x:f>E34</x:f>
        <x:v>9422.970506968055</x:v>
      </x:c>
      <x:c r="E97" s="32"/>
      <x:c r="F97" s="32" t="n">
        <x:f>A34</x:f>
        <x:v>2557.6252632</x:v>
      </x:c>
      <x:c r="G97" s="32" t="n">
        <x:f>C34</x:f>
        <x:v>28611.59068283126</x:v>
      </x:c>
      <x:c r="H97" s="32"/>
      <x:c r="I97" s="32"/>
      <x:c r="J97" s="32"/>
      <x:c r="K97" s="32"/>
      <x:c r="L97" s="32"/>
      <x:c r="M97" s="32"/>
      <x:c r="N97" s="32"/>
    </x:row>
    <x:row r="98">
      <x:c r="A98" s="32" t="n">
        <x:f>A35</x:f>
        <x:v>2633.5658784</x:v>
      </x:c>
      <x:c r="B98" s="32" t="n">
        <x:f>B35</x:f>
        <x:v>699800.3995342111</x:v>
      </x:c>
      <x:c r="C98" s="32" t="n">
        <x:f>D35</x:f>
        <x:v>4260.430722586636</x:v>
      </x:c>
      <x:c r="D98" s="32" t="n">
        <x:f>E35</x:f>
        <x:v>8520.861445173272</x:v>
      </x:c>
      <x:c r="E98" s="32"/>
      <x:c r="F98" s="32" t="n">
        <x:f>A35</x:f>
        <x:v>2633.5658784</x:v>
      </x:c>
      <x:c r="G98" s="32" t="n">
        <x:f>C35</x:f>
        <x:v>28609.400784203306</x:v>
      </x:c>
      <x:c r="H98" s="32"/>
      <x:c r="I98" s="32"/>
      <x:c r="J98" s="32"/>
      <x:c r="K98" s="32"/>
      <x:c r="L98" s="32"/>
      <x:c r="M98" s="32"/>
      <x:c r="N98" s="32"/>
    </x:row>
    <x:row r="99">
      <x:c r="A99" s="32" t="n">
        <x:f>A36</x:f>
        <x:v>2709.0514272</x:v>
      </x:c>
      <x:c r="B99" s="32" t="n">
        <x:f>B36</x:f>
        <x:v>716507.5171333092</x:v>
      </x:c>
      <x:c r="C99" s="32" t="n">
        <x:f>D36</x:f>
        <x:v>3809.012087543358</x:v>
      </x:c>
      <x:c r="D99" s="32" t="n">
        <x:f>E36</x:f>
        <x:v>7618.024175086716</x:v>
      </x:c>
      <x:c r="E99" s="32"/>
      <x:c r="F99" s="32" t="n">
        <x:f>A36</x:f>
        <x:v>2709.0514272</x:v>
      </x:c>
      <x:c r="G99" s="32" t="n">
        <x:f>C36</x:f>
        <x:v>28607.46915505814</x:v>
      </x:c>
      <x:c r="H99" s="32"/>
      <x:c r="I99" s="32"/>
      <x:c r="J99" s="32"/>
      <x:c r="K99" s="32"/>
      <x:c r="L99" s="32"/>
      <x:c r="M99" s="32"/>
      <x:c r="N99" s="32"/>
    </x:row>
    <x:row r="100">
      <x:c r="A100" s="32" t="n">
        <x:f>A37</x:f>
        <x:v>2784.480588</x:v>
      </x:c>
      <x:c r="B100" s="32" t="n">
        <x:f>B37</x:f>
        <x:v>733213.5635852496</x:v>
      </x:c>
      <x:c r="C100" s="32" t="n">
        <x:f>D37</x:f>
        <x:v>3377.9059561717727</x:v>
      </x:c>
      <x:c r="D100" s="32" t="n">
        <x:f>E37</x:f>
        <x:v>6755.811912343545</x:v>
      </x:c>
      <x:c r="E100" s="32"/>
      <x:c r="F100" s="32" t="n">
        <x:f>A37</x:f>
        <x:v>2784.480588</x:v>
      </x:c>
      <x:c r="G100" s="32" t="n">
        <x:f>C37</x:f>
        <x:v>28605.869719411843</x:v>
      </x:c>
      <x:c r="H100" s="32"/>
      <x:c r="I100" s="32"/>
      <x:c r="J100" s="32"/>
      <x:c r="K100" s="32"/>
      <x:c r="L100" s="32"/>
      <x:c r="M100" s="32"/>
      <x:c r="N100" s="32"/>
    </x:row>
    <x:row r="101">
      <x:c r="A101" s="32" t="n">
        <x:f>A38</x:f>
        <x:v>2860.2800807999997</x:v>
      </x:c>
      <x:c r="B101" s="32" t="n">
        <x:f>B38</x:f>
        <x:v>750010.9735344269</x:v>
      </x:c>
      <x:c r="C101" s="32" t="n">
        <x:f>D38</x:f>
        <x:v>2980.8684489930993</x:v>
      </x:c>
      <x:c r="D101" s="32" t="n">
        <x:f>E38</x:f>
        <x:v>5961.7368979861985</x:v>
      </x:c>
      <x:c r="E101" s="32"/>
      <x:c r="F101" s="32" t="n">
        <x:f>A38</x:f>
        <x:v>2860.2800807999997</x:v>
      </x:c>
      <x:c r="G101" s="32" t="n">
        <x:f>C38</x:f>
        <x:v>28604.593406461943</x:v>
      </x:c>
      <x:c r="H101" s="32"/>
      <x:c r="I101" s="32"/>
      <x:c r="J101" s="32"/>
      <x:c r="K101" s="32"/>
      <x:c r="L101" s="32"/>
      <x:c r="M101" s="32"/>
      <x:c r="N101" s="32"/>
    </x:row>
    <x:row r="102">
      <x:c r="A102" s="32" t="n">
        <x:f>A39</x:f>
        <x:v>2936.688564</x:v>
      </x:c>
      <x:c r="B102" s="32" t="n">
        <x:f>B39</x:f>
        <x:v>766951.240161732</x:v>
      </x:c>
      <x:c r="C102" s="32" t="n">
        <x:f>D39</x:f>
        <x:v>2601.355278029806</x:v>
      </x:c>
      <x:c r="D102" s="32" t="n">
        <x:f>E39</x:f>
        <x:v>5202.710556059612</x:v>
      </x:c>
      <x:c r="E102" s="32"/>
      <x:c r="F102" s="32" t="n">
        <x:f>A39</x:f>
        <x:v>2936.688564</x:v>
      </x:c>
      <x:c r="G102" s="32" t="n">
        <x:f>C39</x:f>
        <x:v>28603.526337492924</x:v>
      </x:c>
      <x:c r="H102" s="32"/>
      <x:c r="I102" s="32"/>
      <x:c r="J102" s="32"/>
      <x:c r="K102" s="32"/>
      <x:c r="L102" s="32"/>
      <x:c r="M102" s="32"/>
      <x:c r="N102" s="32"/>
    </x:row>
    <x:row r="103">
      <x:c r="A103" s="32" t="n">
        <x:f>A40</x:f>
        <x:v>3013.6334952</x:v>
      </x:c>
      <x:c r="B103" s="32" t="n">
        <x:f>B40</x:f>
        <x:v>784017.5061779759</x:v>
      </x:c>
      <x:c r="C103" s="32" t="n">
        <x:f>D40</x:f>
        <x:v>2210.464287905019</x:v>
      </x:c>
      <x:c r="D103" s="32" t="n">
        <x:f>E40</x:f>
        <x:v>4420.928575810038</x:v>
      </x:c>
      <x:c r="E103" s="32"/>
      <x:c r="F103" s="32" t="n">
        <x:f>A40</x:f>
        <x:v>3013.6334952</x:v>
      </x:c>
      <x:c r="G103" s="32" t="n">
        <x:f>C40</x:f>
        <x:v>28602.564070595457</x:v>
      </x:c>
      <x:c r="H103" s="32"/>
      <x:c r="I103" s="32"/>
      <x:c r="J103" s="32"/>
      <x:c r="K103" s="32"/>
      <x:c r="L103" s="32"/>
      <x:c r="M103" s="32"/>
      <x:c r="N103" s="32"/>
    </x:row>
    <x:row r="104">
      <x:c r="A104" s="32" t="n">
        <x:f>A41</x:f>
        <x:v>3090.7698408</x:v>
      </x:c>
      <x:c r="B104" s="32" t="n">
        <x:f>B41</x:f>
        <x:v>801132.0373323669</x:v>
      </x:c>
      <x:c r="C104" s="32" t="n">
        <x:f>D41</x:f>
        <x:v>1828.4835133349245</x:v>
      </x:c>
      <x:c r="D104" s="32" t="n">
        <x:f>E41</x:f>
        <x:v>3656.967026669849</x:v>
      </x:c>
      <x:c r="E104" s="32"/>
      <x:c r="F104" s="32" t="n">
        <x:f>A41</x:f>
        <x:v>3090.7698408</x:v>
      </x:c>
      <x:c r="G104" s="32" t="n">
        <x:f>C41</x:f>
        <x:v>28601.758831011655</x:v>
      </x:c>
      <x:c r="H104" s="32"/>
      <x:c r="I104" s="32"/>
      <x:c r="J104" s="32"/>
      <x:c r="K104" s="32"/>
      <x:c r="L104" s="32"/>
      <x:c r="M104" s="32"/>
      <x:c r="N104" s="32"/>
    </x:row>
    <x:row r="105">
      <x:c r="A105" s="32" t="n">
        <x:f>A42</x:f>
        <x:v>3167.6544215999998</x:v>
      </x:c>
      <x:c r="B105" s="32" t="n">
        <x:f>B42</x:f>
        <x:v>818190.9258303377</x:v>
      </x:c>
      <x:c r="C105" s="32" t="n">
        <x:f>D42</x:f>
        <x:v>1812.5797754308658</x:v>
      </x:c>
      <x:c r="D105" s="32" t="n">
        <x:f>E42</x:f>
        <x:v>3625.1595508617315</x:v>
      </x:c>
      <x:c r="E105" s="32"/>
      <x:c r="F105" s="32" t="n">
        <x:f>A42</x:f>
        <x:v>3167.6544215999998</x:v>
      </x:c>
      <x:c r="G105" s="32" t="n">
        <x:f>C42</x:f>
        <x:v>28601.722727027758</x:v>
      </x:c>
      <x:c r="H105" s="32"/>
      <x:c r="I105" s="32"/>
      <x:c r="J105" s="32"/>
      <x:c r="K105" s="32"/>
      <x:c r="L105" s="32"/>
      <x:c r="M105" s="32"/>
      <x:c r="N105" s="32"/>
    </x:row>
    <x:row r="106">
      <x:c r="A106" s="32" t="n">
        <x:f>A43</x:f>
        <x:v>3243.9723792</x:v>
      </x:c>
      <x:c r="B106" s="32" t="n">
        <x:f>B43</x:f>
        <x:v>835118.0075327385</x:v>
      </x:c>
      <x:c r="C106" s="32" t="n">
        <x:f>D43</x:f>
        <x:v>2217.891733412791</x:v>
      </x:c>
      <x:c r="D106" s="32" t="n">
        <x:f>E43</x:f>
        <x:v>4435.783466825582</x:v>
      </x:c>
      <x:c r="E106" s="32"/>
      <x:c r="F106" s="32" t="n">
        <x:f>A43</x:f>
        <x:v>3243.9723792</x:v>
      </x:c>
      <x:c r="G106" s="32" t="n">
        <x:f>C43</x:f>
        <x:v>28602.56029719639</x:v>
      </x:c>
      <x:c r="H106" s="32"/>
      <x:c r="I106" s="32"/>
      <x:c r="J106" s="32"/>
      <x:c r="K106" s="32"/>
      <x:c r="L106" s="32"/>
      <x:c r="M106" s="32"/>
      <x:c r="N106" s="32"/>
    </x:row>
    <x:row r="107">
      <x:c r="A107" s="32" t="n">
        <x:f>A44</x:f>
        <x:v>3319.6978056000003</x:v>
      </x:c>
      <x:c r="B107" s="32" t="n">
        <x:f>B44</x:f>
        <x:v>851906.0400679975</x:v>
      </x:c>
      <x:c r="C107" s="32" t="n">
        <x:f>D44</x:f>
        <x:v>2642.4110592528173</x:v>
      </x:c>
      <x:c r="D107" s="32" t="n">
        <x:f>E44</x:f>
        <x:v>5284.8221185056345</x:v>
      </x:c>
      <x:c r="E107" s="32"/>
      <x:c r="F107" s="32" t="n">
        <x:f>A44</x:f>
        <x:v>3319.6978056000003</x:v>
      </x:c>
      <x:c r="G107" s="32" t="n">
        <x:f>C44</x:f>
        <x:v>28603.605997663533</x:v>
      </x:c>
      <x:c r="H107" s="32"/>
      <x:c r="I107" s="32"/>
      <x:c r="J107" s="32"/>
      <x:c r="K107" s="32"/>
      <x:c r="L107" s="32"/>
      <x:c r="M107" s="32"/>
      <x:c r="N107" s="32"/>
    </x:row>
    <x:row r="108">
      <x:c r="A108" s="32" t="n">
        <x:f>A45</x:f>
        <x:v>3395.1068496000003</x:v>
      </x:c>
      <x:c r="B108" s="32" t="n">
        <x:f>B45</x:f>
        <x:v>868616.94718898</x:v>
      </x:c>
      <x:c r="C108" s="32" t="n">
        <x:f>D45</x:f>
        <x:v>2979.8716159706937</x:v>
      </x:c>
      <x:c r="D108" s="32" t="n">
        <x:f>E45</x:f>
        <x:v>5959.743231941387</x:v>
      </x:c>
      <x:c r="E108" s="32"/>
      <x:c r="F108" s="32" t="n">
        <x:f>A45</x:f>
        <x:v>3395.1068496000003</x:v>
      </x:c>
      <x:c r="G108" s="32" t="n">
        <x:f>C45</x:f>
        <x:v>28604.566689656534</x:v>
      </x:c>
      <x:c r="H108" s="32"/>
      <x:c r="I108" s="32"/>
      <x:c r="J108" s="32"/>
      <x:c r="K108" s="32"/>
      <x:c r="L108" s="32"/>
      <x:c r="M108" s="32"/>
      <x:c r="N108" s="32"/>
    </x:row>
    <x:row r="109">
      <x:c r="A109" s="32" t="n">
        <x:f>A46</x:f>
        <x:v>3470.6368992</x:v>
      </x:c>
      <x:c r="B109" s="32" t="n">
        <x:f>B46</x:f>
        <x:v>885348.6982656334</x:v>
      </x:c>
      <x:c r="C109" s="32" t="n">
        <x:f>D46</x:f>
        <x:v>3240.2265772593487</x:v>
      </x:c>
      <x:c r="D109" s="32" t="n">
        <x:f>E46</x:f>
        <x:v>6480.453154518697</x:v>
      </x:c>
      <x:c r="E109" s="32"/>
      <x:c r="F109" s="32" t="n">
        <x:f>A46</x:f>
        <x:v>3470.6368992</x:v>
      </x:c>
      <x:c r="G109" s="32" t="n">
        <x:f>C46</x:f>
        <x:v>28605.40820924909</x:v>
      </x:c>
      <x:c r="H109" s="32"/>
      <x:c r="I109" s="32"/>
      <x:c r="J109" s="32"/>
      <x:c r="K109" s="32"/>
      <x:c r="L109" s="32"/>
      <x:c r="M109" s="32"/>
      <x:c r="N109" s="32"/>
    </x:row>
    <x:row r="110">
      <x:c r="A110" s="32" t="n">
        <x:f>A47</x:f>
        <x:v>3546.6631632</x:v>
      </x:c>
      <x:c r="B110" s="32" t="n">
        <x:f>B47</x:f>
        <x:v>902184.4548048641</x:v>
      </x:c>
      <x:c r="C110" s="32" t="n">
        <x:f>D47</x:f>
        <x:v>3477.5866978427607</x:v>
      </x:c>
      <x:c r="D110" s="32" t="n">
        <x:f>E47</x:f>
        <x:v>6955.173395685521</x:v>
      </x:c>
      <x:c r="E110" s="32"/>
      <x:c r="F110" s="32" t="n">
        <x:f>A47</x:f>
        <x:v>3546.6631632</x:v>
      </x:c>
      <x:c r="G110" s="32" t="n">
        <x:f>C47</x:f>
        <x:v>28606.27050528408</x:v>
      </x:c>
      <x:c r="H110" s="32"/>
      <x:c r="I110" s="32"/>
      <x:c r="J110" s="32"/>
      <x:c r="K110" s="32"/>
      <x:c r="L110" s="32"/>
      <x:c r="M110" s="32"/>
      <x:c r="N110" s="32"/>
    </x:row>
    <x:row r="111">
      <x:c r="A111" s="32" t="n">
        <x:f>A48</x:f>
        <x:v>3623.3087808</x:v>
      </x:c>
      <x:c r="B111" s="32" t="n">
        <x:f>B48</x:f>
        <x:v>919150.4032984045</x:v>
      </x:c>
      <x:c r="C111" s="32" t="n">
        <x:f>D48</x:f>
        <x:v>3735.52973462342</x:v>
      </x:c>
      <x:c r="D111" s="32" t="n">
        <x:f>E48</x:f>
        <x:v>7471.05946924684</x:v>
      </x:c>
      <x:c r="E111" s="32"/>
      <x:c r="F111" s="32" t="n">
        <x:f>A48</x:f>
        <x:v>3623.3087808</x:v>
      </x:c>
      <x:c r="G111" s="32" t="n">
        <x:f>C48</x:f>
        <x:v>28607.294149836456</x:v>
      </x:c>
      <x:c r="H111" s="32"/>
      <x:c r="I111" s="32"/>
      <x:c r="J111" s="32"/>
      <x:c r="K111" s="32"/>
      <x:c r="L111" s="32"/>
      <x:c r="M111" s="32"/>
      <x:c r="N111" s="32"/>
    </x:row>
    <x:row r="112">
      <x:c r="A112" s="32" t="n">
        <x:f>A49</x:f>
        <x:v>3700.3805088</x:v>
      </x:c>
      <x:c r="B112" s="32" t="n">
        <x:f>B49</x:f>
        <x:v>936201.9429977234</x:v>
      </x:c>
      <x:c r="C112" s="32" t="n">
        <x:f>D49</x:f>
        <x:v>4034.182554764465</x:v>
      </x:c>
      <x:c r="D112" s="32" t="n">
        <x:f>E49</x:f>
        <x:v>8068.36510952893</x:v>
      </x:c>
      <x:c r="E112" s="32"/>
      <x:c r="F112" s="32" t="n">
        <x:f>A49</x:f>
        <x:v>3700.3805088</x:v>
      </x:c>
      <x:c r="G112" s="32" t="n">
        <x:f>C49</x:f>
        <x:v>28608.554391989604</x:v>
      </x:c>
      <x:c r="H112" s="32"/>
      <x:c r="I112" s="32"/>
      <x:c r="J112" s="32"/>
      <x:c r="K112" s="32"/>
      <x:c r="L112" s="32"/>
      <x:c r="M112" s="32"/>
      <x:c r="N112" s="32"/>
    </x:row>
    <x:row r="113">
      <x:c r="A113" s="32" t="n">
        <x:f>A50</x:f>
        <x:v>3777.4683912</x:v>
      </x:c>
      <x:c r="B113" s="32" t="n">
        <x:f>B50</x:f>
        <x:v>953247.3732166202</x:v>
      </x:c>
      <x:c r="C113" s="32" t="n">
        <x:f>D50</x:f>
        <x:v>4341.399783443597</x:v>
      </x:c>
      <x:c r="D113" s="32" t="n">
        <x:f>E50</x:f>
        <x:v>8682.799566887194</x:v>
      </x:c>
      <x:c r="E113" s="32"/>
      <x:c r="F113" s="32" t="n">
        <x:f>A50</x:f>
        <x:v>3777.4683912</x:v>
      </x:c>
      <x:c r="G113" s="32" t="n">
        <x:f>C50</x:f>
        <x:v>28609.90897272849</x:v>
      </x:c>
      <x:c r="H113" s="32"/>
      <x:c r="I113" s="32"/>
      <x:c r="J113" s="32"/>
      <x:c r="K113" s="32"/>
      <x:c r="L113" s="32"/>
      <x:c r="M113" s="32"/>
      <x:c r="N113" s="32"/>
    </x:row>
    <x:row r="114">
      <x:c r="A114" s="32" t="n">
        <x:f>A51</x:f>
        <x:v>3854.1542424</x:v>
      </x:c>
      <x:c r="B114" s="32" t="n">
        <x:f>B51</x:f>
        <x:v>970194.0804175219</x:v>
      </x:c>
      <x:c r="C114" s="32" t="n">
        <x:f>D51</x:f>
        <x:v>4633.867599663519</x:v>
      </x:c>
      <x:c r="D114" s="32" t="n">
        <x:f>E51</x:f>
        <x:v>9267.735199327039</x:v>
      </x:c>
      <x:c r="E114" s="32"/>
      <x:c r="F114" s="32" t="n">
        <x:f>A51</x:f>
        <x:v>3854.1542424</x:v>
      </x:c>
      <x:c r="G114" s="32" t="n">
        <x:f>C51</x:f>
        <x:v>28611.23014699836</x:v>
      </x:c>
      <x:c r="H114" s="32"/>
      <x:c r="I114" s="32"/>
      <x:c r="J114" s="32"/>
      <x:c r="K114" s="32"/>
      <x:c r="L114" s="32"/>
      <x:c r="M114" s="32"/>
      <x:c r="N114" s="32"/>
    </x:row>
    <x:row r="115">
      <x:c r="A115" s="32" t="n">
        <x:f>A52</x:f>
        <x:v>3930.2240928</x:v>
      </x:c>
      <x:c r="B115" s="32" t="n">
        <x:f>B52</x:f>
        <x:v>986995.911058625</x:v>
      </x:c>
      <x:c r="C115" s="32" t="n">
        <x:f>D52</x:f>
        <x:v>4881.413205013298</x:v>
      </x:c>
      <x:c r="D115" s="32" t="n">
        <x:f>E52</x:f>
        <x:v>9762.826410026595</x:v>
      </x:c>
      <x:c r="E115" s="32"/>
      <x:c r="F115" s="32" t="n">
        <x:f>A52</x:f>
        <x:v>3930.2240928</x:v>
      </x:c>
      <x:c r="G115" s="32" t="n">
        <x:f>C52</x:f>
        <x:v>28612.36194088117</x:v>
      </x:c>
      <x:c r="H115" s="32"/>
      <x:c r="I115" s="32"/>
      <x:c r="J115" s="32"/>
      <x:c r="K115" s="32"/>
      <x:c r="L115" s="32"/>
      <x:c r="M115" s="32"/>
      <x:c r="N115" s="32"/>
    </x:row>
    <x:row r="116">
      <x:c r="A116" s="32" t="n">
        <x:f>A53</x:f>
        <x:v>4005.779136</x:v>
      </x:c>
      <x:c r="B116" s="32" t="n">
        <x:f>B53</x:f>
        <x:v>1003676.8408510318</x:v>
      </x:c>
      <x:c r="C116" s="32" t="n">
        <x:f>D53</x:f>
        <x:v>5077.246908811857</x:v>
      </x:c>
      <x:c r="D116" s="32" t="n">
        <x:f>E53</x:f>
        <x:v>10154.493817623714</x:v>
      </x:c>
      <x:c r="E116" s="32"/>
      <x:c r="F116" s="32" t="n">
        <x:f>A53</x:f>
        <x:v>4005.779136</x:v>
      </x:c>
      <x:c r="G116" s="32" t="n">
        <x:f>C53</x:f>
        <x:v>28613.283208291596</x:v>
      </x:c>
      <x:c r="H116" s="32"/>
      <x:c r="I116" s="32"/>
      <x:c r="J116" s="32"/>
      <x:c r="K116" s="32"/>
      <x:c r="L116" s="32"/>
      <x:c r="M116" s="32"/>
      <x:c r="N116" s="32"/>
    </x:row>
    <x:row r="117">
      <x:c r="A117" s="32" t="n">
        <x:f>A54</x:f>
        <x:v>4081.1817792</x:v>
      </x:c>
      <x:c r="B117" s="32" t="n">
        <x:f>B54</x:f>
        <x:v>1020318.5401385546</x:v>
      </x:c>
      <x:c r="C117" s="32" t="n">
        <x:f>D54</x:f>
        <x:v>5224.495357305971</x:v>
      </x:c>
      <x:c r="D117" s="32" t="n">
        <x:f>E54</x:f>
        <x:v>10448.990714611942</x:v>
      </x:c>
      <x:c r="E117" s="32"/>
      <x:c r="F117" s="32" t="n">
        <x:f>A54</x:f>
        <x:v>4081.1817792</x:v>
      </x:c>
      <x:c r="G117" s="32" t="n">
        <x:f>C54</x:f>
        <x:v>28614.03648035307</x:v>
      </x:c>
      <x:c r="H117" s="32"/>
      <x:c r="I117" s="32"/>
      <x:c r="J117" s="32"/>
      <x:c r="K117" s="32"/>
      <x:c r="L117" s="32"/>
      <x:c r="M117" s="32"/>
      <x:c r="N117" s="32"/>
    </x:row>
    <x:row r="118">
      <x:c r="A118" s="32" t="n">
        <x:f>A55</x:f>
        <x:v>4156.8727632</x:v>
      </x:c>
      <x:c r="B118" s="32" t="n">
        <x:f>B55</x:f>
        <x:v>1037019.7969557836</x:v>
      </x:c>
      <x:c r="C118" s="32" t="n">
        <x:f>D55</x:f>
        <x:v>5329.133078724494</x:v>
      </x:c>
      <x:c r="D118" s="32" t="n">
        <x:f>E55</x:f>
        <x:v>10658.266157448988</x:v>
      </x:c>
      <x:c r="E118" s="32"/>
      <x:c r="F118" s="32" t="n">
        <x:f>A55</x:f>
        <x:v>4156.8727632</x:v>
      </x:c>
      <x:c r="G118" s="32" t="n">
        <x:f>C55</x:f>
        <x:v>28614.660211611903</x:v>
      </x:c>
      <x:c r="H118" s="32"/>
      <x:c r="I118" s="32"/>
      <x:c r="J118" s="32"/>
      <x:c r="K118" s="32"/>
      <x:c r="L118" s="32"/>
      <x:c r="M118" s="32"/>
      <x:c r="N118" s="32"/>
    </x:row>
    <x:row r="119">
      <x:c r="A119" s="32" t="n">
        <x:f>A56</x:f>
        <x:v>4233.1456104</x:v>
      </x:c>
      <x:c r="B119" s="32" t="n">
        <x:f>B56</x:f>
        <x:v>1053846.4739392952</x:v>
      </x:c>
      <x:c r="C119" s="32" t="n">
        <x:f>D56</x:f>
        <x:v>5403.408250563843</x:v>
      </x:c>
      <x:c r="D119" s="32" t="n">
        <x:f>E56</x:f>
        <x:v>10806.816501127685</x:v>
      </x:c>
      <x:c r="E119" s="32"/>
      <x:c r="F119" s="32" t="n">
        <x:f>A56</x:f>
        <x:v>4233.1456104</x:v>
      </x:c>
      <x:c r="G119" s="32" t="n">
        <x:f>C56</x:f>
        <x:v>28615.187576501845</x:v>
      </x:c>
      <x:c r="H119" s="32"/>
      <x:c r="I119" s="32"/>
      <x:c r="J119" s="32"/>
      <x:c r="K119" s="32"/>
      <x:c r="L119" s="32"/>
      <x:c r="M119" s="32"/>
      <x:c r="N119" s="32"/>
    </x:row>
    <x:row r="120">
      <x:c r="A120" s="32" t="n">
        <x:f>A57</x:f>
        <x:v>4309.9975776</x:v>
      </x:c>
      <x:c r="B120" s="32" t="n">
        <x:f>B57</x:f>
        <x:v>1070799.1602705836</x:v>
      </x:c>
      <x:c r="C120" s="32" t="n">
        <x:f>D57</x:f>
        <x:v>5446.429733762008</x:v>
      </x:c>
      <x:c r="D120" s="32" t="n">
        <x:f>E57</x:f>
        <x:v>10892.859467524017</x:v>
      </x:c>
      <x:c r="E120" s="32"/>
      <x:c r="F120" s="32" t="n">
        <x:f>A57</x:f>
        <x:v>4309.9975776</x:v>
      </x:c>
      <x:c r="G120" s="32" t="n">
        <x:f>C57</x:f>
        <x:v>28615.547542606535</x:v>
      </x:c>
      <x:c r="H120" s="32"/>
      <x:c r="I120" s="32"/>
      <x:c r="J120" s="32"/>
      <x:c r="K120" s="32"/>
      <x:c r="L120" s="32"/>
      <x:c r="M120" s="32"/>
      <x:c r="N120" s="32"/>
    </x:row>
    <x:row r="121">
      <x:c r="A121" s="32" t="n">
        <x:f>A58</x:f>
        <x:v>4387.1302656</x:v>
      </x:c>
      <x:c r="B121" s="32" t="n">
        <x:f>B58</x:f>
        <x:v>1087812.9940658004</x:v>
      </x:c>
      <x:c r="C121" s="32" t="n">
        <x:f>D58</x:f>
        <x:v>5465.325847757959</x:v>
      </x:c>
      <x:c r="D121" s="32" t="n">
        <x:f>E58</x:f>
        <x:v>10930.651695515919</x:v>
      </x:c>
      <x:c r="E121" s="32"/>
      <x:c r="F121" s="32" t="n">
        <x:f>A58</x:f>
        <x:v>4387.1302656</x:v>
      </x:c>
      <x:c r="G121" s="32" t="n">
        <x:f>C58</x:f>
        <x:v>28615.712798580986</x:v>
      </x:c>
      <x:c r="H121" s="32"/>
      <x:c r="I121" s="32"/>
      <x:c r="J121" s="32"/>
      <x:c r="K121" s="32"/>
      <x:c r="L121" s="32"/>
      <x:c r="M121" s="32"/>
      <x:c r="N121" s="32"/>
    </x:row>
    <x:row r="122">
      <x:c r="A122" s="32" t="n">
        <x:f>A59</x:f>
        <x:v>4464.1026288</x:v>
      </x:c>
      <x:c r="B122" s="32" t="n">
        <x:f>B59</x:f>
        <x:v>1104791.564922813</x:v>
      </x:c>
      <x:c r="C122" s="32" t="n">
        <x:f>D59</x:f>
        <x:v>5462.8587766814835</x:v>
      </x:c>
      <x:c r="D122" s="32" t="n">
        <x:f>E59</x:f>
        <x:v>10925.717553362967</x:v>
      </x:c>
      <x:c r="E122" s="32"/>
      <x:c r="F122" s="32" t="n">
        <x:f>A59</x:f>
        <x:v>4464.1026288</x:v>
      </x:c>
      <x:c r="G122" s="32" t="n">
        <x:f>C59</x:f>
        <x:v>28615.665985644835</x:v>
      </x:c>
      <x:c r="H122" s="32"/>
      <x:c r="I122" s="32"/>
      <x:c r="J122" s="32"/>
      <x:c r="K122" s="32"/>
      <x:c r="L122" s="32"/>
      <x:c r="M122" s="32"/>
      <x:c r="N122" s="32"/>
    </x:row>
    <x:row r="123">
      <x:c r="A123" s="32" t="n">
        <x:f>A60</x:f>
        <x:v>4540.555308</x:v>
      </x:c>
      <x:c r="B123" s="32" t="n">
        <x:f>B60</x:f>
        <x:v>1121656.1618409925</x:v>
      </x:c>
      <x:c r="C123" s="32" t="n">
        <x:f>D60</x:f>
        <x:v>5446.698722331982</x:v>
      </x:c>
      <x:c r="D123" s="32" t="n">
        <x:f>E60</x:f>
        <x:v>10893.397444663964</x:v>
      </x:c>
      <x:c r="E123" s="32"/>
      <x:c r="F123" s="32" t="n">
        <x:f>A60</x:f>
        <x:v>4540.555308</x:v>
      </x:c>
      <x:c r="G123" s="32" t="n">
        <x:f>C60</x:f>
        <x:v>28615.468292404294</x:v>
      </x:c>
      <x:c r="H123" s="32"/>
      <x:c r="I123" s="32"/>
      <x:c r="J123" s="32"/>
      <x:c r="K123" s="32"/>
      <x:c r="L123" s="32"/>
      <x:c r="M123" s="32"/>
      <x:c r="N123" s="32"/>
    </x:row>
    <x:row r="124">
      <x:c r="A124" s="32" t="n">
        <x:f>A61</x:f>
        <x:v>4616.3935104</x:v>
      </x:c>
      <x:c r="B124" s="32" t="n">
        <x:f>B61</x:f>
        <x:v>1138386.296912006</x:v>
      </x:c>
      <x:c r="C124" s="32" t="n">
        <x:f>D61</x:f>
        <x:v>5419.734744567189</x:v>
      </x:c>
      <x:c r="D124" s="32" t="n">
        <x:f>E61</x:f>
        <x:v>10839.469489134379</x:v>
      </x:c>
      <x:c r="E124" s="32"/>
      <x:c r="F124" s="32" t="n">
        <x:f>A61</x:f>
        <x:v>4616.3935104</x:v>
      </x:c>
      <x:c r="G124" s="32" t="n">
        <x:f>C61</x:f>
        <x:v>28615.19242322703</x:v>
      </x:c>
      <x:c r="H124" s="32"/>
      <x:c r="I124" s="32"/>
      <x:c r="J124" s="32"/>
      <x:c r="K124" s="32"/>
      <x:c r="L124" s="32"/>
      <x:c r="M124" s="32"/>
      <x:c r="N124" s="32"/>
    </x:row>
    <x:row r="125">
      <x:c r="A125" s="32" t="n">
        <x:f>A62</x:f>
        <x:v>4691.8360824</x:v>
      </x:c>
      <x:c r="B125" s="32" t="n">
        <x:f>B62</x:f>
        <x:v>1155030.372613192</x:v>
      </x:c>
      <x:c r="C125" s="32" t="n">
        <x:f>D62</x:f>
        <x:v>5389.141729174255</x:v>
      </x:c>
      <x:c r="D125" s="32" t="n">
        <x:f>E62</x:f>
        <x:v>10778.28345834851</x:v>
      </x:c>
      <x:c r="E125" s="32"/>
      <x:c r="F125" s="32" t="n">
        <x:f>A62</x:f>
        <x:v>4691.8360824</x:v>
      </x:c>
      <x:c r="G125" s="32" t="n">
        <x:f>C62</x:f>
        <x:v>28614.943029485676</x:v>
      </x:c>
      <x:c r="H125" s="32"/>
      <x:c r="I125" s="32"/>
      <x:c r="J125" s="32"/>
      <x:c r="K125" s="32"/>
      <x:c r="L125" s="32"/>
      <x:c r="M125" s="32"/>
      <x:c r="N125" s="32"/>
    </x:row>
    <x:row r="126">
      <x:c r="A126" s="32" t="n">
        <x:f>A63</x:f>
        <x:v>4767.3027336000005</x:v>
      </x:c>
      <x:c r="B126" s="32" t="n">
        <x:f>B63</x:f>
        <x:v>1171680.8264845596</x:v>
      </x:c>
      <x:c r="C126" s="32" t="n">
        <x:f>D63</x:f>
        <x:v>5362.233481314568</x:v>
      </x:c>
      <x:c r="D126" s="32" t="n">
        <x:f>E63</x:f>
        <x:v>10724.466962629136</x:v>
      </x:c>
      <x:c r="E126" s="32"/>
      <x:c r="F126" s="32" t="n">
        <x:f>A63</x:f>
        <x:v>4767.3027336000005</x:v>
      </x:c>
      <x:c r="G126" s="32" t="n">
        <x:f>C63</x:f>
        <x:v>28614.798901367703</x:v>
      </x:c>
      <x:c r="H126" s="32"/>
      <x:c r="I126" s="32"/>
      <x:c r="J126" s="32"/>
      <x:c r="K126" s="32"/>
      <x:c r="L126" s="32"/>
      <x:c r="M126" s="32"/>
      <x:c r="N126" s="32"/>
    </x:row>
    <x:row r="127">
      <x:c r="A127" s="32" t="n">
        <x:f>A64</x:f>
        <x:v>4843.2018960000005</x:v>
      </x:c>
      <x:c r="B127" s="32" t="n">
        <x:f>B64</x:f>
        <x:v>1188427.2943145775</x:v>
      </x:c>
      <x:c r="C127" s="32" t="n">
        <x:f>D64</x:f>
        <x:v>5347.425972648599</x:v>
      </x:c>
      <x:c r="D127" s="32" t="n">
        <x:f>E64</x:f>
        <x:v>10694.851945297198</x:v>
      </x:c>
      <x:c r="E127" s="32"/>
      <x:c r="F127" s="32" t="n">
        <x:f>A64</x:f>
        <x:v>4843.2018960000005</x:v>
      </x:c>
      <x:c r="G127" s="32" t="n">
        <x:f>C64</x:f>
        <x:v>28614.801628582438</x:v>
      </x:c>
      <x:c r="H127" s="32"/>
      <x:c r="I127" s="32"/>
      <x:c r="J127" s="32"/>
      <x:c r="K127" s="32"/>
      <x:c r="L127" s="32"/>
      <x:c r="M127" s="32"/>
      <x:c r="N127" s="32"/>
    </x:row>
    <x:row r="128">
      <x:c r="A128" s="32" t="n">
        <x:f>A65</x:f>
        <x:v>4919.7207168</x:v>
      </x:c>
      <x:c r="B128" s="32" t="n">
        <x:f>B65</x:f>
        <x:v>1205310.4574943804</x:v>
      </x:c>
      <x:c r="C128" s="32" t="n">
        <x:f>D65</x:f>
        <x:v>5348.094378791932</x:v>
      </x:c>
      <x:c r="D128" s="32" t="n">
        <x:f>E65</x:f>
        <x:v>10696.188757583865</x:v>
      </x:c>
      <x:c r="E128" s="32"/>
      <x:c r="F128" s="32" t="n">
        <x:f>A65</x:f>
        <x:v>4919.7207168</x:v>
      </x:c>
      <x:c r="G128" s="32" t="n">
        <x:f>C65</x:f>
        <x:v>28614.926203245843</x:v>
      </x:c>
      <x:c r="H128" s="32"/>
      <x:c r="I128" s="32"/>
      <x:c r="J128" s="32"/>
      <x:c r="K128" s="32"/>
      <x:c r="L128" s="32"/>
      <x:c r="M128" s="32"/>
      <x:c r="N128" s="32"/>
    </x:row>
  </x:sheetData>
  <x:mergeCells>
    <x:mergeCell ref="A1:N1"/>
    <x:mergeCell ref="A3:H3"/>
  </x:mergeCells>
  <x:pageMargins left="0.7" right="0.7" top="0.75" bottom="0.75" header="0.3" footer="0.3"/>
  <x:drawing xmlns:r="http://schemas.openxmlformats.org/officeDocument/2006/relationships" r:id="rId1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BKR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BKR operation depth profile</x:v>
      </x:c>
      <x:c r="B3" s="33" t="str">
        <x:v>BKR operation depth profile</x:v>
      </x:c>
      <x:c r="C3" s="33" t="str">
        <x:v>BKR operation depth profile</x:v>
      </x:c>
      <x:c r="D3" s="33" t="str">
        <x:v>BKR operation depth profile</x:v>
      </x:c>
      <x:c r="E3" s="33" t="str">
        <x:v>BKR operation depth profile</x:v>
      </x:c>
      <x:c r="F3" s="33" t="str">
        <x:v>BKR operation depth profile</x:v>
      </x:c>
      <x:c r="G3" s="33" t="str">
        <x:v>BKR operation depth profile</x:v>
      </x:c>
      <x:c r="H3" s="33" t="str">
        <x:v>BKR operation depth profile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f>"MD "&amp;'Unit Map'!$H$8</x:f>
        <x:v>MD m</x:v>
      </x:c>
      <x:c r="B5" s="34" t="str">
        <x:f>"Axial load "&amp;'Unit Map'!$H$14</x:f>
        <x:v>Axial load N</x:v>
      </x:c>
      <x:c r="C5" s="34" t="str">
        <x:f>"Torque "&amp;'Unit Map'!$H$16</x:f>
        <x:v>Torque N-m</x:v>
      </x:c>
      <x:c r="D5" s="34" t="str">
        <x:f>"Sinusoidal limit "&amp;'Unit Map'!$H$14</x:f>
        <x:v>Sinusoidal limit N</x:v>
      </x:c>
      <x:c r="E5" s="34" t="str">
        <x:f>"Helical limit "&amp;'Unit Map'!$H$14</x:f>
        <x:v>Helical limit N</x:v>
      </x:c>
      <x:c r="F5" s="34" t="str">
        <x:f>"Axial margin "&amp;'Unit Map'!$H$14</x:f>
        <x:v>Axial margin N</x:v>
      </x:c>
      <x:c r="G5" s="34" t="str">
        <x:v>Buckling status</x:v>
      </x:c>
      <x:c r="H5" s="34" t="str">
        <x:v>Record ID</x:v>
      </x:c>
      <x:c r="I5" s="32"/>
      <x:c r="J5" s="32"/>
      <x:c r="K5" s="32"/>
      <x:c r="L5" s="32"/>
      <x:c r="M5" s="32"/>
      <x:c r="N5" s="32"/>
    </x:row>
    <x:row r="6">
      <x:c r="A6" s="35" t="n">
        <x:f>'ALL'!A6</x:f>
        <x:v>0</x:v>
      </x:c>
      <x:c r="B6" s="35" t="n">
        <x:f>'ALL'!F6</x:f>
        <x:v>120000</x:v>
      </x:c>
      <x:c r="C6" s="35" t="n">
        <x:f>'ALL'!G6</x:f>
        <x:v>26000</x:v>
      </x:c>
      <x:c r="D6" s="35" t="n">
        <x:f>'ALL'!K6</x:f>
        <x:v>0</x:v>
      </x:c>
      <x:c r="E6" s="35" t="n">
        <x:f>'ALL'!L6</x:f>
        <x:v>0</x:v>
      </x:c>
      <x:c r="F6" s="35" t="n">
        <x:f>B6-E6</x:f>
        <x:v>120000</x:v>
      </x:c>
      <x:c r="G6" s="35" t="str">
        <x:f>'ALL'!M6</x:f>
        <x:v>PASS</x:v>
      </x:c>
      <x:c r="H6" s="35" t="str">
        <x:f>'ALL'!N6</x:f>
        <x:v>survey-000</x:v>
      </x:c>
      <x:c r="I6" s="32"/>
      <x:c r="J6" s="32"/>
      <x:c r="K6" s="32"/>
      <x:c r="L6" s="32"/>
      <x:c r="M6" s="32"/>
      <x:c r="N6" s="32"/>
    </x:row>
    <x:row r="7">
      <x:c r="A7" s="35" t="n">
        <x:f>'ALL'!A7</x:f>
        <x:v>155.10875760000002</x:v>
      </x:c>
      <x:c r="B7" s="35" t="n">
        <x:f>'ALL'!F7</x:f>
        <x:v>154369.6247643189</x:v>
      </x:c>
      <x:c r="C7" s="35" t="n">
        <x:f>'ALL'!G7</x:f>
        <x:v>26011.153031661073</x:v>
      </x:c>
      <x:c r="D7" s="35" t="n">
        <x:f>'ALL'!K7</x:f>
        <x:v>3045.9878423456744</x:v>
      </x:c>
      <x:c r="E7" s="35" t="n">
        <x:f>'ALL'!L7</x:f>
        <x:v>6091.975684691349</x:v>
      </x:c>
      <x:c r="F7" s="35" t="n">
        <x:f>B7-E7</x:f>
        <x:v>148277.64907962756</x:v>
      </x:c>
      <x:c r="G7" s="35" t="str">
        <x:f>'ALL'!M7</x:f>
        <x:v>PASS</x:v>
      </x:c>
      <x:c r="H7" s="35" t="str">
        <x:f>'ALL'!N7</x:f>
        <x:v>survey-001</x:v>
      </x:c>
      <x:c r="I7" s="32"/>
      <x:c r="J7" s="32"/>
      <x:c r="K7" s="32"/>
      <x:c r="L7" s="32"/>
      <x:c r="M7" s="32"/>
      <x:c r="N7" s="32"/>
    </x:row>
    <x:row r="8">
      <x:c r="A8" s="35" t="n">
        <x:f>'ALL'!A8</x:f>
        <x:v>307.974492</x:v>
      </x:c>
      <x:c r="B8" s="35" t="n">
        <x:f>'ALL'!F8</x:f>
        <x:v>188295.53791614895</x:v>
      </x:c>
      <x:c r="C8" s="35" t="n">
        <x:f>'ALL'!G8</x:f>
        <x:v>26002.529337244167</x:v>
      </x:c>
      <x:c r="D8" s="35" t="n">
        <x:f>'ALL'!K8</x:f>
        <x:v>1461.161274893059</x:v>
      </x:c>
      <x:c r="E8" s="35" t="n">
        <x:f>'ALL'!L8</x:f>
        <x:v>2922.322549786118</x:v>
      </x:c>
      <x:c r="F8" s="35" t="n">
        <x:f>B8-E8</x:f>
        <x:v>185373.21536636283</x:v>
      </x:c>
      <x:c r="G8" s="35" t="str">
        <x:f>'ALL'!M8</x:f>
        <x:v>PASS</x:v>
      </x:c>
      <x:c r="H8" s="35" t="str">
        <x:f>'ALL'!N8</x:f>
        <x:v>survey-002</x:v>
      </x:c>
      <x:c r="I8" s="32"/>
      <x:c r="J8" s="32"/>
      <x:c r="K8" s="32"/>
      <x:c r="L8" s="32"/>
      <x:c r="M8" s="32"/>
      <x:c r="N8" s="32"/>
    </x:row>
    <x:row r="9">
      <x:c r="A9" s="35" t="n">
        <x:f>'ALL'!A9</x:f>
        <x:v>460.2227016</x:v>
      </x:c>
      <x:c r="B9" s="35" t="n">
        <x:f>'ALL'!F9</x:f>
        <x:v>222078.4629496525</x:v>
      </x:c>
      <x:c r="C9" s="35" t="n">
        <x:f>'ALL'!G9</x:f>
        <x:v>26003.46195805603</x:v>
      </x:c>
      <x:c r="D9" s="35" t="n">
        <x:f>'ALL'!K9</x:f>
        <x:v>1712.910460216405</x:v>
      </x:c>
      <x:c r="E9" s="35" t="n">
        <x:f>'ALL'!L9</x:f>
        <x:v>3425.82092043281</x:v>
      </x:c>
      <x:c r="F9" s="35" t="n">
        <x:f>B9-E9</x:f>
        <x:v>218652.64202921969</x:v>
      </x:c>
      <x:c r="G9" s="35" t="str">
        <x:f>'ALL'!M9</x:f>
        <x:v>PASS</x:v>
      </x:c>
      <x:c r="H9" s="35" t="str">
        <x:f>'ALL'!N9</x:f>
        <x:v>survey-003</x:v>
      </x:c>
      <x:c r="I9" s="32"/>
      <x:c r="J9" s="32"/>
      <x:c r="K9" s="32"/>
      <x:c r="L9" s="32"/>
      <x:c r="M9" s="32"/>
      <x:c r="N9" s="32"/>
    </x:row>
    <x:row r="10">
      <x:c r="A10" s="35" t="n">
        <x:f>'ALL'!A10</x:f>
        <x:v>611.9649432</x:v>
      </x:c>
      <x:c r="B10" s="35" t="n">
        <x:f>'ALL'!F10</x:f>
        <x:v>255741.63319933537</x:v>
      </x:c>
      <x:c r="C10" s="35" t="n">
        <x:f>'ALL'!G10</x:f>
        <x:v>26004.638482438542</x:v>
      </x:c>
      <x:c r="D10" s="35" t="n">
        <x:f>'ALL'!K10</x:f>
        <x:v>1986.0243471491665</x:v>
      </x:c>
      <x:c r="E10" s="35" t="n">
        <x:f>'ALL'!L10</x:f>
        <x:v>3972.048694298333</x:v>
      </x:c>
      <x:c r="F10" s="35" t="n">
        <x:f>B10-E10</x:f>
        <x:v>251769.58450503703</x:v>
      </x:c>
      <x:c r="G10" s="35" t="str">
        <x:f>'ALL'!M10</x:f>
        <x:v>PASS</x:v>
      </x:c>
      <x:c r="H10" s="35" t="str">
        <x:f>'ALL'!N10</x:f>
        <x:v>survey-004</x:v>
      </x:c>
      <x:c r="I10" s="32"/>
      <x:c r="J10" s="32"/>
      <x:c r="K10" s="32"/>
      <x:c r="L10" s="32"/>
      <x:c r="M10" s="32"/>
      <x:c r="N10" s="32"/>
    </x:row>
    <x:row r="11">
      <x:c r="A11" s="35" t="n">
        <x:f>'ALL'!A11</x:f>
        <x:v>763.5706344</x:v>
      </x:c>
      <x:c r="B11" s="35" t="n">
        <x:f>'ALL'!F11</x:f>
        <x:v>289363.3695426456</x:v>
      </x:c>
      <x:c r="C11" s="35" t="n">
        <x:f>'ALL'!G11</x:f>
        <x:v>26006.40293597764</x:v>
      </x:c>
      <x:c r="D11" s="35" t="n">
        <x:f>'ALL'!K11</x:f>
        <x:v>2334.434457092405</x:v>
      </x:c>
      <x:c r="E11" s="35" t="n">
        <x:f>'ALL'!L11</x:f>
        <x:v>4668.86891418481</x:v>
      </x:c>
      <x:c r="F11" s="35" t="n">
        <x:f>B11-E11</x:f>
        <x:v>284694.5006284608</x:v>
      </x:c>
      <x:c r="G11" s="35" t="str">
        <x:f>'ALL'!M11</x:f>
        <x:v>PASS</x:v>
      </x:c>
      <x:c r="H11" s="35" t="str">
        <x:f>'ALL'!N11</x:f>
        <x:v>survey-005</x:v>
      </x:c>
      <x:c r="I11" s="32"/>
      <x:c r="J11" s="32"/>
      <x:c r="K11" s="32"/>
      <x:c r="L11" s="32"/>
      <x:c r="M11" s="32"/>
      <x:c r="N11" s="32"/>
    </x:row>
    <x:row r="12">
      <x:c r="A12" s="35" t="n">
        <x:f>'ALL'!A12</x:f>
        <x:v>915.4786872000001</x:v>
      </x:c>
      <x:c r="B12" s="35" t="n">
        <x:f>'ALL'!F12</x:f>
        <x:v>323083.07275547064</x:v>
      </x:c>
      <x:c r="C12" s="35" t="n">
        <x:f>'ALL'!G12</x:f>
        <x:v>26001.5084491582</x:v>
      </x:c>
      <x:c r="D12" s="35" t="n">
        <x:f>'ALL'!K12</x:f>
        <x:v>1131.943624491696</x:v>
      </x:c>
      <x:c r="E12" s="35" t="n">
        <x:f>'ALL'!L12</x:f>
        <x:v>2263.887248983392</x:v>
      </x:c>
      <x:c r="F12" s="35" t="n">
        <x:f>B12-E12</x:f>
        <x:v>320819.18550648727</x:v>
      </x:c>
      <x:c r="G12" s="35" t="str">
        <x:f>'ALL'!M12</x:f>
        <x:v>PASS</x:v>
      </x:c>
      <x:c r="H12" s="35" t="str">
        <x:f>'ALL'!N12</x:f>
        <x:v>survey-006</x:v>
      </x:c>
      <x:c r="I12" s="32"/>
      <x:c r="J12" s="32"/>
      <x:c r="K12" s="32"/>
      <x:c r="L12" s="32"/>
      <x:c r="M12" s="32"/>
      <x:c r="N12" s="32"/>
    </x:row>
    <x:row r="13">
      <x:c r="A13" s="35" t="n">
        <x:f>'ALL'!A13</x:f>
        <x:v>1067.9740896</x:v>
      </x:c>
      <x:c r="B13" s="35" t="n">
        <x:f>'ALL'!F13</x:f>
        <x:v>356915.17598741263</x:v>
      </x:c>
      <x:c r="C13" s="35" t="n">
        <x:f>'ALL'!G13</x:f>
        <x:v>26004.36806246492</x:v>
      </x:c>
      <x:c r="D13" s="35" t="n">
        <x:f>'ALL'!K13</x:f>
        <x:v>1922.4980265136417</x:v>
      </x:c>
      <x:c r="E13" s="35" t="n">
        <x:f>'ALL'!L13</x:f>
        <x:v>3844.9960530272833</x:v>
      </x:c>
      <x:c r="F13" s="35" t="n">
        <x:f>B13-E13</x:f>
        <x:v>353070.17993438535</x:v>
      </x:c>
      <x:c r="G13" s="35" t="str">
        <x:f>'ALL'!M13</x:f>
        <x:v>PASS</x:v>
      </x:c>
      <x:c r="H13" s="35" t="str">
        <x:f>'ALL'!N13</x:f>
        <x:v>survey-007</x:v>
      </x:c>
      <x:c r="I13" s="32"/>
      <x:c r="J13" s="32"/>
      <x:c r="K13" s="32"/>
      <x:c r="L13" s="32"/>
      <x:c r="M13" s="32"/>
      <x:c r="N13" s="32"/>
    </x:row>
    <x:row r="14">
      <x:c r="A14" s="35" t="n">
        <x:f>'ALL'!A14</x:f>
        <x:v>1221.042516</x:v>
      </x:c>
      <x:c r="B14" s="35" t="n">
        <x:f>'ALL'!F14</x:f>
        <x:v>390887.50027428183</x:v>
      </x:c>
      <x:c r="C14" s="35" t="n">
        <x:f>'ALL'!G14</x:f>
        <x:v>26002.30613227964</x:v>
      </x:c>
      <x:c r="D14" s="35" t="n">
        <x:f>'ALL'!K14</x:f>
        <x:v>1394.2772985072377</x:v>
      </x:c>
      <x:c r="E14" s="35" t="n">
        <x:f>'ALL'!L14</x:f>
        <x:v>2788.5545970144753</x:v>
      </x:c>
      <x:c r="F14" s="35" t="n">
        <x:f>B14-E14</x:f>
        <x:v>388098.94567726733</x:v>
      </x:c>
      <x:c r="G14" s="35" t="str">
        <x:f>'ALL'!M14</x:f>
        <x:v>PASS</x:v>
      </x:c>
      <x:c r="H14" s="35" t="str">
        <x:f>'ALL'!N14</x:f>
        <x:v>survey-008</x:v>
      </x:c>
      <x:c r="I14" s="32"/>
      <x:c r="J14" s="32"/>
      <x:c r="K14" s="32"/>
      <x:c r="L14" s="32"/>
      <x:c r="M14" s="32"/>
      <x:c r="N14" s="32"/>
    </x:row>
    <x:row r="15">
      <x:c r="A15" s="35" t="n">
        <x:f>'ALL'!A15</x:f>
        <x:v>1374.3773376000001</x:v>
      </x:c>
      <x:c r="B15" s="35" t="n">
        <x:f>'ALL'!F15</x:f>
        <x:v>424896.5556028249</x:v>
      </x:c>
      <x:c r="C15" s="35" t="n">
        <x:f>'ALL'!G15</x:f>
        <x:v>26005.865076135517</x:v>
      </x:c>
      <x:c r="D15" s="35" t="n">
        <x:f>'ALL'!K15</x:f>
        <x:v>2221.60215796265</x:v>
      </x:c>
      <x:c r="E15" s="35" t="n">
        <x:f>'ALL'!L15</x:f>
        <x:v>4443.2043159253</x:v>
      </x:c>
      <x:c r="F15" s="35" t="n">
        <x:f>B15-E15</x:f>
        <x:v>420453.3512868996</x:v>
      </x:c>
      <x:c r="G15" s="35" t="str">
        <x:f>'ALL'!M15</x:f>
        <x:v>PASS</x:v>
      </x:c>
      <x:c r="H15" s="35" t="str">
        <x:f>'ALL'!N15</x:f>
        <x:v>survey-009</x:v>
      </x:c>
      <x:c r="I15" s="32"/>
      <x:c r="J15" s="32"/>
      <x:c r="K15" s="32"/>
      <x:c r="L15" s="32"/>
      <x:c r="M15" s="32"/>
      <x:c r="N15" s="32"/>
    </x:row>
    <x:row r="16">
      <x:c r="A16" s="35" t="n">
        <x:f>'ALL'!A16</x:f>
        <x:v>1527.5362896000001</x:v>
      </x:c>
      <x:c r="B16" s="35" t="n">
        <x:f>'ALL'!F16</x:f>
        <x:v>458900.33700830623</x:v>
      </x:c>
      <x:c r="C16" s="35" t="n">
        <x:f>'ALL'!G16</x:f>
        <x:v>26000.50319459278</x:v>
      </x:c>
      <x:c r="D16" s="35" t="n">
        <x:f>'ALL'!K16</x:f>
        <x:v>651.098429003259</x:v>
      </x:c>
      <x:c r="E16" s="35" t="n">
        <x:f>'ALL'!L16</x:f>
        <x:v>1302.196858006518</x:v>
      </x:c>
      <x:c r="F16" s="35" t="n">
        <x:f>B16-E16</x:f>
        <x:v>457598.1401502997</x:v>
      </x:c>
      <x:c r="G16" s="35" t="str">
        <x:f>'ALL'!M16</x:f>
        <x:v>PASS</x:v>
      </x:c>
      <x:c r="H16" s="35" t="str">
        <x:f>'ALL'!N16</x:f>
        <x:v>survey-010</x:v>
      </x:c>
      <x:c r="I16" s="32"/>
      <x:c r="J16" s="32"/>
      <x:c r="K16" s="32"/>
      <x:c r="L16" s="32"/>
      <x:c r="M16" s="32"/>
      <x:c r="N16" s="32"/>
    </x:row>
    <x:row r="17">
      <x:c r="A17" s="35" t="n">
        <x:f>'ALL'!A17</x:f>
        <x:v>1565.8667184</x:v>
      </x:c>
      <x:c r="B17" s="35" t="n">
        <x:f>'ALL'!F17</x:f>
        <x:v>467010.8206480392</x:v>
      </x:c>
      <x:c r="C17" s="35" t="n">
        <x:f>'ALL'!G17</x:f>
        <x:v>26063.54587976688</x:v>
      </x:c>
      <x:c r="D17" s="35" t="n">
        <x:f>'ALL'!K17</x:f>
        <x:v>14625.870276492271</x:v>
      </x:c>
      <x:c r="E17" s="35" t="n">
        <x:f>'ALL'!L17</x:f>
        <x:v>29251.740552984542</x:v>
      </x:c>
      <x:c r="F17" s="35" t="n">
        <x:f>B17-E17</x:f>
        <x:v>437759.0800950547</x:v>
      </x:c>
      <x:c r="G17" s="35" t="str">
        <x:f>'ALL'!M17</x:f>
        <x:v>PASS</x:v>
      </x:c>
      <x:c r="H17" s="35" t="str">
        <x:f>'ALL'!N17</x:f>
        <x:v>survey-011</x:v>
      </x:c>
      <x:c r="I17" s="32"/>
      <x:c r="J17" s="32"/>
      <x:c r="K17" s="32"/>
      <x:c r="L17" s="32"/>
      <x:c r="M17" s="32"/>
      <x:c r="N17" s="32"/>
    </x:row>
    <x:row r="18">
      <x:c r="A18" s="35" t="n">
        <x:f>'ALL'!A18</x:f>
        <x:v>1603.5857184000001</x:v>
      </x:c>
      <x:c r="B18" s="35" t="n">
        <x:f>'ALL'!F18</x:f>
        <x:v>475023.9437135505</x:v>
      </x:c>
      <x:c r="C18" s="35" t="n">
        <x:f>'ALL'!G18</x:f>
        <x:v>26057.450002018966</x:v>
      </x:c>
      <x:c r="D18" s="35" t="n">
        <x:f>'ALL'!K18</x:f>
        <x:v>14018.927722546516</x:v>
      </x:c>
      <x:c r="E18" s="35" t="n">
        <x:f>'ALL'!L18</x:f>
        <x:v>28037.85544509303</x:v>
      </x:c>
      <x:c r="F18" s="35" t="n">
        <x:f>B18-E18</x:f>
        <x:v>446986.0882684575</x:v>
      </x:c>
      <x:c r="G18" s="35" t="str">
        <x:f>'ALL'!M18</x:f>
        <x:v>PASS</x:v>
      </x:c>
      <x:c r="H18" s="35" t="str">
        <x:f>'ALL'!N18</x:f>
        <x:v>survey-012</x:v>
      </x:c>
      <x:c r="I18" s="32"/>
      <x:c r="J18" s="32"/>
      <x:c r="K18" s="32"/>
      <x:c r="L18" s="32"/>
      <x:c r="M18" s="32"/>
      <x:c r="N18" s="32"/>
    </x:row>
    <x:row r="19">
      <x:c r="A19" s="35" t="n">
        <x:f>'ALL'!A19</x:f>
        <x:v>1640.9209752000002</x:v>
      </x:c>
      <x:c r="B19" s="35" t="n">
        <x:f>'ALL'!F19</x:f>
        <x:v>482983.18016497383</x:v>
      </x:c>
      <x:c r="C19" s="35" t="n">
        <x:f>'ALL'!G19</x:f>
        <x:v>26052.478179496877</x:v>
      </x:c>
      <x:c r="D19" s="35" t="n">
        <x:f>'ALL'!K19</x:f>
        <x:v>13467.273080777122</x:v>
      </x:c>
      <x:c r="E19" s="35" t="n">
        <x:f>'ALL'!L19</x:f>
        <x:v>26934.546161554244</x:v>
      </x:c>
      <x:c r="F19" s="35" t="n">
        <x:f>B19-E19</x:f>
        <x:v>456048.6340034196</x:v>
      </x:c>
      <x:c r="G19" s="35" t="str">
        <x:f>'ALL'!M19</x:f>
        <x:v>PASS</x:v>
      </x:c>
      <x:c r="H19" s="35" t="str">
        <x:f>'ALL'!N19</x:f>
        <x:v>survey-013</x:v>
      </x:c>
      <x:c r="I19" s="32"/>
      <x:c r="J19" s="32"/>
      <x:c r="K19" s="32"/>
      <x:c r="L19" s="32"/>
      <x:c r="M19" s="32"/>
      <x:c r="N19" s="32"/>
    </x:row>
    <x:row r="20">
      <x:c r="A20" s="35" t="n">
        <x:f>'ALL'!A20</x:f>
        <x:v>1678.2970752</x:v>
      </x:c>
      <x:c r="B20" s="35" t="n">
        <x:f>'ALL'!F20</x:f>
        <x:v>490967.14040348405</x:v>
      </x:c>
      <x:c r="C20" s="35" t="n">
        <x:f>'ALL'!G20</x:f>
        <x:v>26049.99293454476</x:v>
      </x:c>
      <x:c r="D20" s="35" t="n">
        <x:f>'ALL'!K20</x:f>
        <x:v>13137.332179016305</x:v>
      </x:c>
      <x:c r="E20" s="35" t="n">
        <x:f>'ALL'!L20</x:f>
        <x:v>26274.66435803261</x:v>
      </x:c>
      <x:c r="F20" s="35" t="n">
        <x:f>B20-E20</x:f>
        <x:v>464692.4760454514</x:v>
      </x:c>
      <x:c r="G20" s="35" t="str">
        <x:f>'ALL'!M20</x:f>
        <x:v>PASS</x:v>
      </x:c>
      <x:c r="H20" s="35" t="str">
        <x:f>'ALL'!N20</x:f>
        <x:v>survey-014</x:v>
      </x:c>
      <x:c r="I20" s="32"/>
      <x:c r="J20" s="32"/>
      <x:c r="K20" s="32"/>
      <x:c r="L20" s="32"/>
      <x:c r="M20" s="32"/>
      <x:c r="N20" s="32"/>
    </x:row>
    <x:row r="21">
      <x:c r="A21" s="35" t="n">
        <x:f>'ALL'!A21</x:f>
        <x:v>1716.1166592000002</x:v>
      </x:c>
      <x:c r="B21" s="35" t="n">
        <x:f>'ALL'!F21</x:f>
        <x:v>499038.4189947745</x:v>
      </x:c>
      <x:c r="C21" s="35" t="n">
        <x:f>'ALL'!G21</x:f>
        <x:v>26051.763234404643</x:v>
      </x:c>
      <x:c r="D21" s="35" t="n">
        <x:f>'ALL'!K21</x:f>
        <x:v>13289.302478170144</x:v>
      </x:c>
      <x:c r="E21" s="35" t="n">
        <x:f>'ALL'!L21</x:f>
        <x:v>26578.60495634029</x:v>
      </x:c>
      <x:c r="F21" s="35" t="n">
        <x:f>B21-E21</x:f>
        <x:v>472459.81403843424</x:v>
      </x:c>
      <x:c r="G21" s="35" t="str">
        <x:f>'ALL'!M21</x:f>
        <x:v>PASS</x:v>
      </x:c>
      <x:c r="H21" s="35" t="str">
        <x:f>'ALL'!N21</x:f>
        <x:v>survey-015</x:v>
      </x:c>
      <x:c r="I21" s="32"/>
      <x:c r="J21" s="32"/>
      <x:c r="K21" s="32"/>
      <x:c r="L21" s="32"/>
      <x:c r="M21" s="32"/>
      <x:c r="N21" s="32"/>
    </x:row>
    <x:row r="22">
      <x:c r="A22" s="35" t="n">
        <x:f>'ALL'!A22</x:f>
        <x:v>1754.5571208000001</x:v>
      </x:c>
      <x:c r="B22" s="35" t="n">
        <x:f>'ALL'!F22</x:f>
        <x:v>507214.75489862217</x:v>
      </x:c>
      <x:c r="C22" s="35" t="n">
        <x:f>'ALL'!G22</x:f>
        <x:v>26056.97030974542</x:v>
      </x:c>
      <x:c r="D22" s="35" t="n">
        <x:f>'ALL'!K22</x:f>
        <x:v>13828.652103940169</x:v>
      </x:c>
      <x:c r="E22" s="35" t="n">
        <x:f>'ALL'!L22</x:f>
        <x:v>27657.304207880337</x:v>
      </x:c>
      <x:c r="F22" s="35" t="n">
        <x:f>B22-E22</x:f>
        <x:v>479557.4506907418</x:v>
      </x:c>
      <x:c r="G22" s="35" t="str">
        <x:f>'ALL'!M22</x:f>
        <x:v>PASS</x:v>
      </x:c>
      <x:c r="H22" s="35" t="str">
        <x:f>'ALL'!N22</x:f>
        <x:v>survey-016</x:v>
      </x:c>
      <x:c r="I22" s="32"/>
      <x:c r="J22" s="32"/>
      <x:c r="K22" s="32"/>
      <x:c r="L22" s="32"/>
      <x:c r="M22" s="32"/>
      <x:c r="N22" s="32"/>
    </x:row>
    <x:row r="23">
      <x:c r="A23" s="35" t="n">
        <x:f>'ALL'!A23</x:f>
        <x:v>1793.4788616</x:v>
      </x:c>
      <x:c r="B23" s="35" t="n">
        <x:f>'ALL'!F23</x:f>
        <x:v>515462.2266916272</x:v>
      </x:c>
      <x:c r="C23" s="35" t="n">
        <x:f>'ALL'!G23</x:f>
        <x:v>26062.641794919942</x:v>
      </x:c>
      <x:c r="D23" s="35" t="n">
        <x:f>'ALL'!K23</x:f>
        <x:v>14410.724855994376</x:v>
      </x:c>
      <x:c r="E23" s="35" t="n">
        <x:f>'ALL'!L23</x:f>
        <x:v>28821.449711988753</x:v>
      </x:c>
      <x:c r="F23" s="35" t="n">
        <x:f>B23-E23</x:f>
        <x:v>486640.77697963844</x:v>
      </x:c>
      <x:c r="G23" s="35" t="str">
        <x:f>'ALL'!M23</x:f>
        <x:v>PASS</x:v>
      </x:c>
      <x:c r="H23" s="35" t="str">
        <x:f>'ALL'!N23</x:f>
        <x:v>survey-017</x:v>
      </x:c>
      <x:c r="I23" s="32"/>
      <x:c r="J23" s="32"/>
      <x:c r="K23" s="32"/>
      <x:c r="L23" s="32"/>
      <x:c r="M23" s="32"/>
      <x:c r="N23" s="32"/>
    </x:row>
    <x:row r="24">
      <x:c r="A24" s="35" t="n">
        <x:f>'ALL'!A24</x:f>
        <x:v>1832.4975288000003</x:v>
      </x:c>
      <x:c r="B24" s="35" t="n">
        <x:f>'ALL'!F24</x:f>
        <x:v>523714.4049053724</x:v>
      </x:c>
      <x:c r="C24" s="35" t="n">
        <x:f>'ALL'!G24</x:f>
        <x:v>26065.311148290446</x:v>
      </x:c>
      <x:c r="D24" s="35" t="n">
        <x:f>'ALL'!K24</x:f>
        <x:v>14696.276085690224</x:v>
      </x:c>
      <x:c r="E24" s="35" t="n">
        <x:f>'ALL'!L24</x:f>
        <x:v>29392.55217138045</x:v>
      </x:c>
      <x:c r="F24" s="35" t="n">
        <x:f>B24-E24</x:f>
        <x:v>494321.852733992</x:v>
      </x:c>
      <x:c r="G24" s="35" t="str">
        <x:f>'ALL'!M24</x:f>
        <x:v>PASS</x:v>
      </x:c>
      <x:c r="H24" s="35" t="str">
        <x:f>'ALL'!N24</x:f>
        <x:v>survey-018</x:v>
      </x:c>
      <x:c r="I24" s="32"/>
      <x:c r="J24" s="32"/>
      <x:c r="K24" s="32"/>
      <x:c r="L24" s="32"/>
      <x:c r="M24" s="32"/>
      <x:c r="N24" s="32"/>
    </x:row>
    <x:row r="25">
      <x:c r="A25" s="35" t="n">
        <x:f>'ALL'!A25</x:f>
        <x:v>1871.1787824</x:v>
      </x:c>
      <x:c r="B25" s="35" t="n">
        <x:f>'ALL'!F25</x:f>
        <x:v>531904.7691480203</x:v>
      </x:c>
      <x:c r="C25" s="35" t="n">
        <x:f>'ALL'!G25</x:f>
        <x:v>26063.23083660167</x:v>
      </x:c>
      <x:c r="D25" s="35" t="n">
        <x:f>'ALL'!K25</x:f>
        <x:v>14523.257963276968</x:v>
      </x:c>
      <x:c r="E25" s="35" t="n">
        <x:f>'ALL'!L25</x:f>
        <x:v>29046.515926553937</x:v>
      </x:c>
      <x:c r="F25" s="35" t="n">
        <x:f>B25-E25</x:f>
        <x:v>502858.2532214664</x:v>
      </x:c>
      <x:c r="G25" s="35" t="str">
        <x:f>'ALL'!M25</x:f>
        <x:v>PASS</x:v>
      </x:c>
      <x:c r="H25" s="35" t="str">
        <x:f>'ALL'!N25</x:f>
        <x:v>survey-019</x:v>
      </x:c>
      <x:c r="I25" s="32"/>
      <x:c r="J25" s="32"/>
      <x:c r="K25" s="32"/>
      <x:c r="L25" s="32"/>
      <x:c r="M25" s="32"/>
      <x:c r="N25" s="32"/>
    </x:row>
    <x:row r="26">
      <x:c r="A26" s="35" t="n">
        <x:f>'ALL'!A26</x:f>
        <x:v>1947.3607992000002</x:v>
      </x:c>
      <x:c r="B26" s="35" t="n">
        <x:f>'ALL'!F26</x:f>
        <x:v>548553.5110684601</x:v>
      </x:c>
      <x:c r="C26" s="35" t="n">
        <x:f>'ALL'!G26</x:f>
        <x:v>26042.304177327685</x:v>
      </x:c>
      <x:c r="D26" s="35" t="n">
        <x:f>'ALL'!K26</x:f>
        <x:v>8464.771745150709</x:v>
      </x:c>
      <x:c r="E26" s="35" t="n">
        <x:f>'ALL'!L26</x:f>
        <x:v>16929.543490301417</x:v>
      </x:c>
      <x:c r="F26" s="35" t="n">
        <x:f>B26-E26</x:f>
        <x:v>531623.9675781586</x:v>
      </x:c>
      <x:c r="G26" s="35" t="str">
        <x:f>'ALL'!M26</x:f>
        <x:v>PASS</x:v>
      </x:c>
      <x:c r="H26" s="35" t="str">
        <x:f>'ALL'!N26</x:f>
        <x:v>survey-020</x:v>
      </x:c>
      <x:c r="I26" s="32"/>
      <x:c r="J26" s="32"/>
      <x:c r="K26" s="32"/>
      <x:c r="L26" s="32"/>
      <x:c r="M26" s="32"/>
      <x:c r="N26" s="32"/>
    </x:row>
    <x:row r="27">
      <x:c r="A27" s="35" t="n">
        <x:f>'ALL'!A27</x:f>
        <x:v>2022.9868608</x:v>
      </x:c>
      <x:c r="B27" s="35" t="n">
        <x:f>'ALL'!F27</x:f>
        <x:v>565177.7735507294</x:v>
      </x:c>
      <x:c r="C27" s="35" t="n">
        <x:f>'ALL'!G27</x:f>
        <x:v>26026.593773239994</x:v>
      </x:c>
      <x:c r="D27" s="35" t="n">
        <x:f>'ALL'!K27</x:f>
        <x:v>6736.03129578184</x:v>
      </x:c>
      <x:c r="E27" s="35" t="n">
        <x:f>'ALL'!L27</x:f>
        <x:v>13472.06259156368</x:v>
      </x:c>
      <x:c r="F27" s="35" t="n">
        <x:f>B27-E27</x:f>
        <x:v>551705.7109591657</x:v>
      </x:c>
      <x:c r="G27" s="35" t="str">
        <x:f>'ALL'!M27</x:f>
        <x:v>PASS</x:v>
      </x:c>
      <x:c r="H27" s="35" t="str">
        <x:f>'ALL'!N27</x:f>
        <x:v>survey-021</x:v>
      </x:c>
      <x:c r="I27" s="32"/>
      <x:c r="J27" s="32"/>
      <x:c r="K27" s="32"/>
      <x:c r="L27" s="32"/>
      <x:c r="M27" s="32"/>
      <x:c r="N27" s="32"/>
    </x:row>
    <x:row r="28">
      <x:c r="A28" s="35" t="n">
        <x:f>'ALL'!A28</x:f>
        <x:v>2098.3837128</x:v>
      </x:c>
      <x:c r="B28" s="35" t="n">
        <x:f>'ALL'!F28</x:f>
        <x:v>581757.977354576</x:v>
      </x:c>
      <x:c r="C28" s="35" t="n">
        <x:f>'ALL'!G28</x:f>
        <x:v>26025.508823525834</x:v>
      </x:c>
      <x:c r="D28" s="35" t="n">
        <x:f>'ALL'!K28</x:f>
        <x:v>6607.2154035717995</x:v>
      </x:c>
      <x:c r="E28" s="35" t="n">
        <x:f>'ALL'!L28</x:f>
        <x:v>13214.430807143599</x:v>
      </x:c>
      <x:c r="F28" s="35" t="n">
        <x:f>B28-E28</x:f>
        <x:v>568543.5465474324</x:v>
      </x:c>
      <x:c r="G28" s="35" t="str">
        <x:f>'ALL'!M28</x:f>
        <x:v>PASS</x:v>
      </x:c>
      <x:c r="H28" s="35" t="str">
        <x:f>'ALL'!N28</x:f>
        <x:v>survey-022</x:v>
      </x:c>
      <x:c r="I28" s="32"/>
      <x:c r="J28" s="32"/>
      <x:c r="K28" s="32"/>
      <x:c r="L28" s="32"/>
      <x:c r="M28" s="32"/>
      <x:c r="N28" s="32"/>
    </x:row>
    <x:row r="29">
      <x:c r="A29" s="35" t="n">
        <x:f>'ALL'!A29</x:f>
        <x:v>2173.9945344000002</x:v>
      </x:c>
      <x:c r="B29" s="35" t="n">
        <x:f>'ALL'!F29</x:f>
        <x:v>598394.2715607802</x:v>
      </x:c>
      <x:c r="C29" s="35" t="n">
        <x:f>'ALL'!G29</x:f>
        <x:v>26024.1465518982</x:v>
      </x:c>
      <x:c r="D29" s="35" t="n">
        <x:f>'ALL'!K29</x:f>
        <x:v>6419.267007502434</x:v>
      </x:c>
      <x:c r="E29" s="35" t="n">
        <x:f>'ALL'!L29</x:f>
        <x:v>12838.534015004869</x:v>
      </x:c>
      <x:c r="F29" s="35" t="n">
        <x:f>B29-E29</x:f>
        <x:v>585555.7375457754</x:v>
      </x:c>
      <x:c r="G29" s="35" t="str">
        <x:f>'ALL'!M29</x:f>
        <x:v>PASS</x:v>
      </x:c>
      <x:c r="H29" s="35" t="str">
        <x:f>'ALL'!N29</x:f>
        <x:v>survey-023</x:v>
      </x:c>
      <x:c r="I29" s="32"/>
      <x:c r="J29" s="32"/>
      <x:c r="K29" s="32"/>
      <x:c r="L29" s="32"/>
      <x:c r="M29" s="32"/>
      <x:c r="N29" s="32"/>
    </x:row>
    <x:row r="30">
      <x:c r="A30" s="35" t="n">
        <x:f>'ALL'!A30</x:f>
        <x:v>2250.1543008</x:v>
      </x:c>
      <x:c r="B30" s="35" t="n">
        <x:f>'ALL'!F30</x:f>
        <x:v>615162.8034411283</x:v>
      </x:c>
      <x:c r="C30" s="35" t="n">
        <x:f>'ALL'!G30</x:f>
        <x:v>26022.503230848197</x:v>
      </x:c>
      <x:c r="D30" s="35" t="n">
        <x:f>'ALL'!K30</x:f>
        <x:v>6174.609456279386</x:v>
      </x:c>
      <x:c r="E30" s="35" t="n">
        <x:f>'ALL'!L30</x:f>
        <x:v>12349.218912558772</x:v>
      </x:c>
      <x:c r="F30" s="35" t="n">
        <x:f>B30-E30</x:f>
        <x:v>602813.5845285696</x:v>
      </x:c>
      <x:c r="G30" s="35" t="str">
        <x:f>'ALL'!M30</x:f>
        <x:v>PASS</x:v>
      </x:c>
      <x:c r="H30" s="35" t="str">
        <x:f>'ALL'!N30</x:f>
        <x:v>survey-024</x:v>
      </x:c>
      <x:c r="I30" s="32"/>
      <x:c r="J30" s="32"/>
      <x:c r="K30" s="32"/>
      <x:c r="L30" s="32"/>
      <x:c r="M30" s="32"/>
      <x:c r="N30" s="32"/>
    </x:row>
    <x:row r="31">
      <x:c r="A31" s="35" t="n">
        <x:f>'ALL'!A31</x:f>
        <x:v>2326.9172664000002</x:v>
      </x:c>
      <x:c r="B31" s="35" t="n">
        <x:f>'ALL'!F31</x:f>
        <x:v>632077.6149666572</x:v>
      </x:c>
      <x:c r="C31" s="35" t="n">
        <x:f>'ALL'!G31</x:f>
        <x:v>26020.54312609111</x:v>
      </x:c>
      <x:c r="D31" s="35" t="n">
        <x:f>'ALL'!K31</x:f>
        <x:v>5876.344539699765</x:v>
      </x:c>
      <x:c r="E31" s="35" t="n">
        <x:f>'ALL'!L31</x:f>
        <x:v>11752.68907939953</x:v>
      </x:c>
      <x:c r="F31" s="35" t="n">
        <x:f>B31-E31</x:f>
        <x:v>620324.9258872577</x:v>
      </x:c>
      <x:c r="G31" s="35" t="str">
        <x:f>'ALL'!M31</x:f>
        <x:v>PASS</x:v>
      </x:c>
      <x:c r="H31" s="35" t="str">
        <x:f>'ALL'!N31</x:f>
        <x:v>survey-025</x:v>
      </x:c>
      <x:c r="I31" s="32"/>
      <x:c r="J31" s="32"/>
      <x:c r="K31" s="32"/>
      <x:c r="L31" s="32"/>
      <x:c r="M31" s="32"/>
      <x:c r="N31" s="32"/>
    </x:row>
    <x:row r="32">
      <x:c r="A32" s="35" t="n">
        <x:f>'ALL'!A32</x:f>
        <x:v>2404.030752</x:v>
      </x:c>
      <x:c r="B32" s="35" t="n">
        <x:f>'ALL'!F32</x:f>
        <x:v>649084.5607830377</x:v>
      </x:c>
      <x:c r="C32" s="35" t="n">
        <x:f>'ALL'!G32</x:f>
        <x:v>26018.27206626263</x:v>
      </x:c>
      <x:c r="D32" s="35" t="n">
        <x:f>'ALL'!K32</x:f>
        <x:v>5529.406533740687</x:v>
      </x:c>
      <x:c r="E32" s="35" t="n">
        <x:f>'ALL'!L32</x:f>
        <x:v>11058.813067481375</x:v>
      </x:c>
      <x:c r="F32" s="35" t="n">
        <x:f>B32-E32</x:f>
        <x:v>638025.7477155563</x:v>
      </x:c>
      <x:c r="G32" s="35" t="str">
        <x:f>'ALL'!M32</x:f>
        <x:v>PASS</x:v>
      </x:c>
      <x:c r="H32" s="35" t="str">
        <x:f>'ALL'!N32</x:f>
        <x:v>survey-026</x:v>
      </x:c>
      <x:c r="I32" s="32"/>
      <x:c r="J32" s="32"/>
      <x:c r="K32" s="32"/>
      <x:c r="L32" s="32"/>
      <x:c r="M32" s="32"/>
      <x:c r="N32" s="32"/>
    </x:row>
    <x:row r="33">
      <x:c r="A33" s="35" t="n">
        <x:f>'ALL'!A33</x:f>
        <x:v>2481.0637704</x:v>
      </x:c>
      <x:c r="B33" s="35" t="n">
        <x:f>'ALL'!F33</x:f>
        <x:v>666089.5530951733</x:v>
      </x:c>
      <x:c r="C33" s="35" t="n">
        <x:f>'ALL'!G33</x:f>
        <x:v>26015.745847378996</x:v>
      </x:c>
      <x:c r="D33" s="35" t="n">
        <x:f>'ALL'!K33</x:f>
        <x:v>5135.638179379317</x:v>
      </x:c>
      <x:c r="E33" s="35" t="n">
        <x:f>'ALL'!L33</x:f>
        <x:v>10271.276358758634</x:v>
      </x:c>
      <x:c r="F33" s="35" t="n">
        <x:f>B33-E33</x:f>
        <x:v>655818.2767364146</x:v>
      </x:c>
      <x:c r="G33" s="35" t="str">
        <x:f>'ALL'!M33</x:f>
        <x:v>PASS</x:v>
      </x:c>
      <x:c r="H33" s="35" t="str">
        <x:f>'ALL'!N33</x:f>
        <x:v>survey-027</x:v>
      </x:c>
      <x:c r="I33" s="32"/>
      <x:c r="J33" s="32"/>
      <x:c r="K33" s="32"/>
      <x:c r="L33" s="32"/>
      <x:c r="M33" s="32"/>
      <x:c r="N33" s="32"/>
    </x:row>
    <x:row r="34">
      <x:c r="A34" s="35" t="n">
        <x:f>'ALL'!A34</x:f>
        <x:v>2557.6252632</x:v>
      </x:c>
      <x:c r="B34" s="35" t="n">
        <x:f>'ALL'!F34</x:f>
        <x:v>683006.0673463177</x:v>
      </x:c>
      <x:c r="C34" s="35" t="n">
        <x:f>'ALL'!G34</x:f>
        <x:v>26013.17123049007</x:v>
      </x:c>
      <x:c r="D34" s="35" t="n">
        <x:f>'ALL'!K34</x:f>
        <x:v>4711.485253484027</x:v>
      </x:c>
      <x:c r="E34" s="35" t="n">
        <x:f>'ALL'!L34</x:f>
        <x:v>9422.970506968055</x:v>
      </x:c>
      <x:c r="F34" s="35" t="n">
        <x:f>B34-E34</x:f>
        <x:v>673583.0968393496</x:v>
      </x:c>
      <x:c r="G34" s="35" t="str">
        <x:f>'ALL'!M34</x:f>
        <x:v>PASS</x:v>
      </x:c>
      <x:c r="H34" s="35" t="str">
        <x:f>'ALL'!N34</x:f>
        <x:v>survey-028</x:v>
      </x:c>
      <x:c r="I34" s="32"/>
      <x:c r="J34" s="32"/>
      <x:c r="K34" s="32"/>
      <x:c r="L34" s="32"/>
      <x:c r="M34" s="32"/>
      <x:c r="N34" s="32"/>
    </x:row>
    <x:row r="35">
      <x:c r="A35" s="35" t="n">
        <x:f>'ALL'!A35</x:f>
        <x:v>2633.5658784</x:v>
      </x:c>
      <x:c r="B35" s="35" t="n">
        <x:f>'ALL'!F35</x:f>
        <x:v>699800.3995342111</x:v>
      </x:c>
      <x:c r="C35" s="35" t="n">
        <x:f>'ALL'!G35</x:f>
        <x:v>26010.682709321936</x:v>
      </x:c>
      <x:c r="D35" s="35" t="n">
        <x:f>'ALL'!K35</x:f>
        <x:v>4260.430722586636</x:v>
      </x:c>
      <x:c r="E35" s="35" t="n">
        <x:f>'ALL'!L35</x:f>
        <x:v>8520.861445173272</x:v>
      </x:c>
      <x:c r="F35" s="35" t="n">
        <x:f>B35-E35</x:f>
        <x:v>691279.5380890379</x:v>
      </x:c>
      <x:c r="G35" s="35" t="str">
        <x:f>'ALL'!M35</x:f>
        <x:v>PASS</x:v>
      </x:c>
      <x:c r="H35" s="35" t="str">
        <x:f>'ALL'!N35</x:f>
        <x:v>survey-029</x:v>
      </x:c>
      <x:c r="I35" s="32"/>
      <x:c r="J35" s="32"/>
      <x:c r="K35" s="32"/>
      <x:c r="L35" s="32"/>
      <x:c r="M35" s="32"/>
      <x:c r="N35" s="32"/>
    </x:row>
    <x:row r="36">
      <x:c r="A36" s="35" t="n">
        <x:f>'ALL'!A36</x:f>
        <x:v>2709.0514272</x:v>
      </x:c>
      <x:c r="B36" s="35" t="n">
        <x:f>'ALL'!F36</x:f>
        <x:v>716507.5171333092</x:v>
      </x:c>
      <x:c r="C36" s="35" t="n">
        <x:f>'ALL'!G36</x:f>
        <x:v>26008.48767620243</x:v>
      </x:c>
      <x:c r="D36" s="35" t="n">
        <x:f>'ALL'!K36</x:f>
        <x:v>3809.012087543358</x:v>
      </x:c>
      <x:c r="E36" s="35" t="n">
        <x:f>'ALL'!L36</x:f>
        <x:v>7618.024175086716</x:v>
      </x:c>
      <x:c r="F36" s="35" t="n">
        <x:f>B36-E36</x:f>
        <x:v>708889.4929582224</x:v>
      </x:c>
      <x:c r="G36" s="35" t="str">
        <x:f>'ALL'!M36</x:f>
        <x:v>PASS</x:v>
      </x:c>
      <x:c r="H36" s="35" t="str">
        <x:f>'ALL'!N36</x:f>
        <x:v>survey-030</x:v>
      </x:c>
      <x:c r="I36" s="32"/>
      <x:c r="J36" s="32"/>
      <x:c r="K36" s="32"/>
      <x:c r="L36" s="32"/>
      <x:c r="M36" s="32"/>
      <x:c r="N36" s="32"/>
    </x:row>
    <x:row r="37">
      <x:c r="A37" s="35" t="n">
        <x:f>'ALL'!A37</x:f>
        <x:v>2784.480588</x:v>
      </x:c>
      <x:c r="B37" s="35" t="n">
        <x:f>'ALL'!F37</x:f>
        <x:v>733213.5635852496</x:v>
      </x:c>
      <x:c r="C37" s="35" t="n">
        <x:f>'ALL'!G37</x:f>
        <x:v>26006.670135695273</x:v>
      </x:c>
      <x:c r="D37" s="35" t="n">
        <x:f>'ALL'!K37</x:f>
        <x:v>3377.9059561717727</x:v>
      </x:c>
      <x:c r="E37" s="35" t="n">
        <x:f>'ALL'!L37</x:f>
        <x:v>6755.811912343545</x:v>
      </x:c>
      <x:c r="F37" s="35" t="n">
        <x:f>B37-E37</x:f>
        <x:v>726457.7516729061</x:v>
      </x:c>
      <x:c r="G37" s="35" t="str">
        <x:f>'ALL'!M37</x:f>
        <x:v>PASS</x:v>
      </x:c>
      <x:c r="H37" s="35" t="str">
        <x:f>'ALL'!N37</x:f>
        <x:v>survey-031</x:v>
      </x:c>
      <x:c r="I37" s="32"/>
      <x:c r="J37" s="32"/>
      <x:c r="K37" s="32"/>
      <x:c r="L37" s="32"/>
      <x:c r="M37" s="32"/>
      <x:c r="N37" s="32"/>
    </x:row>
    <x:row r="38">
      <x:c r="A38" s="35" t="n">
        <x:f>'ALL'!A38</x:f>
        <x:v>2860.2800807999997</x:v>
      </x:c>
      <x:c r="B38" s="35" t="n">
        <x:f>'ALL'!F38</x:f>
        <x:v>750010.9735344269</x:v>
      </x:c>
      <x:c r="C38" s="35" t="n">
        <x:f>'ALL'!G38</x:f>
        <x:v>26005.219780070387</x:v>
      </x:c>
      <x:c r="D38" s="35" t="n">
        <x:f>'ALL'!K38</x:f>
        <x:v>2980.8684489930993</x:v>
      </x:c>
      <x:c r="E38" s="35" t="n">
        <x:f>'ALL'!L38</x:f>
        <x:v>5961.7368979861985</x:v>
      </x:c>
      <x:c r="F38" s="35" t="n">
        <x:f>B38-E38</x:f>
        <x:v>744049.2366364407</x:v>
      </x:c>
      <x:c r="G38" s="35" t="str">
        <x:f>'ALL'!M38</x:f>
        <x:v>PASS</x:v>
      </x:c>
      <x:c r="H38" s="35" t="str">
        <x:f>'ALL'!N38</x:f>
        <x:v>survey-032</x:v>
      </x:c>
      <x:c r="I38" s="32"/>
      <x:c r="J38" s="32"/>
      <x:c r="K38" s="32"/>
      <x:c r="L38" s="32"/>
      <x:c r="M38" s="32"/>
      <x:c r="N38" s="32"/>
    </x:row>
    <x:row r="39">
      <x:c r="A39" s="35" t="n">
        <x:f>'ALL'!A39</x:f>
        <x:v>2936.688564</x:v>
      </x:c>
      <x:c r="B39" s="35" t="n">
        <x:f>'ALL'!F39</x:f>
        <x:v>766951.240161732</x:v>
      </x:c>
      <x:c r="C39" s="35" t="n">
        <x:f>'ALL'!G39</x:f>
        <x:v>26004.007201696502</x:v>
      </x:c>
      <x:c r="D39" s="35" t="n">
        <x:f>'ALL'!K39</x:f>
        <x:v>2601.355278029806</x:v>
      </x:c>
      <x:c r="E39" s="35" t="n">
        <x:f>'ALL'!L39</x:f>
        <x:v>5202.710556059612</x:v>
      </x:c>
      <x:c r="F39" s="35" t="n">
        <x:f>B39-E39</x:f>
        <x:v>761748.5296056723</x:v>
      </x:c>
      <x:c r="G39" s="35" t="str">
        <x:f>'ALL'!M39</x:f>
        <x:v>PASS</x:v>
      </x:c>
      <x:c r="H39" s="35" t="str">
        <x:f>'ALL'!N39</x:f>
        <x:v>survey-033</x:v>
      </x:c>
      <x:c r="I39" s="32"/>
      <x:c r="J39" s="32"/>
      <x:c r="K39" s="32"/>
      <x:c r="L39" s="32"/>
      <x:c r="M39" s="32"/>
      <x:c r="N39" s="32"/>
    </x:row>
    <x:row r="40">
      <x:c r="A40" s="35" t="n">
        <x:f>'ALL'!A40</x:f>
        <x:v>3013.6334952</x:v>
      </x:c>
      <x:c r="B40" s="35" t="n">
        <x:f>'ALL'!F40</x:f>
        <x:v>784017.5061779759</x:v>
      </x:c>
      <x:c r="C40" s="35" t="n">
        <x:f>'ALL'!G40</x:f>
        <x:v>26002.913716585746</x:v>
      </x:c>
      <x:c r="D40" s="35" t="n">
        <x:f>'ALL'!K40</x:f>
        <x:v>2210.464287905019</x:v>
      </x:c>
      <x:c r="E40" s="35" t="n">
        <x:f>'ALL'!L40</x:f>
        <x:v>4420.928575810038</x:v>
      </x:c>
      <x:c r="F40" s="35" t="n">
        <x:f>B40-E40</x:f>
        <x:v>779596.5776021659</x:v>
      </x:c>
      <x:c r="G40" s="35" t="str">
        <x:f>'ALL'!M40</x:f>
        <x:v>PASS</x:v>
      </x:c>
      <x:c r="H40" s="35" t="str">
        <x:f>'ALL'!N40</x:f>
        <x:v>survey-034</x:v>
      </x:c>
      <x:c r="I40" s="32"/>
      <x:c r="J40" s="32"/>
      <x:c r="K40" s="32"/>
      <x:c r="L40" s="32"/>
      <x:c r="M40" s="32"/>
      <x:c r="N40" s="32"/>
    </x:row>
    <x:row r="41">
      <x:c r="A41" s="35" t="n">
        <x:f>'ALL'!A41</x:f>
        <x:v>3090.7698408</x:v>
      </x:c>
      <x:c r="B41" s="35" t="n">
        <x:f>'ALL'!F41</x:f>
        <x:v>801132.0373323669</x:v>
      </x:c>
      <x:c r="C41" s="35" t="n">
        <x:f>'ALL'!G41</x:f>
        <x:v>26001.998671604153</x:v>
      </x:c>
      <x:c r="D41" s="35" t="n">
        <x:f>'ALL'!K41</x:f>
        <x:v>1828.4835133349245</x:v>
      </x:c>
      <x:c r="E41" s="35" t="n">
        <x:f>'ALL'!L41</x:f>
        <x:v>3656.967026669849</x:v>
      </x:c>
      <x:c r="F41" s="35" t="n">
        <x:f>B41-E41</x:f>
        <x:v>797475.070305697</x:v>
      </x:c>
      <x:c r="G41" s="35" t="str">
        <x:f>'ALL'!M41</x:f>
        <x:v>PASS</x:v>
      </x:c>
      <x:c r="H41" s="35" t="str">
        <x:f>'ALL'!N41</x:f>
        <x:v>survey-035</x:v>
      </x:c>
      <x:c r="I41" s="32"/>
      <x:c r="J41" s="32"/>
      <x:c r="K41" s="32"/>
      <x:c r="L41" s="32"/>
      <x:c r="M41" s="32"/>
      <x:c r="N41" s="32"/>
    </x:row>
    <x:row r="42">
      <x:c r="A42" s="35" t="n">
        <x:f>'ALL'!A42</x:f>
        <x:v>3167.6544215999998</x:v>
      </x:c>
      <x:c r="B42" s="35" t="n">
        <x:f>'ALL'!F42</x:f>
        <x:v>818190.9258303377</x:v>
      </x:c>
      <x:c r="C42" s="35" t="n">
        <x:f>'ALL'!G42</x:f>
        <x:v>26001.957644349724</x:v>
      </x:c>
      <x:c r="D42" s="35" t="n">
        <x:f>'ALL'!K42</x:f>
        <x:v>1812.5797754308658</x:v>
      </x:c>
      <x:c r="E42" s="35" t="n">
        <x:f>'ALL'!L42</x:f>
        <x:v>3625.1595508617315</x:v>
      </x:c>
      <x:c r="F42" s="35" t="n">
        <x:f>B42-E42</x:f>
        <x:v>814565.766279476</x:v>
      </x:c>
      <x:c r="G42" s="35" t="str">
        <x:f>'ALL'!M42</x:f>
        <x:v>PASS</x:v>
      </x:c>
      <x:c r="H42" s="35" t="str">
        <x:f>'ALL'!N42</x:f>
        <x:v>survey-036</x:v>
      </x:c>
      <x:c r="I42" s="32"/>
      <x:c r="J42" s="32"/>
      <x:c r="K42" s="32"/>
      <x:c r="L42" s="32"/>
      <x:c r="M42" s="32"/>
      <x:c r="N42" s="32"/>
    </x:row>
    <x:row r="43">
      <x:c r="A43" s="35" t="n">
        <x:f>'ALL'!A43</x:f>
        <x:v>3243.9723792</x:v>
      </x:c>
      <x:c r="B43" s="35" t="n">
        <x:f>'ALL'!F43</x:f>
        <x:v>835118.0075327385</x:v>
      </x:c>
      <x:c r="C43" s="35" t="n">
        <x:f>'ALL'!G43</x:f>
        <x:v>26002.909428632258</x:v>
      </x:c>
      <x:c r="D43" s="35" t="n">
        <x:f>'ALL'!K43</x:f>
        <x:v>2217.891733412791</x:v>
      </x:c>
      <x:c r="E43" s="35" t="n">
        <x:f>'ALL'!L43</x:f>
        <x:v>4435.783466825582</x:v>
      </x:c>
      <x:c r="F43" s="35" t="n">
        <x:f>B43-E43</x:f>
        <x:v>830682.2240659129</x:v>
      </x:c>
      <x:c r="G43" s="35" t="str">
        <x:f>'ALL'!M43</x:f>
        <x:v>PASS</x:v>
      </x:c>
      <x:c r="H43" s="35" t="str">
        <x:f>'ALL'!N43</x:f>
        <x:v>survey-037</x:v>
      </x:c>
      <x:c r="I43" s="32"/>
      <x:c r="J43" s="32"/>
      <x:c r="K43" s="32"/>
      <x:c r="L43" s="32"/>
      <x:c r="M43" s="32"/>
      <x:c r="N43" s="32"/>
    </x:row>
    <x:row r="44">
      <x:c r="A44" s="35" t="n">
        <x:f>'ALL'!A44</x:f>
        <x:v>3319.6978056000003</x:v>
      </x:c>
      <x:c r="B44" s="35" t="n">
        <x:f>'ALL'!F44</x:f>
        <x:v>851906.0400679975</x:v>
      </x:c>
      <x:c r="C44" s="35" t="n">
        <x:f>'ALL'!G44</x:f>
        <x:v>26004.097724617648</x:v>
      </x:c>
      <x:c r="D44" s="35" t="n">
        <x:f>'ALL'!K44</x:f>
        <x:v>2642.4110592528173</x:v>
      </x:c>
      <x:c r="E44" s="35" t="n">
        <x:f>'ALL'!L44</x:f>
        <x:v>5284.8221185056345</x:v>
      </x:c>
      <x:c r="F44" s="35" t="n">
        <x:f>B44-E44</x:f>
        <x:v>846621.2179494919</x:v>
      </x:c>
      <x:c r="G44" s="35" t="str">
        <x:f>'ALL'!M44</x:f>
        <x:v>PASS</x:v>
      </x:c>
      <x:c r="H44" s="35" t="str">
        <x:f>'ALL'!N44</x:f>
        <x:v>survey-038</x:v>
      </x:c>
      <x:c r="I44" s="32"/>
      <x:c r="J44" s="32"/>
      <x:c r="K44" s="32"/>
      <x:c r="L44" s="32"/>
      <x:c r="M44" s="32"/>
      <x:c r="N44" s="32"/>
    </x:row>
    <x:row r="45">
      <x:c r="A45" s="35" t="n">
        <x:f>'ALL'!A45</x:f>
        <x:v>3395.1068496000003</x:v>
      </x:c>
      <x:c r="B45" s="35" t="n">
        <x:f>'ALL'!F45</x:f>
        <x:v>868616.94718898</x:v>
      </x:c>
      <x:c r="C45" s="35" t="n">
        <x:f>'ALL'!G45</x:f>
        <x:v>26005.18942006424</x:v>
      </x:c>
      <x:c r="D45" s="35" t="n">
        <x:f>'ALL'!K45</x:f>
        <x:v>2979.8716159706937</x:v>
      </x:c>
      <x:c r="E45" s="35" t="n">
        <x:f>'ALL'!L45</x:f>
        <x:v>5959.743231941387</x:v>
      </x:c>
      <x:c r="F45" s="35" t="n">
        <x:f>B45-E45</x:f>
        <x:v>862657.2039570386</x:v>
      </x:c>
      <x:c r="G45" s="35" t="str">
        <x:f>'ALL'!M45</x:f>
        <x:v>PASS</x:v>
      </x:c>
      <x:c r="H45" s="35" t="str">
        <x:f>'ALL'!N45</x:f>
        <x:v>survey-039</x:v>
      </x:c>
      <x:c r="I45" s="32"/>
      <x:c r="J45" s="32"/>
      <x:c r="K45" s="32"/>
      <x:c r="L45" s="32"/>
      <x:c r="M45" s="32"/>
      <x:c r="N45" s="32"/>
    </x:row>
    <x:row r="46">
      <x:c r="A46" s="35" t="n">
        <x:f>'ALL'!A46</x:f>
        <x:v>3470.6368992</x:v>
      </x:c>
      <x:c r="B46" s="35" t="n">
        <x:f>'ALL'!F46</x:f>
        <x:v>885348.6982656334</x:v>
      </x:c>
      <x:c r="C46" s="35" t="n">
        <x:f>'ALL'!G46</x:f>
        <x:v>26006.145692328508</x:v>
      </x:c>
      <x:c r="D46" s="35" t="n">
        <x:f>'ALL'!K46</x:f>
        <x:v>3240.2265772593487</x:v>
      </x:c>
      <x:c r="E46" s="35" t="n">
        <x:f>'ALL'!L46</x:f>
        <x:v>6480.453154518697</x:v>
      </x:c>
      <x:c r="F46" s="35" t="n">
        <x:f>B46-E46</x:f>
        <x:v>878868.2451111147</x:v>
      </x:c>
      <x:c r="G46" s="35" t="str">
        <x:f>'ALL'!M46</x:f>
        <x:v>PASS</x:v>
      </x:c>
      <x:c r="H46" s="35" t="str">
        <x:f>'ALL'!N46</x:f>
        <x:v>survey-040</x:v>
      </x:c>
      <x:c r="I46" s="32"/>
      <x:c r="J46" s="32"/>
      <x:c r="K46" s="32"/>
      <x:c r="L46" s="32"/>
      <x:c r="M46" s="32"/>
      <x:c r="N46" s="32"/>
    </x:row>
    <x:row r="47">
      <x:c r="A47" s="35" t="n">
        <x:f>'ALL'!A47</x:f>
        <x:v>3546.6631632</x:v>
      </x:c>
      <x:c r="B47" s="35" t="n">
        <x:f>'ALL'!F47</x:f>
        <x:v>902184.4548048641</x:v>
      </x:c>
      <x:c r="C47" s="35" t="n">
        <x:f>'ALL'!G47</x:f>
        <x:v>26007.125574186455</x:v>
      </x:c>
      <x:c r="D47" s="35" t="n">
        <x:f>'ALL'!K47</x:f>
        <x:v>3477.5866978427607</x:v>
      </x:c>
      <x:c r="E47" s="35" t="n">
        <x:f>'ALL'!L47</x:f>
        <x:v>6955.173395685521</x:v>
      </x:c>
      <x:c r="F47" s="35" t="n">
        <x:f>B47-E47</x:f>
        <x:v>895229.2814091786</x:v>
      </x:c>
      <x:c r="G47" s="35" t="str">
        <x:f>'ALL'!M47</x:f>
        <x:v>PASS</x:v>
      </x:c>
      <x:c r="H47" s="35" t="str">
        <x:f>'ALL'!N47</x:f>
        <x:v>survey-041</x:v>
      </x:c>
      <x:c r="I47" s="32"/>
      <x:c r="J47" s="32"/>
      <x:c r="K47" s="32"/>
      <x:c r="L47" s="32"/>
      <x:c r="M47" s="32"/>
      <x:c r="N47" s="32"/>
    </x:row>
    <x:row r="48">
      <x:c r="A48" s="35" t="n">
        <x:f>'ALL'!A48</x:f>
        <x:v>3623.3087808</x:v>
      </x:c>
      <x:c r="B48" s="35" t="n">
        <x:f>'ALL'!F48</x:f>
        <x:v>919150.4032984045</x:v>
      </x:c>
      <x:c r="C48" s="35" t="n">
        <x:f>'ALL'!G48</x:f>
        <x:v>26008.288806632336</x:v>
      </x:c>
      <x:c r="D48" s="35" t="n">
        <x:f>'ALL'!K48</x:f>
        <x:v>3735.52973462342</x:v>
      </x:c>
      <x:c r="E48" s="35" t="n">
        <x:f>'ALL'!L48</x:f>
        <x:v>7471.05946924684</x:v>
      </x:c>
      <x:c r="F48" s="35" t="n">
        <x:f>B48-E48</x:f>
        <x:v>911679.3438291576</x:v>
      </x:c>
      <x:c r="G48" s="35" t="str">
        <x:f>'ALL'!M48</x:f>
        <x:v>PASS</x:v>
      </x:c>
      <x:c r="H48" s="35" t="str">
        <x:f>'ALL'!N48</x:f>
        <x:v>survey-042</x:v>
      </x:c>
      <x:c r="I48" s="32"/>
      <x:c r="J48" s="32"/>
      <x:c r="K48" s="32"/>
      <x:c r="L48" s="32"/>
      <x:c r="M48" s="32"/>
      <x:c r="N48" s="32"/>
    </x:row>
    <x:row r="49">
      <x:c r="A49" s="35" t="n">
        <x:f>'ALL'!A49</x:f>
        <x:v>3700.3805088</x:v>
      </x:c>
      <x:c r="B49" s="35" t="n">
        <x:f>'ALL'!F49</x:f>
        <x:v>936201.9429977234</x:v>
      </x:c>
      <x:c r="C49" s="35" t="n">
        <x:f>'ALL'!G49</x:f>
        <x:v>26009.720899988184</x:v>
      </x:c>
      <x:c r="D49" s="35" t="n">
        <x:f>'ALL'!K49</x:f>
        <x:v>4034.182554764465</x:v>
      </x:c>
      <x:c r="E49" s="35" t="n">
        <x:f>'ALL'!L49</x:f>
        <x:v>8068.36510952893</x:v>
      </x:c>
      <x:c r="F49" s="35" t="n">
        <x:f>B49-E49</x:f>
        <x:v>928133.5778881945</x:v>
      </x:c>
      <x:c r="G49" s="35" t="str">
        <x:f>'ALL'!M49</x:f>
        <x:v>PASS</x:v>
      </x:c>
      <x:c r="H49" s="35" t="str">
        <x:f>'ALL'!N49</x:f>
        <x:v>survey-043</x:v>
      </x:c>
      <x:c r="I49" s="32"/>
      <x:c r="J49" s="32"/>
      <x:c r="K49" s="32"/>
      <x:c r="L49" s="32"/>
      <x:c r="M49" s="32"/>
      <x:c r="N49" s="32"/>
    </x:row>
    <x:row r="50">
      <x:c r="A50" s="35" t="n">
        <x:f>'ALL'!A50</x:f>
        <x:v>3777.4683912</x:v>
      </x:c>
      <x:c r="B50" s="35" t="n">
        <x:f>'ALL'!F50</x:f>
        <x:v>953247.3732166202</x:v>
      </x:c>
      <x:c r="C50" s="35" t="n">
        <x:f>'ALL'!G50</x:f>
        <x:v>26011.260196282372</x:v>
      </x:c>
      <x:c r="D50" s="35" t="n">
        <x:f>'ALL'!K50</x:f>
        <x:v>4341.399783443597</x:v>
      </x:c>
      <x:c r="E50" s="35" t="n">
        <x:f>'ALL'!L50</x:f>
        <x:v>8682.799566887194</x:v>
      </x:c>
      <x:c r="F50" s="35" t="n">
        <x:f>B50-E50</x:f>
        <x:v>944564.573649733</x:v>
      </x:c>
      <x:c r="G50" s="35" t="str">
        <x:f>'ALL'!M50</x:f>
        <x:v>PASS</x:v>
      </x:c>
      <x:c r="H50" s="35" t="str">
        <x:f>'ALL'!N50</x:f>
        <x:v>survey-044</x:v>
      </x:c>
      <x:c r="I50" s="32"/>
      <x:c r="J50" s="32"/>
      <x:c r="K50" s="32"/>
      <x:c r="L50" s="32"/>
      <x:c r="M50" s="32"/>
      <x:c r="N50" s="32"/>
    </x:row>
    <x:row r="51">
      <x:c r="A51" s="35" t="n">
        <x:f>'ALL'!A51</x:f>
        <x:v>3854.1542424</x:v>
      </x:c>
      <x:c r="B51" s="35" t="n">
        <x:f>'ALL'!F51</x:f>
        <x:v>970194.0804175219</x:v>
      </x:c>
      <x:c r="C51" s="35" t="n">
        <x:f>'ALL'!G51</x:f>
        <x:v>26012.761530679953</x:v>
      </x:c>
      <x:c r="D51" s="35" t="n">
        <x:f>'ALL'!K51</x:f>
        <x:v>4633.867599663519</x:v>
      </x:c>
      <x:c r="E51" s="35" t="n">
        <x:f>'ALL'!L51</x:f>
        <x:v>9267.735199327039</x:v>
      </x:c>
      <x:c r="F51" s="35" t="n">
        <x:f>B51-E51</x:f>
        <x:v>960926.3452181949</x:v>
      </x:c>
      <x:c r="G51" s="35" t="str">
        <x:f>'ALL'!M51</x:f>
        <x:v>PASS</x:v>
      </x:c>
      <x:c r="H51" s="35" t="str">
        <x:f>'ALL'!N51</x:f>
        <x:v>survey-045</x:v>
      </x:c>
      <x:c r="I51" s="32"/>
      <x:c r="J51" s="32"/>
      <x:c r="K51" s="32"/>
      <x:c r="L51" s="32"/>
      <x:c r="M51" s="32"/>
      <x:c r="N51" s="32"/>
    </x:row>
    <x:row r="52">
      <x:c r="A52" s="35" t="n">
        <x:f>'ALL'!A52</x:f>
        <x:v>3930.2240928</x:v>
      </x:c>
      <x:c r="B52" s="35" t="n">
        <x:f>'ALL'!F52</x:f>
        <x:v>986995.911058625</x:v>
      </x:c>
      <x:c r="C52" s="35" t="n">
        <x:f>'ALL'!G52</x:f>
        <x:v>26014.047660092234</x:v>
      </x:c>
      <x:c r="D52" s="35" t="n">
        <x:f>'ALL'!K52</x:f>
        <x:v>4881.413205013298</x:v>
      </x:c>
      <x:c r="E52" s="35" t="n">
        <x:f>'ALL'!L52</x:f>
        <x:v>9762.826410026595</x:v>
      </x:c>
      <x:c r="F52" s="35" t="n">
        <x:f>B52-E52</x:f>
        <x:v>977233.0846485983</x:v>
      </x:c>
      <x:c r="G52" s="35" t="str">
        <x:f>'ALL'!M52</x:f>
        <x:v>PASS</x:v>
      </x:c>
      <x:c r="H52" s="35" t="str">
        <x:f>'ALL'!N52</x:f>
        <x:v>survey-046</x:v>
      </x:c>
      <x:c r="I52" s="32"/>
      <x:c r="J52" s="32"/>
      <x:c r="K52" s="32"/>
      <x:c r="L52" s="32"/>
      <x:c r="M52" s="32"/>
      <x:c r="N52" s="32"/>
    </x:row>
    <x:row r="53">
      <x:c r="A53" s="35" t="n">
        <x:f>'ALL'!A53</x:f>
        <x:v>4005.779136</x:v>
      </x:c>
      <x:c r="B53" s="35" t="n">
        <x:f>'ALL'!F53</x:f>
        <x:v>1003676.8408510318</x:v>
      </x:c>
      <x:c r="C53" s="35" t="n">
        <x:f>'ALL'!G53</x:f>
        <x:v>26015.09455487681</x:v>
      </x:c>
      <x:c r="D53" s="35" t="n">
        <x:f>'ALL'!K53</x:f>
        <x:v>5077.246908811857</x:v>
      </x:c>
      <x:c r="E53" s="35" t="n">
        <x:f>'ALL'!L53</x:f>
        <x:v>10154.493817623714</x:v>
      </x:c>
      <x:c r="F53" s="35" t="n">
        <x:f>B53-E53</x:f>
        <x:v>993522.3470334081</x:v>
      </x:c>
      <x:c r="G53" s="35" t="str">
        <x:f>'ALL'!M53</x:f>
        <x:v>PASS</x:v>
      </x:c>
      <x:c r="H53" s="35" t="str">
        <x:f>'ALL'!N53</x:f>
        <x:v>survey-047</x:v>
      </x:c>
      <x:c r="I53" s="32"/>
      <x:c r="J53" s="32"/>
      <x:c r="K53" s="32"/>
      <x:c r="L53" s="32"/>
      <x:c r="M53" s="32"/>
      <x:c r="N53" s="32"/>
    </x:row>
    <x:row r="54">
      <x:c r="A54" s="35" t="n">
        <x:f>'ALL'!A54</x:f>
        <x:v>4081.1817792</x:v>
      </x:c>
      <x:c r="B54" s="35" t="n">
        <x:f>'ALL'!F54</x:f>
        <x:v>1020318.5401385546</x:v>
      </x:c>
      <x:c r="C54" s="35" t="n">
        <x:f>'ALL'!G54</x:f>
        <x:v>26015.950545855758</x:v>
      </x:c>
      <x:c r="D54" s="35" t="n">
        <x:f>'ALL'!K54</x:f>
        <x:v>5224.495357305971</x:v>
      </x:c>
      <x:c r="E54" s="35" t="n">
        <x:f>'ALL'!L54</x:f>
        <x:v>10448.990714611942</x:v>
      </x:c>
      <x:c r="F54" s="35" t="n">
        <x:f>B54-E54</x:f>
        <x:v>1009869.5494239427</x:v>
      </x:c>
      <x:c r="G54" s="35" t="str">
        <x:f>'ALL'!M54</x:f>
        <x:v>PASS</x:v>
      </x:c>
      <x:c r="H54" s="35" t="str">
        <x:f>'ALL'!N54</x:f>
        <x:v>survey-048</x:v>
      </x:c>
      <x:c r="I54" s="32"/>
      <x:c r="J54" s="32"/>
      <x:c r="K54" s="32"/>
      <x:c r="L54" s="32"/>
      <x:c r="M54" s="32"/>
      <x:c r="N54" s="32"/>
    </x:row>
    <x:row r="55">
      <x:c r="A55" s="35" t="n">
        <x:f>'ALL'!A55</x:f>
        <x:v>4156.8727632</x:v>
      </x:c>
      <x:c r="B55" s="35" t="n">
        <x:f>'ALL'!F55</x:f>
        <x:v>1037019.7969557836</x:v>
      </x:c>
      <x:c r="C55" s="35" t="n">
        <x:f>'ALL'!G55</x:f>
        <x:v>26016.659331377163</x:v>
      </x:c>
      <x:c r="D55" s="35" t="n">
        <x:f>'ALL'!K55</x:f>
        <x:v>5329.133078724494</x:v>
      </x:c>
      <x:c r="E55" s="35" t="n">
        <x:f>'ALL'!L55</x:f>
        <x:v>10658.266157448988</x:v>
      </x:c>
      <x:c r="F55" s="35" t="n">
        <x:f>B55-E55</x:f>
        <x:v>1026361.5307983346</x:v>
      </x:c>
      <x:c r="G55" s="35" t="str">
        <x:f>'ALL'!M55</x:f>
        <x:v>PASS</x:v>
      </x:c>
      <x:c r="H55" s="35" t="str">
        <x:f>'ALL'!N55</x:f>
        <x:v>survey-049</x:v>
      </x:c>
      <x:c r="I55" s="32"/>
      <x:c r="J55" s="32"/>
      <x:c r="K55" s="32"/>
      <x:c r="L55" s="32"/>
      <x:c r="M55" s="32"/>
      <x:c r="N55" s="32"/>
    </x:row>
    <x:row r="56">
      <x:c r="A56" s="35" t="n">
        <x:f>'ALL'!A56</x:f>
        <x:v>4233.1456104</x:v>
      </x:c>
      <x:c r="B56" s="35" t="n">
        <x:f>'ALL'!F56</x:f>
        <x:v>1053846.4739392952</x:v>
      </x:c>
      <x:c r="C56" s="35" t="n">
        <x:f>'ALL'!G56</x:f>
        <x:v>26017.258609661185</x:v>
      </x:c>
      <x:c r="D56" s="35" t="n">
        <x:f>'ALL'!K56</x:f>
        <x:v>5403.408250563843</x:v>
      </x:c>
      <x:c r="E56" s="35" t="n">
        <x:f>'ALL'!L56</x:f>
        <x:v>10806.816501127685</x:v>
      </x:c>
      <x:c r="F56" s="35" t="n">
        <x:f>B56-E56</x:f>
        <x:v>1043039.6574381675</x:v>
      </x:c>
      <x:c r="G56" s="35" t="str">
        <x:f>'ALL'!M56</x:f>
        <x:v>PASS</x:v>
      </x:c>
      <x:c r="H56" s="35" t="str">
        <x:f>'ALL'!N56</x:f>
        <x:v>survey-050</x:v>
      </x:c>
      <x:c r="I56" s="32"/>
      <x:c r="J56" s="32"/>
      <x:c r="K56" s="32"/>
      <x:c r="L56" s="32"/>
      <x:c r="M56" s="32"/>
      <x:c r="N56" s="32"/>
    </x:row>
    <x:row r="57">
      <x:c r="A57" s="35" t="n">
        <x:f>'ALL'!A57</x:f>
        <x:v>4309.9975776</x:v>
      </x:c>
      <x:c r="B57" s="35" t="n">
        <x:f>'ALL'!F57</x:f>
        <x:v>1070799.1602705836</x:v>
      </x:c>
      <x:c r="C57" s="35" t="n">
        <x:f>'ALL'!G57</x:f>
        <x:v>26017.667662052878</x:v>
      </x:c>
      <x:c r="D57" s="35" t="n">
        <x:f>'ALL'!K57</x:f>
        <x:v>5446.429733762008</x:v>
      </x:c>
      <x:c r="E57" s="35" t="n">
        <x:f>'ALL'!L57</x:f>
        <x:v>10892.859467524017</x:v>
      </x:c>
      <x:c r="F57" s="35" t="n">
        <x:f>B57-E57</x:f>
        <x:v>1059906.3008030595</x:v>
      </x:c>
      <x:c r="G57" s="35" t="str">
        <x:f>'ALL'!M57</x:f>
        <x:v>PASS</x:v>
      </x:c>
      <x:c r="H57" s="35" t="str">
        <x:f>'ALL'!N57</x:f>
        <x:v>survey-051</x:v>
      </x:c>
      <x:c r="I57" s="32"/>
      <x:c r="J57" s="32"/>
      <x:c r="K57" s="32"/>
      <x:c r="L57" s="32"/>
      <x:c r="M57" s="32"/>
      <x:c r="N57" s="32"/>
    </x:row>
    <x:row r="58">
      <x:c r="A58" s="35" t="n">
        <x:f>'ALL'!A58</x:f>
        <x:v>4387.1302656</x:v>
      </x:c>
      <x:c r="B58" s="35" t="n">
        <x:f>'ALL'!F58</x:f>
        <x:v>1087812.9940658004</x:v>
      </x:c>
      <x:c r="C58" s="35" t="n">
        <x:f>'ALL'!G58</x:f>
        <x:v>26017.855452932938</x:v>
      </x:c>
      <x:c r="D58" s="35" t="n">
        <x:f>'ALL'!K58</x:f>
        <x:v>5465.325847757959</x:v>
      </x:c>
      <x:c r="E58" s="35" t="n">
        <x:f>'ALL'!L58</x:f>
        <x:v>10930.651695515919</x:v>
      </x:c>
      <x:c r="F58" s="35" t="n">
        <x:f>B58-E58</x:f>
        <x:v>1076882.3423702845</x:v>
      </x:c>
      <x:c r="G58" s="35" t="str">
        <x:f>'ALL'!M58</x:f>
        <x:v>PASS</x:v>
      </x:c>
      <x:c r="H58" s="35" t="str">
        <x:f>'ALL'!N58</x:f>
        <x:v>survey-052</x:v>
      </x:c>
      <x:c r="I58" s="32"/>
      <x:c r="J58" s="32"/>
      <x:c r="K58" s="32"/>
      <x:c r="L58" s="32"/>
      <x:c r="M58" s="32"/>
      <x:c r="N58" s="32"/>
    </x:row>
    <x:row r="59">
      <x:c r="A59" s="35" t="n">
        <x:f>'ALL'!A59</x:f>
        <x:v>4464.1026288</x:v>
      </x:c>
      <x:c r="B59" s="35" t="n">
        <x:f>'ALL'!F59</x:f>
        <x:v>1104791.564922813</x:v>
      </x:c>
      <x:c r="C59" s="35" t="n">
        <x:f>'ALL'!G59</x:f>
        <x:v>26017.802256414583</x:v>
      </x:c>
      <x:c r="D59" s="35" t="n">
        <x:f>'ALL'!K59</x:f>
        <x:v>5462.8587766814835</x:v>
      </x:c>
      <x:c r="E59" s="35" t="n">
        <x:f>'ALL'!L59</x:f>
        <x:v>10925.717553362967</x:v>
      </x:c>
      <x:c r="F59" s="35" t="n">
        <x:f>B59-E59</x:f>
        <x:v>1093865.8473694501</x:v>
      </x:c>
      <x:c r="G59" s="35" t="str">
        <x:f>'ALL'!M59</x:f>
        <x:v>PASS</x:v>
      </x:c>
      <x:c r="H59" s="35" t="str">
        <x:f>'ALL'!N59</x:f>
        <x:v>survey-053</x:v>
      </x:c>
      <x:c r="I59" s="32"/>
      <x:c r="J59" s="32"/>
      <x:c r="K59" s="32"/>
      <x:c r="L59" s="32"/>
      <x:c r="M59" s="32"/>
      <x:c r="N59" s="32"/>
    </x:row>
    <x:row r="60">
      <x:c r="A60" s="35" t="n">
        <x:f>'ALL'!A60</x:f>
        <x:v>4540.555308</x:v>
      </x:c>
      <x:c r="B60" s="35" t="n">
        <x:f>'ALL'!F60</x:f>
        <x:v>1121656.1618409925</x:v>
      </x:c>
      <x:c r="C60" s="35" t="n">
        <x:f>'ALL'!G60</x:f>
        <x:v>26017.577605004877</x:v>
      </x:c>
      <x:c r="D60" s="35" t="n">
        <x:f>'ALL'!K60</x:f>
        <x:v>5446.698722331982</x:v>
      </x:c>
      <x:c r="E60" s="35" t="n">
        <x:f>'ALL'!L60</x:f>
        <x:v>10893.397444663964</x:v>
      </x:c>
      <x:c r="F60" s="35" t="n">
        <x:f>B60-E60</x:f>
        <x:v>1110762.7643963285</x:v>
      </x:c>
      <x:c r="G60" s="35" t="str">
        <x:f>'ALL'!M60</x:f>
        <x:v>PASS</x:v>
      </x:c>
      <x:c r="H60" s="35" t="str">
        <x:f>'ALL'!N60</x:f>
        <x:v>survey-054</x:v>
      </x:c>
      <x:c r="I60" s="32"/>
      <x:c r="J60" s="32"/>
      <x:c r="K60" s="32"/>
      <x:c r="L60" s="32"/>
      <x:c r="M60" s="32"/>
      <x:c r="N60" s="32"/>
    </x:row>
    <x:row r="61">
      <x:c r="A61" s="35" t="n">
        <x:f>'ALL'!A61</x:f>
        <x:v>4616.3935104</x:v>
      </x:c>
      <x:c r="B61" s="35" t="n">
        <x:f>'ALL'!F61</x:f>
        <x:v>1138386.296912006</x:v>
      </x:c>
      <x:c r="C61" s="35" t="n">
        <x:f>'ALL'!G61</x:f>
        <x:v>26017.26411730344</x:v>
      </x:c>
      <x:c r="D61" s="35" t="n">
        <x:f>'ALL'!K61</x:f>
        <x:v>5419.734744567189</x:v>
      </x:c>
      <x:c r="E61" s="35" t="n">
        <x:f>'ALL'!L61</x:f>
        <x:v>10839.469489134379</x:v>
      </x:c>
      <x:c r="F61" s="35" t="n">
        <x:f>B61-E61</x:f>
        <x:v>1127546.8274228717</x:v>
      </x:c>
      <x:c r="G61" s="35" t="str">
        <x:f>'ALL'!M61</x:f>
        <x:v>PASS</x:v>
      </x:c>
      <x:c r="H61" s="35" t="str">
        <x:f>'ALL'!N61</x:f>
        <x:v>survey-055</x:v>
      </x:c>
      <x:c r="I61" s="32"/>
      <x:c r="J61" s="32"/>
      <x:c r="K61" s="32"/>
      <x:c r="L61" s="32"/>
      <x:c r="M61" s="32"/>
      <x:c r="N61" s="32"/>
    </x:row>
    <x:row r="62">
      <x:c r="A62" s="35" t="n">
        <x:f>'ALL'!A62</x:f>
        <x:v>4691.8360824</x:v>
      </x:c>
      <x:c r="B62" s="35" t="n">
        <x:f>'ALL'!F62</x:f>
        <x:v>1155030.372613192</x:v>
      </x:c>
      <x:c r="C62" s="35" t="n">
        <x:f>'ALL'!G62</x:f>
        <x:v>26016.98071532463</x:v>
      </x:c>
      <x:c r="D62" s="35" t="n">
        <x:f>'ALL'!K62</x:f>
        <x:v>5389.141729174255</x:v>
      </x:c>
      <x:c r="E62" s="35" t="n">
        <x:f>'ALL'!L62</x:f>
        <x:v>10778.28345834851</x:v>
      </x:c>
      <x:c r="F62" s="35" t="n">
        <x:f>B62-E62</x:f>
        <x:v>1144252.0891548435</x:v>
      </x:c>
      <x:c r="G62" s="35" t="str">
        <x:f>'ALL'!M62</x:f>
        <x:v>PASS</x:v>
      </x:c>
      <x:c r="H62" s="35" t="str">
        <x:f>'ALL'!N62</x:f>
        <x:v>survey-056</x:v>
      </x:c>
      <x:c r="I62" s="32"/>
      <x:c r="J62" s="32"/>
      <x:c r="K62" s="32"/>
      <x:c r="L62" s="32"/>
      <x:c r="M62" s="32"/>
      <x:c r="N62" s="32"/>
    </x:row>
    <x:row r="63">
      <x:c r="A63" s="35" t="n">
        <x:f>'ALL'!A63</x:f>
        <x:v>4767.3027336000005</x:v>
      </x:c>
      <x:c r="B63" s="35" t="n">
        <x:f>'ALL'!F63</x:f>
        <x:v>1171680.8264845596</x:v>
      </x:c>
      <x:c r="C63" s="35" t="n">
        <x:f>'ALL'!G63</x:f>
        <x:v>26016.81693337239</x:v>
      </x:c>
      <x:c r="D63" s="35" t="n">
        <x:f>'ALL'!K63</x:f>
        <x:v>5362.233481314568</x:v>
      </x:c>
      <x:c r="E63" s="35" t="n">
        <x:f>'ALL'!L63</x:f>
        <x:v>10724.466962629136</x:v>
      </x:c>
      <x:c r="F63" s="35" t="n">
        <x:f>B63-E63</x:f>
        <x:v>1160956.3595219303</x:v>
      </x:c>
      <x:c r="G63" s="35" t="str">
        <x:f>'ALL'!M63</x:f>
        <x:v>PASS</x:v>
      </x:c>
      <x:c r="H63" s="35" t="str">
        <x:f>'ALL'!N63</x:f>
        <x:v>survey-057</x:v>
      </x:c>
      <x:c r="I63" s="32"/>
      <x:c r="J63" s="32"/>
      <x:c r="K63" s="32"/>
      <x:c r="L63" s="32"/>
      <x:c r="M63" s="32"/>
      <x:c r="N63" s="32"/>
    </x:row>
    <x:row r="64">
      <x:c r="A64" s="35" t="n">
        <x:f>'ALL'!A64</x:f>
        <x:v>4843.2018960000005</x:v>
      </x:c>
      <x:c r="B64" s="35" t="n">
        <x:f>'ALL'!F64</x:f>
        <x:v>1188427.2943145775</x:v>
      </x:c>
      <x:c r="C64" s="35" t="n">
        <x:f>'ALL'!G64</x:f>
        <x:v>26016.82003248004</x:v>
      </x:c>
      <x:c r="D64" s="35" t="n">
        <x:f>'ALL'!K64</x:f>
        <x:v>5347.425972648599</x:v>
      </x:c>
      <x:c r="E64" s="35" t="n">
        <x:f>'ALL'!L64</x:f>
        <x:v>10694.851945297198</x:v>
      </x:c>
      <x:c r="F64" s="35" t="n">
        <x:f>B64-E64</x:f>
        <x:v>1177732.4423692804</x:v>
      </x:c>
      <x:c r="G64" s="35" t="str">
        <x:f>'ALL'!M64</x:f>
        <x:v>PASS</x:v>
      </x:c>
      <x:c r="H64" s="35" t="str">
        <x:f>'ALL'!N64</x:f>
        <x:v>survey-058</x:v>
      </x:c>
      <x:c r="I64" s="32"/>
      <x:c r="J64" s="32"/>
      <x:c r="K64" s="32"/>
      <x:c r="L64" s="32"/>
      <x:c r="M64" s="32"/>
      <x:c r="N64" s="32"/>
    </x:row>
    <x:row r="65">
      <x:c r="A65" s="35" t="n">
        <x:f>'ALL'!A65</x:f>
        <x:v>4919.7207168</x:v>
      </x:c>
      <x:c r="B65" s="35" t="n">
        <x:f>'ALL'!F65</x:f>
        <x:v>1205310.4574943804</x:v>
      </x:c>
      <x:c r="C65" s="35" t="n">
        <x:f>'ALL'!G65</x:f>
        <x:v>26016.961594597546</x:v>
      </x:c>
      <x:c r="D65" s="35" t="n">
        <x:f>'ALL'!K65</x:f>
        <x:v>5348.094378791932</x:v>
      </x:c>
      <x:c r="E65" s="35" t="n">
        <x:f>'ALL'!L65</x:f>
        <x:v>10696.188757583865</x:v>
      </x:c>
      <x:c r="F65" s="35" t="n">
        <x:f>B65-E65</x:f>
        <x:v>1194614.2687367965</x:v>
      </x:c>
      <x:c r="G65" s="35" t="str">
        <x:f>'ALL'!M65</x:f>
        <x:v>PASS</x:v>
      </x:c>
      <x:c r="H65" s="35" t="str">
        <x:f>'ALL'!N65</x:f>
        <x:v>survey-059</x:v>
      </x:c>
      <x:c r="I65" s="32"/>
      <x:c r="J65" s="32"/>
      <x:c r="K65" s="32"/>
      <x:c r="L65" s="32"/>
      <x:c r="M65" s="32"/>
      <x:c r="N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 t="str">
        <x:f>"MD "&amp;'Unit Map'!$H$8</x:f>
        <x:v>MD m</x:v>
      </x:c>
      <x:c r="B68" s="32" t="str">
        <x:f>"Axial load "&amp;'Unit Map'!$H$14</x:f>
        <x:v>Axial load N</x:v>
      </x:c>
      <x:c r="C68" s="32" t="str">
        <x:f>"Sinusoidal limit "&amp;'Unit Map'!$H$14</x:f>
        <x:v>Sinusoidal limit N</x:v>
      </x:c>
      <x:c r="D68" s="32" t="str">
        <x:f>"Helical limit "&amp;'Unit Map'!$H$14</x:f>
        <x:v>Helical limit N</x:v>
      </x:c>
      <x:c r="E68" s="32"/>
      <x:c r="F68" s="32" t="str">
        <x:f>"MD "&amp;'Unit Map'!$H$8</x:f>
        <x:v>MD m</x:v>
      </x:c>
      <x:c r="G68" s="32" t="str">
        <x:f>"Torque "&amp;'Unit Map'!$H$16</x:f>
        <x:v>Torque N-m</x:v>
      </x:c>
      <x:c r="H68" s="32"/>
      <x:c r="I68" s="32"/>
      <x:c r="J68" s="32"/>
      <x:c r="K68" s="32"/>
      <x:c r="L68" s="32"/>
      <x:c r="M68" s="32"/>
      <x:c r="N68" s="32"/>
    </x:row>
    <x:row r="69">
      <x:c r="A69" s="32" t="n">
        <x:f>A6</x:f>
        <x:v>0</x:v>
      </x:c>
      <x:c r="B69" s="32" t="n">
        <x:f>B6</x:f>
        <x:v>120000</x:v>
      </x:c>
      <x:c r="C69" s="32" t="n">
        <x:f>D6</x:f>
        <x:v>0</x:v>
      </x:c>
      <x:c r="D69" s="32" t="n">
        <x:f>E6</x:f>
        <x:v>0</x:v>
      </x:c>
      <x:c r="E69" s="32"/>
      <x:c r="F69" s="32" t="n">
        <x:f>A6</x:f>
        <x:v>0</x:v>
      </x:c>
      <x:c r="G69" s="32" t="n">
        <x:f>C6</x:f>
        <x:v>26000</x:v>
      </x:c>
      <x:c r="H69" s="32"/>
      <x:c r="I69" s="32"/>
      <x:c r="J69" s="32"/>
      <x:c r="K69" s="32"/>
      <x:c r="L69" s="32"/>
      <x:c r="M69" s="32"/>
      <x:c r="N69" s="32"/>
    </x:row>
    <x:row r="70">
      <x:c r="A70" s="32" t="n">
        <x:f>A7</x:f>
        <x:v>155.10875760000002</x:v>
      </x:c>
      <x:c r="B70" s="32" t="n">
        <x:f>B7</x:f>
        <x:v>154369.6247643189</x:v>
      </x:c>
      <x:c r="C70" s="32" t="n">
        <x:f>D7</x:f>
        <x:v>3045.9878423456744</x:v>
      </x:c>
      <x:c r="D70" s="32" t="n">
        <x:f>E7</x:f>
        <x:v>6091.975684691349</x:v>
      </x:c>
      <x:c r="E70" s="32"/>
      <x:c r="F70" s="32" t="n">
        <x:f>A7</x:f>
        <x:v>155.10875760000002</x:v>
      </x:c>
      <x:c r="G70" s="32" t="n">
        <x:f>C7</x:f>
        <x:v>26011.153031661073</x:v>
      </x:c>
      <x:c r="H70" s="32"/>
      <x:c r="I70" s="32"/>
      <x:c r="J70" s="32"/>
      <x:c r="K70" s="32"/>
      <x:c r="L70" s="32"/>
      <x:c r="M70" s="32"/>
      <x:c r="N70" s="32"/>
    </x:row>
    <x:row r="71">
      <x:c r="A71" s="32" t="n">
        <x:f>A8</x:f>
        <x:v>307.974492</x:v>
      </x:c>
      <x:c r="B71" s="32" t="n">
        <x:f>B8</x:f>
        <x:v>188295.53791614895</x:v>
      </x:c>
      <x:c r="C71" s="32" t="n">
        <x:f>D8</x:f>
        <x:v>1461.161274893059</x:v>
      </x:c>
      <x:c r="D71" s="32" t="n">
        <x:f>E8</x:f>
        <x:v>2922.322549786118</x:v>
      </x:c>
      <x:c r="E71" s="32"/>
      <x:c r="F71" s="32" t="n">
        <x:f>A8</x:f>
        <x:v>307.974492</x:v>
      </x:c>
      <x:c r="G71" s="32" t="n">
        <x:f>C8</x:f>
        <x:v>26002.529337244167</x:v>
      </x:c>
      <x:c r="H71" s="32"/>
      <x:c r="I71" s="32"/>
      <x:c r="J71" s="32"/>
      <x:c r="K71" s="32"/>
      <x:c r="L71" s="32"/>
      <x:c r="M71" s="32"/>
      <x:c r="N71" s="32"/>
    </x:row>
    <x:row r="72">
      <x:c r="A72" s="32" t="n">
        <x:f>A9</x:f>
        <x:v>460.2227016</x:v>
      </x:c>
      <x:c r="B72" s="32" t="n">
        <x:f>B9</x:f>
        <x:v>222078.4629496525</x:v>
      </x:c>
      <x:c r="C72" s="32" t="n">
        <x:f>D9</x:f>
        <x:v>1712.910460216405</x:v>
      </x:c>
      <x:c r="D72" s="32" t="n">
        <x:f>E9</x:f>
        <x:v>3425.82092043281</x:v>
      </x:c>
      <x:c r="E72" s="32"/>
      <x:c r="F72" s="32" t="n">
        <x:f>A9</x:f>
        <x:v>460.2227016</x:v>
      </x:c>
      <x:c r="G72" s="32" t="n">
        <x:f>C9</x:f>
        <x:v>26003.46195805603</x:v>
      </x:c>
      <x:c r="H72" s="32"/>
      <x:c r="I72" s="32"/>
      <x:c r="J72" s="32"/>
      <x:c r="K72" s="32"/>
      <x:c r="L72" s="32"/>
      <x:c r="M72" s="32"/>
      <x:c r="N72" s="32"/>
    </x:row>
    <x:row r="73">
      <x:c r="A73" s="32" t="n">
        <x:f>A10</x:f>
        <x:v>611.9649432</x:v>
      </x:c>
      <x:c r="B73" s="32" t="n">
        <x:f>B10</x:f>
        <x:v>255741.63319933537</x:v>
      </x:c>
      <x:c r="C73" s="32" t="n">
        <x:f>D10</x:f>
        <x:v>1986.0243471491665</x:v>
      </x:c>
      <x:c r="D73" s="32" t="n">
        <x:f>E10</x:f>
        <x:v>3972.048694298333</x:v>
      </x:c>
      <x:c r="E73" s="32"/>
      <x:c r="F73" s="32" t="n">
        <x:f>A10</x:f>
        <x:v>611.9649432</x:v>
      </x:c>
      <x:c r="G73" s="32" t="n">
        <x:f>C10</x:f>
        <x:v>26004.638482438542</x:v>
      </x:c>
      <x:c r="H73" s="32"/>
      <x:c r="I73" s="32"/>
      <x:c r="J73" s="32"/>
      <x:c r="K73" s="32"/>
      <x:c r="L73" s="32"/>
      <x:c r="M73" s="32"/>
      <x:c r="N73" s="32"/>
    </x:row>
    <x:row r="74">
      <x:c r="A74" s="32" t="n">
        <x:f>A11</x:f>
        <x:v>763.5706344</x:v>
      </x:c>
      <x:c r="B74" s="32" t="n">
        <x:f>B11</x:f>
        <x:v>289363.3695426456</x:v>
      </x:c>
      <x:c r="C74" s="32" t="n">
        <x:f>D11</x:f>
        <x:v>2334.434457092405</x:v>
      </x:c>
      <x:c r="D74" s="32" t="n">
        <x:f>E11</x:f>
        <x:v>4668.86891418481</x:v>
      </x:c>
      <x:c r="E74" s="32"/>
      <x:c r="F74" s="32" t="n">
        <x:f>A11</x:f>
        <x:v>763.5706344</x:v>
      </x:c>
      <x:c r="G74" s="32" t="n">
        <x:f>C11</x:f>
        <x:v>26006.40293597764</x:v>
      </x:c>
      <x:c r="H74" s="32"/>
      <x:c r="I74" s="32"/>
      <x:c r="J74" s="32"/>
      <x:c r="K74" s="32"/>
      <x:c r="L74" s="32"/>
      <x:c r="M74" s="32"/>
      <x:c r="N74" s="32"/>
    </x:row>
    <x:row r="75">
      <x:c r="A75" s="32" t="n">
        <x:f>A12</x:f>
        <x:v>915.4786872000001</x:v>
      </x:c>
      <x:c r="B75" s="32" t="n">
        <x:f>B12</x:f>
        <x:v>323083.07275547064</x:v>
      </x:c>
      <x:c r="C75" s="32" t="n">
        <x:f>D12</x:f>
        <x:v>1131.943624491696</x:v>
      </x:c>
      <x:c r="D75" s="32" t="n">
        <x:f>E12</x:f>
        <x:v>2263.887248983392</x:v>
      </x:c>
      <x:c r="E75" s="32"/>
      <x:c r="F75" s="32" t="n">
        <x:f>A12</x:f>
        <x:v>915.4786872000001</x:v>
      </x:c>
      <x:c r="G75" s="32" t="n">
        <x:f>C12</x:f>
        <x:v>26001.5084491582</x:v>
      </x:c>
      <x:c r="H75" s="32"/>
      <x:c r="I75" s="32"/>
      <x:c r="J75" s="32"/>
      <x:c r="K75" s="32"/>
      <x:c r="L75" s="32"/>
      <x:c r="M75" s="32"/>
      <x:c r="N75" s="32"/>
    </x:row>
    <x:row r="76">
      <x:c r="A76" s="32" t="n">
        <x:f>A13</x:f>
        <x:v>1067.9740896</x:v>
      </x:c>
      <x:c r="B76" s="32" t="n">
        <x:f>B13</x:f>
        <x:v>356915.17598741263</x:v>
      </x:c>
      <x:c r="C76" s="32" t="n">
        <x:f>D13</x:f>
        <x:v>1922.4980265136417</x:v>
      </x:c>
      <x:c r="D76" s="32" t="n">
        <x:f>E13</x:f>
        <x:v>3844.9960530272833</x:v>
      </x:c>
      <x:c r="E76" s="32"/>
      <x:c r="F76" s="32" t="n">
        <x:f>A13</x:f>
        <x:v>1067.9740896</x:v>
      </x:c>
      <x:c r="G76" s="32" t="n">
        <x:f>C13</x:f>
        <x:v>26004.36806246492</x:v>
      </x:c>
      <x:c r="H76" s="32"/>
      <x:c r="I76" s="32"/>
      <x:c r="J76" s="32"/>
      <x:c r="K76" s="32"/>
      <x:c r="L76" s="32"/>
      <x:c r="M76" s="32"/>
      <x:c r="N76" s="32"/>
    </x:row>
    <x:row r="77">
      <x:c r="A77" s="32" t="n">
        <x:f>A14</x:f>
        <x:v>1221.042516</x:v>
      </x:c>
      <x:c r="B77" s="32" t="n">
        <x:f>B14</x:f>
        <x:v>390887.50027428183</x:v>
      </x:c>
      <x:c r="C77" s="32" t="n">
        <x:f>D14</x:f>
        <x:v>1394.2772985072377</x:v>
      </x:c>
      <x:c r="D77" s="32" t="n">
        <x:f>E14</x:f>
        <x:v>2788.5545970144753</x:v>
      </x:c>
      <x:c r="E77" s="32"/>
      <x:c r="F77" s="32" t="n">
        <x:f>A14</x:f>
        <x:v>1221.042516</x:v>
      </x:c>
      <x:c r="G77" s="32" t="n">
        <x:f>C14</x:f>
        <x:v>26002.30613227964</x:v>
      </x:c>
      <x:c r="H77" s="32"/>
      <x:c r="I77" s="32"/>
      <x:c r="J77" s="32"/>
      <x:c r="K77" s="32"/>
      <x:c r="L77" s="32"/>
      <x:c r="M77" s="32"/>
      <x:c r="N77" s="32"/>
    </x:row>
    <x:row r="78">
      <x:c r="A78" s="32" t="n">
        <x:f>A15</x:f>
        <x:v>1374.3773376000001</x:v>
      </x:c>
      <x:c r="B78" s="32" t="n">
        <x:f>B15</x:f>
        <x:v>424896.5556028249</x:v>
      </x:c>
      <x:c r="C78" s="32" t="n">
        <x:f>D15</x:f>
        <x:v>2221.60215796265</x:v>
      </x:c>
      <x:c r="D78" s="32" t="n">
        <x:f>E15</x:f>
        <x:v>4443.2043159253</x:v>
      </x:c>
      <x:c r="E78" s="32"/>
      <x:c r="F78" s="32" t="n">
        <x:f>A15</x:f>
        <x:v>1374.3773376000001</x:v>
      </x:c>
      <x:c r="G78" s="32" t="n">
        <x:f>C15</x:f>
        <x:v>26005.865076135517</x:v>
      </x:c>
      <x:c r="H78" s="32"/>
      <x:c r="I78" s="32"/>
      <x:c r="J78" s="32"/>
      <x:c r="K78" s="32"/>
      <x:c r="L78" s="32"/>
      <x:c r="M78" s="32"/>
      <x:c r="N78" s="32"/>
    </x:row>
    <x:row r="79">
      <x:c r="A79" s="32" t="n">
        <x:f>A16</x:f>
        <x:v>1527.5362896000001</x:v>
      </x:c>
      <x:c r="B79" s="32" t="n">
        <x:f>B16</x:f>
        <x:v>458900.33700830623</x:v>
      </x:c>
      <x:c r="C79" s="32" t="n">
        <x:f>D16</x:f>
        <x:v>651.098429003259</x:v>
      </x:c>
      <x:c r="D79" s="32" t="n">
        <x:f>E16</x:f>
        <x:v>1302.196858006518</x:v>
      </x:c>
      <x:c r="E79" s="32"/>
      <x:c r="F79" s="32" t="n">
        <x:f>A16</x:f>
        <x:v>1527.5362896000001</x:v>
      </x:c>
      <x:c r="G79" s="32" t="n">
        <x:f>C16</x:f>
        <x:v>26000.50319459278</x:v>
      </x:c>
      <x:c r="H79" s="32"/>
      <x:c r="I79" s="32"/>
      <x:c r="J79" s="32"/>
      <x:c r="K79" s="32"/>
      <x:c r="L79" s="32"/>
      <x:c r="M79" s="32"/>
      <x:c r="N79" s="32"/>
    </x:row>
    <x:row r="80">
      <x:c r="A80" s="32" t="n">
        <x:f>A17</x:f>
        <x:v>1565.8667184</x:v>
      </x:c>
      <x:c r="B80" s="32" t="n">
        <x:f>B17</x:f>
        <x:v>467010.8206480392</x:v>
      </x:c>
      <x:c r="C80" s="32" t="n">
        <x:f>D17</x:f>
        <x:v>14625.870276492271</x:v>
      </x:c>
      <x:c r="D80" s="32" t="n">
        <x:f>E17</x:f>
        <x:v>29251.740552984542</x:v>
      </x:c>
      <x:c r="E80" s="32"/>
      <x:c r="F80" s="32" t="n">
        <x:f>A17</x:f>
        <x:v>1565.8667184</x:v>
      </x:c>
      <x:c r="G80" s="32" t="n">
        <x:f>C17</x:f>
        <x:v>26063.54587976688</x:v>
      </x:c>
      <x:c r="H80" s="32"/>
      <x:c r="I80" s="32"/>
      <x:c r="J80" s="32"/>
      <x:c r="K80" s="32"/>
      <x:c r="L80" s="32"/>
      <x:c r="M80" s="32"/>
      <x:c r="N80" s="32"/>
    </x:row>
    <x:row r="81">
      <x:c r="A81" s="32" t="n">
        <x:f>A18</x:f>
        <x:v>1603.5857184000001</x:v>
      </x:c>
      <x:c r="B81" s="32" t="n">
        <x:f>B18</x:f>
        <x:v>475023.9437135505</x:v>
      </x:c>
      <x:c r="C81" s="32" t="n">
        <x:f>D18</x:f>
        <x:v>14018.927722546516</x:v>
      </x:c>
      <x:c r="D81" s="32" t="n">
        <x:f>E18</x:f>
        <x:v>28037.85544509303</x:v>
      </x:c>
      <x:c r="E81" s="32"/>
      <x:c r="F81" s="32" t="n">
        <x:f>A18</x:f>
        <x:v>1603.5857184000001</x:v>
      </x:c>
      <x:c r="G81" s="32" t="n">
        <x:f>C18</x:f>
        <x:v>26057.450002018966</x:v>
      </x:c>
      <x:c r="H81" s="32"/>
      <x:c r="I81" s="32"/>
      <x:c r="J81" s="32"/>
      <x:c r="K81" s="32"/>
      <x:c r="L81" s="32"/>
      <x:c r="M81" s="32"/>
      <x:c r="N81" s="32"/>
    </x:row>
    <x:row r="82">
      <x:c r="A82" s="32" t="n">
        <x:f>A19</x:f>
        <x:v>1640.9209752000002</x:v>
      </x:c>
      <x:c r="B82" s="32" t="n">
        <x:f>B19</x:f>
        <x:v>482983.18016497383</x:v>
      </x:c>
      <x:c r="C82" s="32" t="n">
        <x:f>D19</x:f>
        <x:v>13467.273080777122</x:v>
      </x:c>
      <x:c r="D82" s="32" t="n">
        <x:f>E19</x:f>
        <x:v>26934.546161554244</x:v>
      </x:c>
      <x:c r="E82" s="32"/>
      <x:c r="F82" s="32" t="n">
        <x:f>A19</x:f>
        <x:v>1640.9209752000002</x:v>
      </x:c>
      <x:c r="G82" s="32" t="n">
        <x:f>C19</x:f>
        <x:v>26052.478179496877</x:v>
      </x:c>
      <x:c r="H82" s="32"/>
      <x:c r="I82" s="32"/>
      <x:c r="J82" s="32"/>
      <x:c r="K82" s="32"/>
      <x:c r="L82" s="32"/>
      <x:c r="M82" s="32"/>
      <x:c r="N82" s="32"/>
    </x:row>
    <x:row r="83">
      <x:c r="A83" s="32" t="n">
        <x:f>A20</x:f>
        <x:v>1678.2970752</x:v>
      </x:c>
      <x:c r="B83" s="32" t="n">
        <x:f>B20</x:f>
        <x:v>490967.14040348405</x:v>
      </x:c>
      <x:c r="C83" s="32" t="n">
        <x:f>D20</x:f>
        <x:v>13137.332179016305</x:v>
      </x:c>
      <x:c r="D83" s="32" t="n">
        <x:f>E20</x:f>
        <x:v>26274.66435803261</x:v>
      </x:c>
      <x:c r="E83" s="32"/>
      <x:c r="F83" s="32" t="n">
        <x:f>A20</x:f>
        <x:v>1678.2970752</x:v>
      </x:c>
      <x:c r="G83" s="32" t="n">
        <x:f>C20</x:f>
        <x:v>26049.99293454476</x:v>
      </x:c>
      <x:c r="H83" s="32"/>
      <x:c r="I83" s="32"/>
      <x:c r="J83" s="32"/>
      <x:c r="K83" s="32"/>
      <x:c r="L83" s="32"/>
      <x:c r="M83" s="32"/>
      <x:c r="N83" s="32"/>
    </x:row>
    <x:row r="84">
      <x:c r="A84" s="32" t="n">
        <x:f>A21</x:f>
        <x:v>1716.1166592000002</x:v>
      </x:c>
      <x:c r="B84" s="32" t="n">
        <x:f>B21</x:f>
        <x:v>499038.4189947745</x:v>
      </x:c>
      <x:c r="C84" s="32" t="n">
        <x:f>D21</x:f>
        <x:v>13289.302478170144</x:v>
      </x:c>
      <x:c r="D84" s="32" t="n">
        <x:f>E21</x:f>
        <x:v>26578.60495634029</x:v>
      </x:c>
      <x:c r="E84" s="32"/>
      <x:c r="F84" s="32" t="n">
        <x:f>A21</x:f>
        <x:v>1716.1166592000002</x:v>
      </x:c>
      <x:c r="G84" s="32" t="n">
        <x:f>C21</x:f>
        <x:v>26051.763234404643</x:v>
      </x:c>
      <x:c r="H84" s="32"/>
      <x:c r="I84" s="32"/>
      <x:c r="J84" s="32"/>
      <x:c r="K84" s="32"/>
      <x:c r="L84" s="32"/>
      <x:c r="M84" s="32"/>
      <x:c r="N84" s="32"/>
    </x:row>
    <x:row r="85">
      <x:c r="A85" s="32" t="n">
        <x:f>A22</x:f>
        <x:v>1754.5571208000001</x:v>
      </x:c>
      <x:c r="B85" s="32" t="n">
        <x:f>B22</x:f>
        <x:v>507214.75489862217</x:v>
      </x:c>
      <x:c r="C85" s="32" t="n">
        <x:f>D22</x:f>
        <x:v>13828.652103940169</x:v>
      </x:c>
      <x:c r="D85" s="32" t="n">
        <x:f>E22</x:f>
        <x:v>27657.304207880337</x:v>
      </x:c>
      <x:c r="E85" s="32"/>
      <x:c r="F85" s="32" t="n">
        <x:f>A22</x:f>
        <x:v>1754.5571208000001</x:v>
      </x:c>
      <x:c r="G85" s="32" t="n">
        <x:f>C22</x:f>
        <x:v>26056.97030974542</x:v>
      </x:c>
      <x:c r="H85" s="32"/>
      <x:c r="I85" s="32"/>
      <x:c r="J85" s="32"/>
      <x:c r="K85" s="32"/>
      <x:c r="L85" s="32"/>
      <x:c r="M85" s="32"/>
      <x:c r="N85" s="32"/>
    </x:row>
    <x:row r="86">
      <x:c r="A86" s="32" t="n">
        <x:f>A23</x:f>
        <x:v>1793.4788616</x:v>
      </x:c>
      <x:c r="B86" s="32" t="n">
        <x:f>B23</x:f>
        <x:v>515462.2266916272</x:v>
      </x:c>
      <x:c r="C86" s="32" t="n">
        <x:f>D23</x:f>
        <x:v>14410.724855994376</x:v>
      </x:c>
      <x:c r="D86" s="32" t="n">
        <x:f>E23</x:f>
        <x:v>28821.449711988753</x:v>
      </x:c>
      <x:c r="E86" s="32"/>
      <x:c r="F86" s="32" t="n">
        <x:f>A23</x:f>
        <x:v>1793.4788616</x:v>
      </x:c>
      <x:c r="G86" s="32" t="n">
        <x:f>C23</x:f>
        <x:v>26062.641794919942</x:v>
      </x:c>
      <x:c r="H86" s="32"/>
      <x:c r="I86" s="32"/>
      <x:c r="J86" s="32"/>
      <x:c r="K86" s="32"/>
      <x:c r="L86" s="32"/>
      <x:c r="M86" s="32"/>
      <x:c r="N86" s="32"/>
    </x:row>
    <x:row r="87">
      <x:c r="A87" s="32" t="n">
        <x:f>A24</x:f>
        <x:v>1832.4975288000003</x:v>
      </x:c>
      <x:c r="B87" s="32" t="n">
        <x:f>B24</x:f>
        <x:v>523714.4049053724</x:v>
      </x:c>
      <x:c r="C87" s="32" t="n">
        <x:f>D24</x:f>
        <x:v>14696.276085690224</x:v>
      </x:c>
      <x:c r="D87" s="32" t="n">
        <x:f>E24</x:f>
        <x:v>29392.55217138045</x:v>
      </x:c>
      <x:c r="E87" s="32"/>
      <x:c r="F87" s="32" t="n">
        <x:f>A24</x:f>
        <x:v>1832.4975288000003</x:v>
      </x:c>
      <x:c r="G87" s="32" t="n">
        <x:f>C24</x:f>
        <x:v>26065.311148290446</x:v>
      </x:c>
      <x:c r="H87" s="32"/>
      <x:c r="I87" s="32"/>
      <x:c r="J87" s="32"/>
      <x:c r="K87" s="32"/>
      <x:c r="L87" s="32"/>
      <x:c r="M87" s="32"/>
      <x:c r="N87" s="32"/>
    </x:row>
    <x:row r="88">
      <x:c r="A88" s="32" t="n">
        <x:f>A25</x:f>
        <x:v>1871.1787824</x:v>
      </x:c>
      <x:c r="B88" s="32" t="n">
        <x:f>B25</x:f>
        <x:v>531904.7691480203</x:v>
      </x:c>
      <x:c r="C88" s="32" t="n">
        <x:f>D25</x:f>
        <x:v>14523.257963276968</x:v>
      </x:c>
      <x:c r="D88" s="32" t="n">
        <x:f>E25</x:f>
        <x:v>29046.515926553937</x:v>
      </x:c>
      <x:c r="E88" s="32"/>
      <x:c r="F88" s="32" t="n">
        <x:f>A25</x:f>
        <x:v>1871.1787824</x:v>
      </x:c>
      <x:c r="G88" s="32" t="n">
        <x:f>C25</x:f>
        <x:v>26063.23083660167</x:v>
      </x:c>
      <x:c r="H88" s="32"/>
      <x:c r="I88" s="32"/>
      <x:c r="J88" s="32"/>
      <x:c r="K88" s="32"/>
      <x:c r="L88" s="32"/>
      <x:c r="M88" s="32"/>
      <x:c r="N88" s="32"/>
    </x:row>
    <x:row r="89">
      <x:c r="A89" s="32" t="n">
        <x:f>A26</x:f>
        <x:v>1947.3607992000002</x:v>
      </x:c>
      <x:c r="B89" s="32" t="n">
        <x:f>B26</x:f>
        <x:v>548553.5110684601</x:v>
      </x:c>
      <x:c r="C89" s="32" t="n">
        <x:f>D26</x:f>
        <x:v>8464.771745150709</x:v>
      </x:c>
      <x:c r="D89" s="32" t="n">
        <x:f>E26</x:f>
        <x:v>16929.543490301417</x:v>
      </x:c>
      <x:c r="E89" s="32"/>
      <x:c r="F89" s="32" t="n">
        <x:f>A26</x:f>
        <x:v>1947.3607992000002</x:v>
      </x:c>
      <x:c r="G89" s="32" t="n">
        <x:f>C26</x:f>
        <x:v>26042.304177327685</x:v>
      </x:c>
      <x:c r="H89" s="32"/>
      <x:c r="I89" s="32"/>
      <x:c r="J89" s="32"/>
      <x:c r="K89" s="32"/>
      <x:c r="L89" s="32"/>
      <x:c r="M89" s="32"/>
      <x:c r="N89" s="32"/>
    </x:row>
    <x:row r="90">
      <x:c r="A90" s="32" t="n">
        <x:f>A27</x:f>
        <x:v>2022.9868608</x:v>
      </x:c>
      <x:c r="B90" s="32" t="n">
        <x:f>B27</x:f>
        <x:v>565177.7735507294</x:v>
      </x:c>
      <x:c r="C90" s="32" t="n">
        <x:f>D27</x:f>
        <x:v>6736.03129578184</x:v>
      </x:c>
      <x:c r="D90" s="32" t="n">
        <x:f>E27</x:f>
        <x:v>13472.06259156368</x:v>
      </x:c>
      <x:c r="E90" s="32"/>
      <x:c r="F90" s="32" t="n">
        <x:f>A27</x:f>
        <x:v>2022.9868608</x:v>
      </x:c>
      <x:c r="G90" s="32" t="n">
        <x:f>C27</x:f>
        <x:v>26026.593773239994</x:v>
      </x:c>
      <x:c r="H90" s="32"/>
      <x:c r="I90" s="32"/>
      <x:c r="J90" s="32"/>
      <x:c r="K90" s="32"/>
      <x:c r="L90" s="32"/>
      <x:c r="M90" s="32"/>
      <x:c r="N90" s="32"/>
    </x:row>
    <x:row r="91">
      <x:c r="A91" s="32" t="n">
        <x:f>A28</x:f>
        <x:v>2098.3837128</x:v>
      </x:c>
      <x:c r="B91" s="32" t="n">
        <x:f>B28</x:f>
        <x:v>581757.977354576</x:v>
      </x:c>
      <x:c r="C91" s="32" t="n">
        <x:f>D28</x:f>
        <x:v>6607.2154035717995</x:v>
      </x:c>
      <x:c r="D91" s="32" t="n">
        <x:f>E28</x:f>
        <x:v>13214.430807143599</x:v>
      </x:c>
      <x:c r="E91" s="32"/>
      <x:c r="F91" s="32" t="n">
        <x:f>A28</x:f>
        <x:v>2098.3837128</x:v>
      </x:c>
      <x:c r="G91" s="32" t="n">
        <x:f>C28</x:f>
        <x:v>26025.508823525834</x:v>
      </x:c>
      <x:c r="H91" s="32"/>
      <x:c r="I91" s="32"/>
      <x:c r="J91" s="32"/>
      <x:c r="K91" s="32"/>
      <x:c r="L91" s="32"/>
      <x:c r="M91" s="32"/>
      <x:c r="N91" s="32"/>
    </x:row>
    <x:row r="92">
      <x:c r="A92" s="32" t="n">
        <x:f>A29</x:f>
        <x:v>2173.9945344000002</x:v>
      </x:c>
      <x:c r="B92" s="32" t="n">
        <x:f>B29</x:f>
        <x:v>598394.2715607802</x:v>
      </x:c>
      <x:c r="C92" s="32" t="n">
        <x:f>D29</x:f>
        <x:v>6419.267007502434</x:v>
      </x:c>
      <x:c r="D92" s="32" t="n">
        <x:f>E29</x:f>
        <x:v>12838.534015004869</x:v>
      </x:c>
      <x:c r="E92" s="32"/>
      <x:c r="F92" s="32" t="n">
        <x:f>A29</x:f>
        <x:v>2173.9945344000002</x:v>
      </x:c>
      <x:c r="G92" s="32" t="n">
        <x:f>C29</x:f>
        <x:v>26024.1465518982</x:v>
      </x:c>
      <x:c r="H92" s="32"/>
      <x:c r="I92" s="32"/>
      <x:c r="J92" s="32"/>
      <x:c r="K92" s="32"/>
      <x:c r="L92" s="32"/>
      <x:c r="M92" s="32"/>
      <x:c r="N92" s="32"/>
    </x:row>
    <x:row r="93">
      <x:c r="A93" s="32" t="n">
        <x:f>A30</x:f>
        <x:v>2250.1543008</x:v>
      </x:c>
      <x:c r="B93" s="32" t="n">
        <x:f>B30</x:f>
        <x:v>615162.8034411283</x:v>
      </x:c>
      <x:c r="C93" s="32" t="n">
        <x:f>D30</x:f>
        <x:v>6174.609456279386</x:v>
      </x:c>
      <x:c r="D93" s="32" t="n">
        <x:f>E30</x:f>
        <x:v>12349.218912558772</x:v>
      </x:c>
      <x:c r="E93" s="32"/>
      <x:c r="F93" s="32" t="n">
        <x:f>A30</x:f>
        <x:v>2250.1543008</x:v>
      </x:c>
      <x:c r="G93" s="32" t="n">
        <x:f>C30</x:f>
        <x:v>26022.503230848197</x:v>
      </x:c>
      <x:c r="H93" s="32"/>
      <x:c r="I93" s="32"/>
      <x:c r="J93" s="32"/>
      <x:c r="K93" s="32"/>
      <x:c r="L93" s="32"/>
      <x:c r="M93" s="32"/>
      <x:c r="N93" s="32"/>
    </x:row>
    <x:row r="94">
      <x:c r="A94" s="32" t="n">
        <x:f>A31</x:f>
        <x:v>2326.9172664000002</x:v>
      </x:c>
      <x:c r="B94" s="32" t="n">
        <x:f>B31</x:f>
        <x:v>632077.6149666572</x:v>
      </x:c>
      <x:c r="C94" s="32" t="n">
        <x:f>D31</x:f>
        <x:v>5876.344539699765</x:v>
      </x:c>
      <x:c r="D94" s="32" t="n">
        <x:f>E31</x:f>
        <x:v>11752.68907939953</x:v>
      </x:c>
      <x:c r="E94" s="32"/>
      <x:c r="F94" s="32" t="n">
        <x:f>A31</x:f>
        <x:v>2326.9172664000002</x:v>
      </x:c>
      <x:c r="G94" s="32" t="n">
        <x:f>C31</x:f>
        <x:v>26020.54312609111</x:v>
      </x:c>
      <x:c r="H94" s="32"/>
      <x:c r="I94" s="32"/>
      <x:c r="J94" s="32"/>
      <x:c r="K94" s="32"/>
      <x:c r="L94" s="32"/>
      <x:c r="M94" s="32"/>
      <x:c r="N94" s="32"/>
    </x:row>
    <x:row r="95">
      <x:c r="A95" s="32" t="n">
        <x:f>A32</x:f>
        <x:v>2404.030752</x:v>
      </x:c>
      <x:c r="B95" s="32" t="n">
        <x:f>B32</x:f>
        <x:v>649084.5607830377</x:v>
      </x:c>
      <x:c r="C95" s="32" t="n">
        <x:f>D32</x:f>
        <x:v>5529.406533740687</x:v>
      </x:c>
      <x:c r="D95" s="32" t="n">
        <x:f>E32</x:f>
        <x:v>11058.813067481375</x:v>
      </x:c>
      <x:c r="E95" s="32"/>
      <x:c r="F95" s="32" t="n">
        <x:f>A32</x:f>
        <x:v>2404.030752</x:v>
      </x:c>
      <x:c r="G95" s="32" t="n">
        <x:f>C32</x:f>
        <x:v>26018.27206626263</x:v>
      </x:c>
      <x:c r="H95" s="32"/>
      <x:c r="I95" s="32"/>
      <x:c r="J95" s="32"/>
      <x:c r="K95" s="32"/>
      <x:c r="L95" s="32"/>
      <x:c r="M95" s="32"/>
      <x:c r="N95" s="32"/>
    </x:row>
    <x:row r="96">
      <x:c r="A96" s="32" t="n">
        <x:f>A33</x:f>
        <x:v>2481.0637704</x:v>
      </x:c>
      <x:c r="B96" s="32" t="n">
        <x:f>B33</x:f>
        <x:v>666089.5530951733</x:v>
      </x:c>
      <x:c r="C96" s="32" t="n">
        <x:f>D33</x:f>
        <x:v>5135.638179379317</x:v>
      </x:c>
      <x:c r="D96" s="32" t="n">
        <x:f>E33</x:f>
        <x:v>10271.276358758634</x:v>
      </x:c>
      <x:c r="E96" s="32"/>
      <x:c r="F96" s="32" t="n">
        <x:f>A33</x:f>
        <x:v>2481.0637704</x:v>
      </x:c>
      <x:c r="G96" s="32" t="n">
        <x:f>C33</x:f>
        <x:v>26015.745847378996</x:v>
      </x:c>
      <x:c r="H96" s="32"/>
      <x:c r="I96" s="32"/>
      <x:c r="J96" s="32"/>
      <x:c r="K96" s="32"/>
      <x:c r="L96" s="32"/>
      <x:c r="M96" s="32"/>
      <x:c r="N96" s="32"/>
    </x:row>
    <x:row r="97">
      <x:c r="A97" s="32" t="n">
        <x:f>A34</x:f>
        <x:v>2557.6252632</x:v>
      </x:c>
      <x:c r="B97" s="32" t="n">
        <x:f>B34</x:f>
        <x:v>683006.0673463177</x:v>
      </x:c>
      <x:c r="C97" s="32" t="n">
        <x:f>D34</x:f>
        <x:v>4711.485253484027</x:v>
      </x:c>
      <x:c r="D97" s="32" t="n">
        <x:f>E34</x:f>
        <x:v>9422.970506968055</x:v>
      </x:c>
      <x:c r="E97" s="32"/>
      <x:c r="F97" s="32" t="n">
        <x:f>A34</x:f>
        <x:v>2557.6252632</x:v>
      </x:c>
      <x:c r="G97" s="32" t="n">
        <x:f>C34</x:f>
        <x:v>26013.17123049007</x:v>
      </x:c>
      <x:c r="H97" s="32"/>
      <x:c r="I97" s="32"/>
      <x:c r="J97" s="32"/>
      <x:c r="K97" s="32"/>
      <x:c r="L97" s="32"/>
      <x:c r="M97" s="32"/>
      <x:c r="N97" s="32"/>
    </x:row>
    <x:row r="98">
      <x:c r="A98" s="32" t="n">
        <x:f>A35</x:f>
        <x:v>2633.5658784</x:v>
      </x:c>
      <x:c r="B98" s="32" t="n">
        <x:f>B35</x:f>
        <x:v>699800.3995342111</x:v>
      </x:c>
      <x:c r="C98" s="32" t="n">
        <x:f>D35</x:f>
        <x:v>4260.430722586636</x:v>
      </x:c>
      <x:c r="D98" s="32" t="n">
        <x:f>E35</x:f>
        <x:v>8520.861445173272</x:v>
      </x:c>
      <x:c r="E98" s="32"/>
      <x:c r="F98" s="32" t="n">
        <x:f>A35</x:f>
        <x:v>2633.5658784</x:v>
      </x:c>
      <x:c r="G98" s="32" t="n">
        <x:f>C35</x:f>
        <x:v>26010.682709321936</x:v>
      </x:c>
      <x:c r="H98" s="32"/>
      <x:c r="I98" s="32"/>
      <x:c r="J98" s="32"/>
      <x:c r="K98" s="32"/>
      <x:c r="L98" s="32"/>
      <x:c r="M98" s="32"/>
      <x:c r="N98" s="32"/>
    </x:row>
    <x:row r="99">
      <x:c r="A99" s="32" t="n">
        <x:f>A36</x:f>
        <x:v>2709.0514272</x:v>
      </x:c>
      <x:c r="B99" s="32" t="n">
        <x:f>B36</x:f>
        <x:v>716507.5171333092</x:v>
      </x:c>
      <x:c r="C99" s="32" t="n">
        <x:f>D36</x:f>
        <x:v>3809.012087543358</x:v>
      </x:c>
      <x:c r="D99" s="32" t="n">
        <x:f>E36</x:f>
        <x:v>7618.024175086716</x:v>
      </x:c>
      <x:c r="E99" s="32"/>
      <x:c r="F99" s="32" t="n">
        <x:f>A36</x:f>
        <x:v>2709.0514272</x:v>
      </x:c>
      <x:c r="G99" s="32" t="n">
        <x:f>C36</x:f>
        <x:v>26008.48767620243</x:v>
      </x:c>
      <x:c r="H99" s="32"/>
      <x:c r="I99" s="32"/>
      <x:c r="J99" s="32"/>
      <x:c r="K99" s="32"/>
      <x:c r="L99" s="32"/>
      <x:c r="M99" s="32"/>
      <x:c r="N99" s="32"/>
    </x:row>
    <x:row r="100">
      <x:c r="A100" s="32" t="n">
        <x:f>A37</x:f>
        <x:v>2784.480588</x:v>
      </x:c>
      <x:c r="B100" s="32" t="n">
        <x:f>B37</x:f>
        <x:v>733213.5635852496</x:v>
      </x:c>
      <x:c r="C100" s="32" t="n">
        <x:f>D37</x:f>
        <x:v>3377.9059561717727</x:v>
      </x:c>
      <x:c r="D100" s="32" t="n">
        <x:f>E37</x:f>
        <x:v>6755.811912343545</x:v>
      </x:c>
      <x:c r="E100" s="32"/>
      <x:c r="F100" s="32" t="n">
        <x:f>A37</x:f>
        <x:v>2784.480588</x:v>
      </x:c>
      <x:c r="G100" s="32" t="n">
        <x:f>C37</x:f>
        <x:v>26006.670135695273</x:v>
      </x:c>
      <x:c r="H100" s="32"/>
      <x:c r="I100" s="32"/>
      <x:c r="J100" s="32"/>
      <x:c r="K100" s="32"/>
      <x:c r="L100" s="32"/>
      <x:c r="M100" s="32"/>
      <x:c r="N100" s="32"/>
    </x:row>
    <x:row r="101">
      <x:c r="A101" s="32" t="n">
        <x:f>A38</x:f>
        <x:v>2860.2800807999997</x:v>
      </x:c>
      <x:c r="B101" s="32" t="n">
        <x:f>B38</x:f>
        <x:v>750010.9735344269</x:v>
      </x:c>
      <x:c r="C101" s="32" t="n">
        <x:f>D38</x:f>
        <x:v>2980.8684489930993</x:v>
      </x:c>
      <x:c r="D101" s="32" t="n">
        <x:f>E38</x:f>
        <x:v>5961.7368979861985</x:v>
      </x:c>
      <x:c r="E101" s="32"/>
      <x:c r="F101" s="32" t="n">
        <x:f>A38</x:f>
        <x:v>2860.2800807999997</x:v>
      </x:c>
      <x:c r="G101" s="32" t="n">
        <x:f>C38</x:f>
        <x:v>26005.219780070387</x:v>
      </x:c>
      <x:c r="H101" s="32"/>
      <x:c r="I101" s="32"/>
      <x:c r="J101" s="32"/>
      <x:c r="K101" s="32"/>
      <x:c r="L101" s="32"/>
      <x:c r="M101" s="32"/>
      <x:c r="N101" s="32"/>
    </x:row>
    <x:row r="102">
      <x:c r="A102" s="32" t="n">
        <x:f>A39</x:f>
        <x:v>2936.688564</x:v>
      </x:c>
      <x:c r="B102" s="32" t="n">
        <x:f>B39</x:f>
        <x:v>766951.240161732</x:v>
      </x:c>
      <x:c r="C102" s="32" t="n">
        <x:f>D39</x:f>
        <x:v>2601.355278029806</x:v>
      </x:c>
      <x:c r="D102" s="32" t="n">
        <x:f>E39</x:f>
        <x:v>5202.710556059612</x:v>
      </x:c>
      <x:c r="E102" s="32"/>
      <x:c r="F102" s="32" t="n">
        <x:f>A39</x:f>
        <x:v>2936.688564</x:v>
      </x:c>
      <x:c r="G102" s="32" t="n">
        <x:f>C39</x:f>
        <x:v>26004.007201696502</x:v>
      </x:c>
      <x:c r="H102" s="32"/>
      <x:c r="I102" s="32"/>
      <x:c r="J102" s="32"/>
      <x:c r="K102" s="32"/>
      <x:c r="L102" s="32"/>
      <x:c r="M102" s="32"/>
      <x:c r="N102" s="32"/>
    </x:row>
    <x:row r="103">
      <x:c r="A103" s="32" t="n">
        <x:f>A40</x:f>
        <x:v>3013.6334952</x:v>
      </x:c>
      <x:c r="B103" s="32" t="n">
        <x:f>B40</x:f>
        <x:v>784017.5061779759</x:v>
      </x:c>
      <x:c r="C103" s="32" t="n">
        <x:f>D40</x:f>
        <x:v>2210.464287905019</x:v>
      </x:c>
      <x:c r="D103" s="32" t="n">
        <x:f>E40</x:f>
        <x:v>4420.928575810038</x:v>
      </x:c>
      <x:c r="E103" s="32"/>
      <x:c r="F103" s="32" t="n">
        <x:f>A40</x:f>
        <x:v>3013.6334952</x:v>
      </x:c>
      <x:c r="G103" s="32" t="n">
        <x:f>C40</x:f>
        <x:v>26002.913716585746</x:v>
      </x:c>
      <x:c r="H103" s="32"/>
      <x:c r="I103" s="32"/>
      <x:c r="J103" s="32"/>
      <x:c r="K103" s="32"/>
      <x:c r="L103" s="32"/>
      <x:c r="M103" s="32"/>
      <x:c r="N103" s="32"/>
    </x:row>
    <x:row r="104">
      <x:c r="A104" s="32" t="n">
        <x:f>A41</x:f>
        <x:v>3090.7698408</x:v>
      </x:c>
      <x:c r="B104" s="32" t="n">
        <x:f>B41</x:f>
        <x:v>801132.0373323669</x:v>
      </x:c>
      <x:c r="C104" s="32" t="n">
        <x:f>D41</x:f>
        <x:v>1828.4835133349245</x:v>
      </x:c>
      <x:c r="D104" s="32" t="n">
        <x:f>E41</x:f>
        <x:v>3656.967026669849</x:v>
      </x:c>
      <x:c r="E104" s="32"/>
      <x:c r="F104" s="32" t="n">
        <x:f>A41</x:f>
        <x:v>3090.7698408</x:v>
      </x:c>
      <x:c r="G104" s="32" t="n">
        <x:f>C41</x:f>
        <x:v>26001.998671604153</x:v>
      </x:c>
      <x:c r="H104" s="32"/>
      <x:c r="I104" s="32"/>
      <x:c r="J104" s="32"/>
      <x:c r="K104" s="32"/>
      <x:c r="L104" s="32"/>
      <x:c r="M104" s="32"/>
      <x:c r="N104" s="32"/>
    </x:row>
    <x:row r="105">
      <x:c r="A105" s="32" t="n">
        <x:f>A42</x:f>
        <x:v>3167.6544215999998</x:v>
      </x:c>
      <x:c r="B105" s="32" t="n">
        <x:f>B42</x:f>
        <x:v>818190.9258303377</x:v>
      </x:c>
      <x:c r="C105" s="32" t="n">
        <x:f>D42</x:f>
        <x:v>1812.5797754308658</x:v>
      </x:c>
      <x:c r="D105" s="32" t="n">
        <x:f>E42</x:f>
        <x:v>3625.1595508617315</x:v>
      </x:c>
      <x:c r="E105" s="32"/>
      <x:c r="F105" s="32" t="n">
        <x:f>A42</x:f>
        <x:v>3167.6544215999998</x:v>
      </x:c>
      <x:c r="G105" s="32" t="n">
        <x:f>C42</x:f>
        <x:v>26001.957644349724</x:v>
      </x:c>
      <x:c r="H105" s="32"/>
      <x:c r="I105" s="32"/>
      <x:c r="J105" s="32"/>
      <x:c r="K105" s="32"/>
      <x:c r="L105" s="32"/>
      <x:c r="M105" s="32"/>
      <x:c r="N105" s="32"/>
    </x:row>
    <x:row r="106">
      <x:c r="A106" s="32" t="n">
        <x:f>A43</x:f>
        <x:v>3243.9723792</x:v>
      </x:c>
      <x:c r="B106" s="32" t="n">
        <x:f>B43</x:f>
        <x:v>835118.0075327385</x:v>
      </x:c>
      <x:c r="C106" s="32" t="n">
        <x:f>D43</x:f>
        <x:v>2217.891733412791</x:v>
      </x:c>
      <x:c r="D106" s="32" t="n">
        <x:f>E43</x:f>
        <x:v>4435.783466825582</x:v>
      </x:c>
      <x:c r="E106" s="32"/>
      <x:c r="F106" s="32" t="n">
        <x:f>A43</x:f>
        <x:v>3243.9723792</x:v>
      </x:c>
      <x:c r="G106" s="32" t="n">
        <x:f>C43</x:f>
        <x:v>26002.909428632258</x:v>
      </x:c>
      <x:c r="H106" s="32"/>
      <x:c r="I106" s="32"/>
      <x:c r="J106" s="32"/>
      <x:c r="K106" s="32"/>
      <x:c r="L106" s="32"/>
      <x:c r="M106" s="32"/>
      <x:c r="N106" s="32"/>
    </x:row>
    <x:row r="107">
      <x:c r="A107" s="32" t="n">
        <x:f>A44</x:f>
        <x:v>3319.6978056000003</x:v>
      </x:c>
      <x:c r="B107" s="32" t="n">
        <x:f>B44</x:f>
        <x:v>851906.0400679975</x:v>
      </x:c>
      <x:c r="C107" s="32" t="n">
        <x:f>D44</x:f>
        <x:v>2642.4110592528173</x:v>
      </x:c>
      <x:c r="D107" s="32" t="n">
        <x:f>E44</x:f>
        <x:v>5284.8221185056345</x:v>
      </x:c>
      <x:c r="E107" s="32"/>
      <x:c r="F107" s="32" t="n">
        <x:f>A44</x:f>
        <x:v>3319.6978056000003</x:v>
      </x:c>
      <x:c r="G107" s="32" t="n">
        <x:f>C44</x:f>
        <x:v>26004.097724617648</x:v>
      </x:c>
      <x:c r="H107" s="32"/>
      <x:c r="I107" s="32"/>
      <x:c r="J107" s="32"/>
      <x:c r="K107" s="32"/>
      <x:c r="L107" s="32"/>
      <x:c r="M107" s="32"/>
      <x:c r="N107" s="32"/>
    </x:row>
    <x:row r="108">
      <x:c r="A108" s="32" t="n">
        <x:f>A45</x:f>
        <x:v>3395.1068496000003</x:v>
      </x:c>
      <x:c r="B108" s="32" t="n">
        <x:f>B45</x:f>
        <x:v>868616.94718898</x:v>
      </x:c>
      <x:c r="C108" s="32" t="n">
        <x:f>D45</x:f>
        <x:v>2979.8716159706937</x:v>
      </x:c>
      <x:c r="D108" s="32" t="n">
        <x:f>E45</x:f>
        <x:v>5959.743231941387</x:v>
      </x:c>
      <x:c r="E108" s="32"/>
      <x:c r="F108" s="32" t="n">
        <x:f>A45</x:f>
        <x:v>3395.1068496000003</x:v>
      </x:c>
      <x:c r="G108" s="32" t="n">
        <x:f>C45</x:f>
        <x:v>26005.18942006424</x:v>
      </x:c>
      <x:c r="H108" s="32"/>
      <x:c r="I108" s="32"/>
      <x:c r="J108" s="32"/>
      <x:c r="K108" s="32"/>
      <x:c r="L108" s="32"/>
      <x:c r="M108" s="32"/>
      <x:c r="N108" s="32"/>
    </x:row>
    <x:row r="109">
      <x:c r="A109" s="32" t="n">
        <x:f>A46</x:f>
        <x:v>3470.6368992</x:v>
      </x:c>
      <x:c r="B109" s="32" t="n">
        <x:f>B46</x:f>
        <x:v>885348.6982656334</x:v>
      </x:c>
      <x:c r="C109" s="32" t="n">
        <x:f>D46</x:f>
        <x:v>3240.2265772593487</x:v>
      </x:c>
      <x:c r="D109" s="32" t="n">
        <x:f>E46</x:f>
        <x:v>6480.453154518697</x:v>
      </x:c>
      <x:c r="E109" s="32"/>
      <x:c r="F109" s="32" t="n">
        <x:f>A46</x:f>
        <x:v>3470.6368992</x:v>
      </x:c>
      <x:c r="G109" s="32" t="n">
        <x:f>C46</x:f>
        <x:v>26006.145692328508</x:v>
      </x:c>
      <x:c r="H109" s="32"/>
      <x:c r="I109" s="32"/>
      <x:c r="J109" s="32"/>
      <x:c r="K109" s="32"/>
      <x:c r="L109" s="32"/>
      <x:c r="M109" s="32"/>
      <x:c r="N109" s="32"/>
    </x:row>
    <x:row r="110">
      <x:c r="A110" s="32" t="n">
        <x:f>A47</x:f>
        <x:v>3546.6631632</x:v>
      </x:c>
      <x:c r="B110" s="32" t="n">
        <x:f>B47</x:f>
        <x:v>902184.4548048641</x:v>
      </x:c>
      <x:c r="C110" s="32" t="n">
        <x:f>D47</x:f>
        <x:v>3477.5866978427607</x:v>
      </x:c>
      <x:c r="D110" s="32" t="n">
        <x:f>E47</x:f>
        <x:v>6955.173395685521</x:v>
      </x:c>
      <x:c r="E110" s="32"/>
      <x:c r="F110" s="32" t="n">
        <x:f>A47</x:f>
        <x:v>3546.6631632</x:v>
      </x:c>
      <x:c r="G110" s="32" t="n">
        <x:f>C47</x:f>
        <x:v>26007.125574186455</x:v>
      </x:c>
      <x:c r="H110" s="32"/>
      <x:c r="I110" s="32"/>
      <x:c r="J110" s="32"/>
      <x:c r="K110" s="32"/>
      <x:c r="L110" s="32"/>
      <x:c r="M110" s="32"/>
      <x:c r="N110" s="32"/>
    </x:row>
    <x:row r="111">
      <x:c r="A111" s="32" t="n">
        <x:f>A48</x:f>
        <x:v>3623.3087808</x:v>
      </x:c>
      <x:c r="B111" s="32" t="n">
        <x:f>B48</x:f>
        <x:v>919150.4032984045</x:v>
      </x:c>
      <x:c r="C111" s="32" t="n">
        <x:f>D48</x:f>
        <x:v>3735.52973462342</x:v>
      </x:c>
      <x:c r="D111" s="32" t="n">
        <x:f>E48</x:f>
        <x:v>7471.05946924684</x:v>
      </x:c>
      <x:c r="E111" s="32"/>
      <x:c r="F111" s="32" t="n">
        <x:f>A48</x:f>
        <x:v>3623.3087808</x:v>
      </x:c>
      <x:c r="G111" s="32" t="n">
        <x:f>C48</x:f>
        <x:v>26008.288806632336</x:v>
      </x:c>
      <x:c r="H111" s="32"/>
      <x:c r="I111" s="32"/>
      <x:c r="J111" s="32"/>
      <x:c r="K111" s="32"/>
      <x:c r="L111" s="32"/>
      <x:c r="M111" s="32"/>
      <x:c r="N111" s="32"/>
    </x:row>
    <x:row r="112">
      <x:c r="A112" s="32" t="n">
        <x:f>A49</x:f>
        <x:v>3700.3805088</x:v>
      </x:c>
      <x:c r="B112" s="32" t="n">
        <x:f>B49</x:f>
        <x:v>936201.9429977234</x:v>
      </x:c>
      <x:c r="C112" s="32" t="n">
        <x:f>D49</x:f>
        <x:v>4034.182554764465</x:v>
      </x:c>
      <x:c r="D112" s="32" t="n">
        <x:f>E49</x:f>
        <x:v>8068.36510952893</x:v>
      </x:c>
      <x:c r="E112" s="32"/>
      <x:c r="F112" s="32" t="n">
        <x:f>A49</x:f>
        <x:v>3700.3805088</x:v>
      </x:c>
      <x:c r="G112" s="32" t="n">
        <x:f>C49</x:f>
        <x:v>26009.720899988184</x:v>
      </x:c>
      <x:c r="H112" s="32"/>
      <x:c r="I112" s="32"/>
      <x:c r="J112" s="32"/>
      <x:c r="K112" s="32"/>
      <x:c r="L112" s="32"/>
      <x:c r="M112" s="32"/>
      <x:c r="N112" s="32"/>
    </x:row>
    <x:row r="113">
      <x:c r="A113" s="32" t="n">
        <x:f>A50</x:f>
        <x:v>3777.4683912</x:v>
      </x:c>
      <x:c r="B113" s="32" t="n">
        <x:f>B50</x:f>
        <x:v>953247.3732166202</x:v>
      </x:c>
      <x:c r="C113" s="32" t="n">
        <x:f>D50</x:f>
        <x:v>4341.399783443597</x:v>
      </x:c>
      <x:c r="D113" s="32" t="n">
        <x:f>E50</x:f>
        <x:v>8682.799566887194</x:v>
      </x:c>
      <x:c r="E113" s="32"/>
      <x:c r="F113" s="32" t="n">
        <x:f>A50</x:f>
        <x:v>3777.4683912</x:v>
      </x:c>
      <x:c r="G113" s="32" t="n">
        <x:f>C50</x:f>
        <x:v>26011.260196282372</x:v>
      </x:c>
      <x:c r="H113" s="32"/>
      <x:c r="I113" s="32"/>
      <x:c r="J113" s="32"/>
      <x:c r="K113" s="32"/>
      <x:c r="L113" s="32"/>
      <x:c r="M113" s="32"/>
      <x:c r="N113" s="32"/>
    </x:row>
    <x:row r="114">
      <x:c r="A114" s="32" t="n">
        <x:f>A51</x:f>
        <x:v>3854.1542424</x:v>
      </x:c>
      <x:c r="B114" s="32" t="n">
        <x:f>B51</x:f>
        <x:v>970194.0804175219</x:v>
      </x:c>
      <x:c r="C114" s="32" t="n">
        <x:f>D51</x:f>
        <x:v>4633.867599663519</x:v>
      </x:c>
      <x:c r="D114" s="32" t="n">
        <x:f>E51</x:f>
        <x:v>9267.735199327039</x:v>
      </x:c>
      <x:c r="E114" s="32"/>
      <x:c r="F114" s="32" t="n">
        <x:f>A51</x:f>
        <x:v>3854.1542424</x:v>
      </x:c>
      <x:c r="G114" s="32" t="n">
        <x:f>C51</x:f>
        <x:v>26012.761530679953</x:v>
      </x:c>
      <x:c r="H114" s="32"/>
      <x:c r="I114" s="32"/>
      <x:c r="J114" s="32"/>
      <x:c r="K114" s="32"/>
      <x:c r="L114" s="32"/>
      <x:c r="M114" s="32"/>
      <x:c r="N114" s="32"/>
    </x:row>
    <x:row r="115">
      <x:c r="A115" s="32" t="n">
        <x:f>A52</x:f>
        <x:v>3930.2240928</x:v>
      </x:c>
      <x:c r="B115" s="32" t="n">
        <x:f>B52</x:f>
        <x:v>986995.911058625</x:v>
      </x:c>
      <x:c r="C115" s="32" t="n">
        <x:f>D52</x:f>
        <x:v>4881.413205013298</x:v>
      </x:c>
      <x:c r="D115" s="32" t="n">
        <x:f>E52</x:f>
        <x:v>9762.826410026595</x:v>
      </x:c>
      <x:c r="E115" s="32"/>
      <x:c r="F115" s="32" t="n">
        <x:f>A52</x:f>
        <x:v>3930.2240928</x:v>
      </x:c>
      <x:c r="G115" s="32" t="n">
        <x:f>C52</x:f>
        <x:v>26014.047660092234</x:v>
      </x:c>
      <x:c r="H115" s="32"/>
      <x:c r="I115" s="32"/>
      <x:c r="J115" s="32"/>
      <x:c r="K115" s="32"/>
      <x:c r="L115" s="32"/>
      <x:c r="M115" s="32"/>
      <x:c r="N115" s="32"/>
    </x:row>
    <x:row r="116">
      <x:c r="A116" s="32" t="n">
        <x:f>A53</x:f>
        <x:v>4005.779136</x:v>
      </x:c>
      <x:c r="B116" s="32" t="n">
        <x:f>B53</x:f>
        <x:v>1003676.8408510318</x:v>
      </x:c>
      <x:c r="C116" s="32" t="n">
        <x:f>D53</x:f>
        <x:v>5077.246908811857</x:v>
      </x:c>
      <x:c r="D116" s="32" t="n">
        <x:f>E53</x:f>
        <x:v>10154.493817623714</x:v>
      </x:c>
      <x:c r="E116" s="32"/>
      <x:c r="F116" s="32" t="n">
        <x:f>A53</x:f>
        <x:v>4005.779136</x:v>
      </x:c>
      <x:c r="G116" s="32" t="n">
        <x:f>C53</x:f>
        <x:v>26015.09455487681</x:v>
      </x:c>
      <x:c r="H116" s="32"/>
      <x:c r="I116" s="32"/>
      <x:c r="J116" s="32"/>
      <x:c r="K116" s="32"/>
      <x:c r="L116" s="32"/>
      <x:c r="M116" s="32"/>
      <x:c r="N116" s="32"/>
    </x:row>
    <x:row r="117">
      <x:c r="A117" s="32" t="n">
        <x:f>A54</x:f>
        <x:v>4081.1817792</x:v>
      </x:c>
      <x:c r="B117" s="32" t="n">
        <x:f>B54</x:f>
        <x:v>1020318.5401385546</x:v>
      </x:c>
      <x:c r="C117" s="32" t="n">
        <x:f>D54</x:f>
        <x:v>5224.495357305971</x:v>
      </x:c>
      <x:c r="D117" s="32" t="n">
        <x:f>E54</x:f>
        <x:v>10448.990714611942</x:v>
      </x:c>
      <x:c r="E117" s="32"/>
      <x:c r="F117" s="32" t="n">
        <x:f>A54</x:f>
        <x:v>4081.1817792</x:v>
      </x:c>
      <x:c r="G117" s="32" t="n">
        <x:f>C54</x:f>
        <x:v>26015.950545855758</x:v>
      </x:c>
      <x:c r="H117" s="32"/>
      <x:c r="I117" s="32"/>
      <x:c r="J117" s="32"/>
      <x:c r="K117" s="32"/>
      <x:c r="L117" s="32"/>
      <x:c r="M117" s="32"/>
      <x:c r="N117" s="32"/>
    </x:row>
    <x:row r="118">
      <x:c r="A118" s="32" t="n">
        <x:f>A55</x:f>
        <x:v>4156.8727632</x:v>
      </x:c>
      <x:c r="B118" s="32" t="n">
        <x:f>B55</x:f>
        <x:v>1037019.7969557836</x:v>
      </x:c>
      <x:c r="C118" s="32" t="n">
        <x:f>D55</x:f>
        <x:v>5329.133078724494</x:v>
      </x:c>
      <x:c r="D118" s="32" t="n">
        <x:f>E55</x:f>
        <x:v>10658.266157448988</x:v>
      </x:c>
      <x:c r="E118" s="32"/>
      <x:c r="F118" s="32" t="n">
        <x:f>A55</x:f>
        <x:v>4156.8727632</x:v>
      </x:c>
      <x:c r="G118" s="32" t="n">
        <x:f>C55</x:f>
        <x:v>26016.659331377163</x:v>
      </x:c>
      <x:c r="H118" s="32"/>
      <x:c r="I118" s="32"/>
      <x:c r="J118" s="32"/>
      <x:c r="K118" s="32"/>
      <x:c r="L118" s="32"/>
      <x:c r="M118" s="32"/>
      <x:c r="N118" s="32"/>
    </x:row>
    <x:row r="119">
      <x:c r="A119" s="32" t="n">
        <x:f>A56</x:f>
        <x:v>4233.1456104</x:v>
      </x:c>
      <x:c r="B119" s="32" t="n">
        <x:f>B56</x:f>
        <x:v>1053846.4739392952</x:v>
      </x:c>
      <x:c r="C119" s="32" t="n">
        <x:f>D56</x:f>
        <x:v>5403.408250563843</x:v>
      </x:c>
      <x:c r="D119" s="32" t="n">
        <x:f>E56</x:f>
        <x:v>10806.816501127685</x:v>
      </x:c>
      <x:c r="E119" s="32"/>
      <x:c r="F119" s="32" t="n">
        <x:f>A56</x:f>
        <x:v>4233.1456104</x:v>
      </x:c>
      <x:c r="G119" s="32" t="n">
        <x:f>C56</x:f>
        <x:v>26017.258609661185</x:v>
      </x:c>
      <x:c r="H119" s="32"/>
      <x:c r="I119" s="32"/>
      <x:c r="J119" s="32"/>
      <x:c r="K119" s="32"/>
      <x:c r="L119" s="32"/>
      <x:c r="M119" s="32"/>
      <x:c r="N119" s="32"/>
    </x:row>
    <x:row r="120">
      <x:c r="A120" s="32" t="n">
        <x:f>A57</x:f>
        <x:v>4309.9975776</x:v>
      </x:c>
      <x:c r="B120" s="32" t="n">
        <x:f>B57</x:f>
        <x:v>1070799.1602705836</x:v>
      </x:c>
      <x:c r="C120" s="32" t="n">
        <x:f>D57</x:f>
        <x:v>5446.429733762008</x:v>
      </x:c>
      <x:c r="D120" s="32" t="n">
        <x:f>E57</x:f>
        <x:v>10892.859467524017</x:v>
      </x:c>
      <x:c r="E120" s="32"/>
      <x:c r="F120" s="32" t="n">
        <x:f>A57</x:f>
        <x:v>4309.9975776</x:v>
      </x:c>
      <x:c r="G120" s="32" t="n">
        <x:f>C57</x:f>
        <x:v>26017.667662052878</x:v>
      </x:c>
      <x:c r="H120" s="32"/>
      <x:c r="I120" s="32"/>
      <x:c r="J120" s="32"/>
      <x:c r="K120" s="32"/>
      <x:c r="L120" s="32"/>
      <x:c r="M120" s="32"/>
      <x:c r="N120" s="32"/>
    </x:row>
    <x:row r="121">
      <x:c r="A121" s="32" t="n">
        <x:f>A58</x:f>
        <x:v>4387.1302656</x:v>
      </x:c>
      <x:c r="B121" s="32" t="n">
        <x:f>B58</x:f>
        <x:v>1087812.9940658004</x:v>
      </x:c>
      <x:c r="C121" s="32" t="n">
        <x:f>D58</x:f>
        <x:v>5465.325847757959</x:v>
      </x:c>
      <x:c r="D121" s="32" t="n">
        <x:f>E58</x:f>
        <x:v>10930.651695515919</x:v>
      </x:c>
      <x:c r="E121" s="32"/>
      <x:c r="F121" s="32" t="n">
        <x:f>A58</x:f>
        <x:v>4387.1302656</x:v>
      </x:c>
      <x:c r="G121" s="32" t="n">
        <x:f>C58</x:f>
        <x:v>26017.855452932938</x:v>
      </x:c>
      <x:c r="H121" s="32"/>
      <x:c r="I121" s="32"/>
      <x:c r="J121" s="32"/>
      <x:c r="K121" s="32"/>
      <x:c r="L121" s="32"/>
      <x:c r="M121" s="32"/>
      <x:c r="N121" s="32"/>
    </x:row>
    <x:row r="122">
      <x:c r="A122" s="32" t="n">
        <x:f>A59</x:f>
        <x:v>4464.1026288</x:v>
      </x:c>
      <x:c r="B122" s="32" t="n">
        <x:f>B59</x:f>
        <x:v>1104791.564922813</x:v>
      </x:c>
      <x:c r="C122" s="32" t="n">
        <x:f>D59</x:f>
        <x:v>5462.8587766814835</x:v>
      </x:c>
      <x:c r="D122" s="32" t="n">
        <x:f>E59</x:f>
        <x:v>10925.717553362967</x:v>
      </x:c>
      <x:c r="E122" s="32"/>
      <x:c r="F122" s="32" t="n">
        <x:f>A59</x:f>
        <x:v>4464.1026288</x:v>
      </x:c>
      <x:c r="G122" s="32" t="n">
        <x:f>C59</x:f>
        <x:v>26017.802256414583</x:v>
      </x:c>
      <x:c r="H122" s="32"/>
      <x:c r="I122" s="32"/>
      <x:c r="J122" s="32"/>
      <x:c r="K122" s="32"/>
      <x:c r="L122" s="32"/>
      <x:c r="M122" s="32"/>
      <x:c r="N122" s="32"/>
    </x:row>
    <x:row r="123">
      <x:c r="A123" s="32" t="n">
        <x:f>A60</x:f>
        <x:v>4540.555308</x:v>
      </x:c>
      <x:c r="B123" s="32" t="n">
        <x:f>B60</x:f>
        <x:v>1121656.1618409925</x:v>
      </x:c>
      <x:c r="C123" s="32" t="n">
        <x:f>D60</x:f>
        <x:v>5446.698722331982</x:v>
      </x:c>
      <x:c r="D123" s="32" t="n">
        <x:f>E60</x:f>
        <x:v>10893.397444663964</x:v>
      </x:c>
      <x:c r="E123" s="32"/>
      <x:c r="F123" s="32" t="n">
        <x:f>A60</x:f>
        <x:v>4540.555308</x:v>
      </x:c>
      <x:c r="G123" s="32" t="n">
        <x:f>C60</x:f>
        <x:v>26017.577605004877</x:v>
      </x:c>
      <x:c r="H123" s="32"/>
      <x:c r="I123" s="32"/>
      <x:c r="J123" s="32"/>
      <x:c r="K123" s="32"/>
      <x:c r="L123" s="32"/>
      <x:c r="M123" s="32"/>
      <x:c r="N123" s="32"/>
    </x:row>
    <x:row r="124">
      <x:c r="A124" s="32" t="n">
        <x:f>A61</x:f>
        <x:v>4616.3935104</x:v>
      </x:c>
      <x:c r="B124" s="32" t="n">
        <x:f>B61</x:f>
        <x:v>1138386.296912006</x:v>
      </x:c>
      <x:c r="C124" s="32" t="n">
        <x:f>D61</x:f>
        <x:v>5419.734744567189</x:v>
      </x:c>
      <x:c r="D124" s="32" t="n">
        <x:f>E61</x:f>
        <x:v>10839.469489134379</x:v>
      </x:c>
      <x:c r="E124" s="32"/>
      <x:c r="F124" s="32" t="n">
        <x:f>A61</x:f>
        <x:v>4616.3935104</x:v>
      </x:c>
      <x:c r="G124" s="32" t="n">
        <x:f>C61</x:f>
        <x:v>26017.26411730344</x:v>
      </x:c>
      <x:c r="H124" s="32"/>
      <x:c r="I124" s="32"/>
      <x:c r="J124" s="32"/>
      <x:c r="K124" s="32"/>
      <x:c r="L124" s="32"/>
      <x:c r="M124" s="32"/>
      <x:c r="N124" s="32"/>
    </x:row>
    <x:row r="125">
      <x:c r="A125" s="32" t="n">
        <x:f>A62</x:f>
        <x:v>4691.8360824</x:v>
      </x:c>
      <x:c r="B125" s="32" t="n">
        <x:f>B62</x:f>
        <x:v>1155030.372613192</x:v>
      </x:c>
      <x:c r="C125" s="32" t="n">
        <x:f>D62</x:f>
        <x:v>5389.141729174255</x:v>
      </x:c>
      <x:c r="D125" s="32" t="n">
        <x:f>E62</x:f>
        <x:v>10778.28345834851</x:v>
      </x:c>
      <x:c r="E125" s="32"/>
      <x:c r="F125" s="32" t="n">
        <x:f>A62</x:f>
        <x:v>4691.8360824</x:v>
      </x:c>
      <x:c r="G125" s="32" t="n">
        <x:f>C62</x:f>
        <x:v>26016.98071532463</x:v>
      </x:c>
      <x:c r="H125" s="32"/>
      <x:c r="I125" s="32"/>
      <x:c r="J125" s="32"/>
      <x:c r="K125" s="32"/>
      <x:c r="L125" s="32"/>
      <x:c r="M125" s="32"/>
      <x:c r="N125" s="32"/>
    </x:row>
    <x:row r="126">
      <x:c r="A126" s="32" t="n">
        <x:f>A63</x:f>
        <x:v>4767.3027336000005</x:v>
      </x:c>
      <x:c r="B126" s="32" t="n">
        <x:f>B63</x:f>
        <x:v>1171680.8264845596</x:v>
      </x:c>
      <x:c r="C126" s="32" t="n">
        <x:f>D63</x:f>
        <x:v>5362.233481314568</x:v>
      </x:c>
      <x:c r="D126" s="32" t="n">
        <x:f>E63</x:f>
        <x:v>10724.466962629136</x:v>
      </x:c>
      <x:c r="E126" s="32"/>
      <x:c r="F126" s="32" t="n">
        <x:f>A63</x:f>
        <x:v>4767.3027336000005</x:v>
      </x:c>
      <x:c r="G126" s="32" t="n">
        <x:f>C63</x:f>
        <x:v>26016.81693337239</x:v>
      </x:c>
      <x:c r="H126" s="32"/>
      <x:c r="I126" s="32"/>
      <x:c r="J126" s="32"/>
      <x:c r="K126" s="32"/>
      <x:c r="L126" s="32"/>
      <x:c r="M126" s="32"/>
      <x:c r="N126" s="32"/>
    </x:row>
    <x:row r="127">
      <x:c r="A127" s="32" t="n">
        <x:f>A64</x:f>
        <x:v>4843.2018960000005</x:v>
      </x:c>
      <x:c r="B127" s="32" t="n">
        <x:f>B64</x:f>
        <x:v>1188427.2943145775</x:v>
      </x:c>
      <x:c r="C127" s="32" t="n">
        <x:f>D64</x:f>
        <x:v>5347.425972648599</x:v>
      </x:c>
      <x:c r="D127" s="32" t="n">
        <x:f>E64</x:f>
        <x:v>10694.851945297198</x:v>
      </x:c>
      <x:c r="E127" s="32"/>
      <x:c r="F127" s="32" t="n">
        <x:f>A64</x:f>
        <x:v>4843.2018960000005</x:v>
      </x:c>
      <x:c r="G127" s="32" t="n">
        <x:f>C64</x:f>
        <x:v>26016.82003248004</x:v>
      </x:c>
      <x:c r="H127" s="32"/>
      <x:c r="I127" s="32"/>
      <x:c r="J127" s="32"/>
      <x:c r="K127" s="32"/>
      <x:c r="L127" s="32"/>
      <x:c r="M127" s="32"/>
      <x:c r="N127" s="32"/>
    </x:row>
    <x:row r="128">
      <x:c r="A128" s="32" t="n">
        <x:f>A65</x:f>
        <x:v>4919.7207168</x:v>
      </x:c>
      <x:c r="B128" s="32" t="n">
        <x:f>B65</x:f>
        <x:v>1205310.4574943804</x:v>
      </x:c>
      <x:c r="C128" s="32" t="n">
        <x:f>D65</x:f>
        <x:v>5348.094378791932</x:v>
      </x:c>
      <x:c r="D128" s="32" t="n">
        <x:f>E65</x:f>
        <x:v>10696.188757583865</x:v>
      </x:c>
      <x:c r="E128" s="32"/>
      <x:c r="F128" s="32" t="n">
        <x:f>A65</x:f>
        <x:v>4919.7207168</x:v>
      </x:c>
      <x:c r="G128" s="32" t="n">
        <x:f>C65</x:f>
        <x:v>26016.961594597546</x:v>
      </x:c>
      <x:c r="H128" s="32"/>
      <x:c r="I128" s="32"/>
      <x:c r="J128" s="32"/>
      <x:c r="K128" s="32"/>
      <x:c r="L128" s="32"/>
      <x:c r="M128" s="32"/>
      <x:c r="N128" s="32"/>
    </x:row>
  </x:sheetData>
  <x:mergeCells>
    <x:mergeCell ref="A1:N1"/>
    <x:mergeCell ref="A3:H3"/>
  </x:mergeCells>
  <x:pageMargins left="0.7" right="0.7" top="0.75" bottom="0.75" header="0.3" footer="0.3"/>
  <x:drawing xmlns:r="http://schemas.openxmlformats.org/officeDocument/2006/relationships" r:id="rId1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SLD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SLD operation depth profile</x:v>
      </x:c>
      <x:c r="B3" s="33" t="str">
        <x:v>SLD operation depth profile</x:v>
      </x:c>
      <x:c r="C3" s="33" t="str">
        <x:v>SLD operation depth profile</x:v>
      </x:c>
      <x:c r="D3" s="33" t="str">
        <x:v>SLD operation depth profile</x:v>
      </x:c>
      <x:c r="E3" s="33" t="str">
        <x:v>SLD operation depth profile</x:v>
      </x:c>
      <x:c r="F3" s="33" t="str">
        <x:v>SLD operation depth profile</x:v>
      </x:c>
      <x:c r="G3" s="33" t="str">
        <x:v>SLD operation depth profile</x:v>
      </x:c>
      <x:c r="H3" s="33" t="str">
        <x:v>SLD operation depth profile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f>"MD "&amp;'Unit Map'!$H$8</x:f>
        <x:v>MD m</x:v>
      </x:c>
      <x:c r="B5" s="34" t="str">
        <x:f>"Axial load "&amp;'Unit Map'!$H$14</x:f>
        <x:v>Axial load N</x:v>
      </x:c>
      <x:c r="C5" s="34" t="str">
        <x:f>"Torque "&amp;'Unit Map'!$H$16</x:f>
        <x:v>Torque N-m</x:v>
      </x:c>
      <x:c r="D5" s="34" t="str">
        <x:f>"Sinusoidal limit "&amp;'Unit Map'!$H$14</x:f>
        <x:v>Sinusoidal limit N</x:v>
      </x:c>
      <x:c r="E5" s="34" t="str">
        <x:f>"Helical limit "&amp;'Unit Map'!$H$14</x:f>
        <x:v>Helical limit N</x:v>
      </x:c>
      <x:c r="F5" s="34" t="str">
        <x:f>"Axial margin "&amp;'Unit Map'!$H$14</x:f>
        <x:v>Axial margin N</x:v>
      </x:c>
      <x:c r="G5" s="34" t="str">
        <x:v>Buckling status</x:v>
      </x:c>
      <x:c r="H5" s="34" t="str">
        <x:v>Record ID</x:v>
      </x:c>
      <x:c r="I5" s="32"/>
      <x:c r="J5" s="32"/>
      <x:c r="K5" s="32"/>
      <x:c r="L5" s="32"/>
      <x:c r="M5" s="32"/>
      <x:c r="N5" s="32"/>
    </x:row>
    <x:row r="6">
      <x:c r="A6" s="35" t="n">
        <x:f>'ALL'!A6</x:f>
        <x:v>0</x:v>
      </x:c>
      <x:c r="B6" s="35" t="n">
        <x:f>'ALL'!F6</x:f>
        <x:v>120000</x:v>
      </x:c>
      <x:c r="C6" s="35" t="n">
        <x:f>'ALL'!H6</x:f>
        <x:v>26000</x:v>
      </x:c>
      <x:c r="D6" s="35" t="n">
        <x:f>'ALL'!K6</x:f>
        <x:v>0</x:v>
      </x:c>
      <x:c r="E6" s="35" t="n">
        <x:f>'ALL'!L6</x:f>
        <x:v>0</x:v>
      </x:c>
      <x:c r="F6" s="35" t="n">
        <x:f>B6-E6</x:f>
        <x:v>120000</x:v>
      </x:c>
      <x:c r="G6" s="35" t="str">
        <x:f>'ALL'!M6</x:f>
        <x:v>PASS</x:v>
      </x:c>
      <x:c r="H6" s="35" t="str">
        <x:f>'ALL'!N6</x:f>
        <x:v>survey-000</x:v>
      </x:c>
      <x:c r="I6" s="32"/>
      <x:c r="J6" s="32"/>
      <x:c r="K6" s="32"/>
      <x:c r="L6" s="32"/>
      <x:c r="M6" s="32"/>
      <x:c r="N6" s="32"/>
    </x:row>
    <x:row r="7">
      <x:c r="A7" s="35" t="n">
        <x:f>'ALL'!A7</x:f>
        <x:v>155.10875760000002</x:v>
      </x:c>
      <x:c r="B7" s="35" t="n">
        <x:f>'ALL'!F7</x:f>
        <x:v>154369.6247643189</x:v>
      </x:c>
      <x:c r="C7" s="35" t="n">
        <x:f>'ALL'!H7</x:f>
        <x:v>26004.461212664428</x:v>
      </x:c>
      <x:c r="D7" s="35" t="n">
        <x:f>'ALL'!K7</x:f>
        <x:v>3045.9878423456744</x:v>
      </x:c>
      <x:c r="E7" s="35" t="n">
        <x:f>'ALL'!L7</x:f>
        <x:v>6091.975684691349</x:v>
      </x:c>
      <x:c r="F7" s="35" t="n">
        <x:f>B7-E7</x:f>
        <x:v>148277.64907962756</x:v>
      </x:c>
      <x:c r="G7" s="35" t="str">
        <x:f>'ALL'!M7</x:f>
        <x:v>PASS</x:v>
      </x:c>
      <x:c r="H7" s="35" t="str">
        <x:f>'ALL'!N7</x:f>
        <x:v>survey-001</x:v>
      </x:c>
      <x:c r="I7" s="32"/>
      <x:c r="J7" s="32"/>
      <x:c r="K7" s="32"/>
      <x:c r="L7" s="32"/>
      <x:c r="M7" s="32"/>
      <x:c r="N7" s="32"/>
    </x:row>
    <x:row r="8">
      <x:c r="A8" s="35" t="n">
        <x:f>'ALL'!A8</x:f>
        <x:v>307.974492</x:v>
      </x:c>
      <x:c r="B8" s="35" t="n">
        <x:f>'ALL'!F8</x:f>
        <x:v>188295.53791614895</x:v>
      </x:c>
      <x:c r="C8" s="35" t="n">
        <x:f>'ALL'!H8</x:f>
        <x:v>26001.011734897667</x:v>
      </x:c>
      <x:c r="D8" s="35" t="n">
        <x:f>'ALL'!K8</x:f>
        <x:v>1461.161274893059</x:v>
      </x:c>
      <x:c r="E8" s="35" t="n">
        <x:f>'ALL'!L8</x:f>
        <x:v>2922.322549786118</x:v>
      </x:c>
      <x:c r="F8" s="35" t="n">
        <x:f>B8-E8</x:f>
        <x:v>185373.21536636283</x:v>
      </x:c>
      <x:c r="G8" s="35" t="str">
        <x:f>'ALL'!M8</x:f>
        <x:v>PASS</x:v>
      </x:c>
      <x:c r="H8" s="35" t="str">
        <x:f>'ALL'!N8</x:f>
        <x:v>survey-002</x:v>
      </x:c>
      <x:c r="I8" s="32"/>
      <x:c r="J8" s="32"/>
      <x:c r="K8" s="32"/>
      <x:c r="L8" s="32"/>
      <x:c r="M8" s="32"/>
      <x:c r="N8" s="32"/>
    </x:row>
    <x:row r="9">
      <x:c r="A9" s="35" t="n">
        <x:f>'ALL'!A9</x:f>
        <x:v>460.2227016</x:v>
      </x:c>
      <x:c r="B9" s="35" t="n">
        <x:f>'ALL'!F9</x:f>
        <x:v>222078.4629496525</x:v>
      </x:c>
      <x:c r="C9" s="35" t="n">
        <x:f>'ALL'!H9</x:f>
        <x:v>26001.384783222413</x:v>
      </x:c>
      <x:c r="D9" s="35" t="n">
        <x:f>'ALL'!K9</x:f>
        <x:v>1712.910460216405</x:v>
      </x:c>
      <x:c r="E9" s="35" t="n">
        <x:f>'ALL'!L9</x:f>
        <x:v>3425.82092043281</x:v>
      </x:c>
      <x:c r="F9" s="35" t="n">
        <x:f>B9-E9</x:f>
        <x:v>218652.64202921969</x:v>
      </x:c>
      <x:c r="G9" s="35" t="str">
        <x:f>'ALL'!M9</x:f>
        <x:v>PASS</x:v>
      </x:c>
      <x:c r="H9" s="35" t="str">
        <x:f>'ALL'!N9</x:f>
        <x:v>survey-003</x:v>
      </x:c>
      <x:c r="I9" s="32"/>
      <x:c r="J9" s="32"/>
      <x:c r="K9" s="32"/>
      <x:c r="L9" s="32"/>
      <x:c r="M9" s="32"/>
      <x:c r="N9" s="32"/>
    </x:row>
    <x:row r="10">
      <x:c r="A10" s="35" t="n">
        <x:f>'ALL'!A10</x:f>
        <x:v>611.9649432</x:v>
      </x:c>
      <x:c r="B10" s="35" t="n">
        <x:f>'ALL'!F10</x:f>
        <x:v>255741.63319933537</x:v>
      </x:c>
      <x:c r="C10" s="35" t="n">
        <x:f>'ALL'!H10</x:f>
        <x:v>26001.855392975416</x:v>
      </x:c>
      <x:c r="D10" s="35" t="n">
        <x:f>'ALL'!K10</x:f>
        <x:v>1986.0243471491665</x:v>
      </x:c>
      <x:c r="E10" s="35" t="n">
        <x:f>'ALL'!L10</x:f>
        <x:v>3972.048694298333</x:v>
      </x:c>
      <x:c r="F10" s="35" t="n">
        <x:f>B10-E10</x:f>
        <x:v>251769.58450503703</x:v>
      </x:c>
      <x:c r="G10" s="35" t="str">
        <x:f>'ALL'!M10</x:f>
        <x:v>PASS</x:v>
      </x:c>
      <x:c r="H10" s="35" t="str">
        <x:f>'ALL'!N10</x:f>
        <x:v>survey-004</x:v>
      </x:c>
      <x:c r="I10" s="32"/>
      <x:c r="J10" s="32"/>
      <x:c r="K10" s="32"/>
      <x:c r="L10" s="32"/>
      <x:c r="M10" s="32"/>
      <x:c r="N10" s="32"/>
    </x:row>
    <x:row r="11">
      <x:c r="A11" s="35" t="n">
        <x:f>'ALL'!A11</x:f>
        <x:v>763.5706344</x:v>
      </x:c>
      <x:c r="B11" s="35" t="n">
        <x:f>'ALL'!F11</x:f>
        <x:v>289363.3695426456</x:v>
      </x:c>
      <x:c r="C11" s="35" t="n">
        <x:f>'ALL'!H11</x:f>
        <x:v>26002.561174391056</x:v>
      </x:c>
      <x:c r="D11" s="35" t="n">
        <x:f>'ALL'!K11</x:f>
        <x:v>2334.434457092405</x:v>
      </x:c>
      <x:c r="E11" s="35" t="n">
        <x:f>'ALL'!L11</x:f>
        <x:v>4668.86891418481</x:v>
      </x:c>
      <x:c r="F11" s="35" t="n">
        <x:f>B11-E11</x:f>
        <x:v>284694.5006284608</x:v>
      </x:c>
      <x:c r="G11" s="35" t="str">
        <x:f>'ALL'!M11</x:f>
        <x:v>PASS</x:v>
      </x:c>
      <x:c r="H11" s="35" t="str">
        <x:f>'ALL'!N11</x:f>
        <x:v>survey-005</x:v>
      </x:c>
      <x:c r="I11" s="32"/>
      <x:c r="J11" s="32"/>
      <x:c r="K11" s="32"/>
      <x:c r="L11" s="32"/>
      <x:c r="M11" s="32"/>
      <x:c r="N11" s="32"/>
    </x:row>
    <x:row r="12">
      <x:c r="A12" s="35" t="n">
        <x:f>'ALL'!A12</x:f>
        <x:v>915.4786872000001</x:v>
      </x:c>
      <x:c r="B12" s="35" t="n">
        <x:f>'ALL'!F12</x:f>
        <x:v>323083.07275547064</x:v>
      </x:c>
      <x:c r="C12" s="35" t="n">
        <x:f>'ALL'!H12</x:f>
        <x:v>26000.60337966328</x:v>
      </x:c>
      <x:c r="D12" s="35" t="n">
        <x:f>'ALL'!K12</x:f>
        <x:v>1131.943624491696</x:v>
      </x:c>
      <x:c r="E12" s="35" t="n">
        <x:f>'ALL'!L12</x:f>
        <x:v>2263.887248983392</x:v>
      </x:c>
      <x:c r="F12" s="35" t="n">
        <x:f>B12-E12</x:f>
        <x:v>320819.18550648727</x:v>
      </x:c>
      <x:c r="G12" s="35" t="str">
        <x:f>'ALL'!M12</x:f>
        <x:v>PASS</x:v>
      </x:c>
      <x:c r="H12" s="35" t="str">
        <x:f>'ALL'!N12</x:f>
        <x:v>survey-006</x:v>
      </x:c>
      <x:c r="I12" s="32"/>
      <x:c r="J12" s="32"/>
      <x:c r="K12" s="32"/>
      <x:c r="L12" s="32"/>
      <x:c r="M12" s="32"/>
      <x:c r="N12" s="32"/>
    </x:row>
    <x:row r="13">
      <x:c r="A13" s="35" t="n">
        <x:f>'ALL'!A13</x:f>
        <x:v>1067.9740896</x:v>
      </x:c>
      <x:c r="B13" s="35" t="n">
        <x:f>'ALL'!F13</x:f>
        <x:v>356915.17598741263</x:v>
      </x:c>
      <x:c r="C13" s="35" t="n">
        <x:f>'ALL'!H13</x:f>
        <x:v>26001.747224985967</x:v>
      </x:c>
      <x:c r="D13" s="35" t="n">
        <x:f>'ALL'!K13</x:f>
        <x:v>1922.4980265136417</x:v>
      </x:c>
      <x:c r="E13" s="35" t="n">
        <x:f>'ALL'!L13</x:f>
        <x:v>3844.9960530272833</x:v>
      </x:c>
      <x:c r="F13" s="35" t="n">
        <x:f>B13-E13</x:f>
        <x:v>353070.17993438535</x:v>
      </x:c>
      <x:c r="G13" s="35" t="str">
        <x:f>'ALL'!M13</x:f>
        <x:v>PASS</x:v>
      </x:c>
      <x:c r="H13" s="35" t="str">
        <x:f>'ALL'!N13</x:f>
        <x:v>survey-007</x:v>
      </x:c>
      <x:c r="I13" s="32"/>
      <x:c r="J13" s="32"/>
      <x:c r="K13" s="32"/>
      <x:c r="L13" s="32"/>
      <x:c r="M13" s="32"/>
      <x:c r="N13" s="32"/>
    </x:row>
    <x:row r="14">
      <x:c r="A14" s="35" t="n">
        <x:f>'ALL'!A14</x:f>
        <x:v>1221.042516</x:v>
      </x:c>
      <x:c r="B14" s="35" t="n">
        <x:f>'ALL'!F14</x:f>
        <x:v>390887.50027428183</x:v>
      </x:c>
      <x:c r="C14" s="35" t="n">
        <x:f>'ALL'!H14</x:f>
        <x:v>26000.922452911855</x:v>
      </x:c>
      <x:c r="D14" s="35" t="n">
        <x:f>'ALL'!K14</x:f>
        <x:v>1394.2772985072377</x:v>
      </x:c>
      <x:c r="E14" s="35" t="n">
        <x:f>'ALL'!L14</x:f>
        <x:v>2788.5545970144753</x:v>
      </x:c>
      <x:c r="F14" s="35" t="n">
        <x:f>B14-E14</x:f>
        <x:v>388098.94567726733</x:v>
      </x:c>
      <x:c r="G14" s="35" t="str">
        <x:f>'ALL'!M14</x:f>
        <x:v>PASS</x:v>
      </x:c>
      <x:c r="H14" s="35" t="str">
        <x:f>'ALL'!N14</x:f>
        <x:v>survey-008</x:v>
      </x:c>
      <x:c r="I14" s="32"/>
      <x:c r="J14" s="32"/>
      <x:c r="K14" s="32"/>
      <x:c r="L14" s="32"/>
      <x:c r="M14" s="32"/>
      <x:c r="N14" s="32"/>
    </x:row>
    <x:row r="15">
      <x:c r="A15" s="35" t="n">
        <x:f>'ALL'!A15</x:f>
        <x:v>1374.3773376000001</x:v>
      </x:c>
      <x:c r="B15" s="35" t="n">
        <x:f>'ALL'!F15</x:f>
        <x:v>424896.5556028249</x:v>
      </x:c>
      <x:c r="C15" s="35" t="n">
        <x:f>'ALL'!H15</x:f>
        <x:v>26002.346030454206</x:v>
      </x:c>
      <x:c r="D15" s="35" t="n">
        <x:f>'ALL'!K15</x:f>
        <x:v>2221.60215796265</x:v>
      </x:c>
      <x:c r="E15" s="35" t="n">
        <x:f>'ALL'!L15</x:f>
        <x:v>4443.2043159253</x:v>
      </x:c>
      <x:c r="F15" s="35" t="n">
        <x:f>B15-E15</x:f>
        <x:v>420453.3512868996</x:v>
      </x:c>
      <x:c r="G15" s="35" t="str">
        <x:f>'ALL'!M15</x:f>
        <x:v>PASS</x:v>
      </x:c>
      <x:c r="H15" s="35" t="str">
        <x:f>'ALL'!N15</x:f>
        <x:v>survey-009</x:v>
      </x:c>
      <x:c r="I15" s="32"/>
      <x:c r="J15" s="32"/>
      <x:c r="K15" s="32"/>
      <x:c r="L15" s="32"/>
      <x:c r="M15" s="32"/>
      <x:c r="N15" s="32"/>
    </x:row>
    <x:row r="16">
      <x:c r="A16" s="35" t="n">
        <x:f>'ALL'!A16</x:f>
        <x:v>1527.5362896000001</x:v>
      </x:c>
      <x:c r="B16" s="35" t="n">
        <x:f>'ALL'!F16</x:f>
        <x:v>458900.33700830623</x:v>
      </x:c>
      <x:c r="C16" s="35" t="n">
        <x:f>'ALL'!H16</x:f>
        <x:v>26000.201277837114</x:v>
      </x:c>
      <x:c r="D16" s="35" t="n">
        <x:f>'ALL'!K16</x:f>
        <x:v>651.098429003259</x:v>
      </x:c>
      <x:c r="E16" s="35" t="n">
        <x:f>'ALL'!L16</x:f>
        <x:v>1302.196858006518</x:v>
      </x:c>
      <x:c r="F16" s="35" t="n">
        <x:f>B16-E16</x:f>
        <x:v>457598.1401502997</x:v>
      </x:c>
      <x:c r="G16" s="35" t="str">
        <x:f>'ALL'!M16</x:f>
        <x:v>PASS</x:v>
      </x:c>
      <x:c r="H16" s="35" t="str">
        <x:f>'ALL'!N16</x:f>
        <x:v>survey-010</x:v>
      </x:c>
      <x:c r="I16" s="32"/>
      <x:c r="J16" s="32"/>
      <x:c r="K16" s="32"/>
      <x:c r="L16" s="32"/>
      <x:c r="M16" s="32"/>
      <x:c r="N16" s="32"/>
    </x:row>
    <x:row r="17">
      <x:c r="A17" s="35" t="n">
        <x:f>'ALL'!A17</x:f>
        <x:v>1565.8667184</x:v>
      </x:c>
      <x:c r="B17" s="35" t="n">
        <x:f>'ALL'!F17</x:f>
        <x:v>467010.8206480392</x:v>
      </x:c>
      <x:c r="C17" s="35" t="n">
        <x:f>'ALL'!H17</x:f>
        <x:v>26025.418351906752</x:v>
      </x:c>
      <x:c r="D17" s="35" t="n">
        <x:f>'ALL'!K17</x:f>
        <x:v>14625.870276492271</x:v>
      </x:c>
      <x:c r="E17" s="35" t="n">
        <x:f>'ALL'!L17</x:f>
        <x:v>29251.740552984542</x:v>
      </x:c>
      <x:c r="F17" s="35" t="n">
        <x:f>B17-E17</x:f>
        <x:v>437759.0800950547</x:v>
      </x:c>
      <x:c r="G17" s="35" t="str">
        <x:f>'ALL'!M17</x:f>
        <x:v>PASS</x:v>
      </x:c>
      <x:c r="H17" s="35" t="str">
        <x:f>'ALL'!N17</x:f>
        <x:v>survey-011</x:v>
      </x:c>
      <x:c r="I17" s="32"/>
      <x:c r="J17" s="32"/>
      <x:c r="K17" s="32"/>
      <x:c r="L17" s="32"/>
      <x:c r="M17" s="32"/>
      <x:c r="N17" s="32"/>
    </x:row>
    <x:row r="18">
      <x:c r="A18" s="35" t="n">
        <x:f>'ALL'!A18</x:f>
        <x:v>1603.5857184000001</x:v>
      </x:c>
      <x:c r="B18" s="35" t="n">
        <x:f>'ALL'!F18</x:f>
        <x:v>475023.9437135505</x:v>
      </x:c>
      <x:c r="C18" s="35" t="n">
        <x:f>'ALL'!H18</x:f>
        <x:v>26022.980000807587</x:v>
      </x:c>
      <x:c r="D18" s="35" t="n">
        <x:f>'ALL'!K18</x:f>
        <x:v>14018.927722546516</x:v>
      </x:c>
      <x:c r="E18" s="35" t="n">
        <x:f>'ALL'!L18</x:f>
        <x:v>28037.85544509303</x:v>
      </x:c>
      <x:c r="F18" s="35" t="n">
        <x:f>B18-E18</x:f>
        <x:v>446986.0882684575</x:v>
      </x:c>
      <x:c r="G18" s="35" t="str">
        <x:f>'ALL'!M18</x:f>
        <x:v>PASS</x:v>
      </x:c>
      <x:c r="H18" s="35" t="str">
        <x:f>'ALL'!N18</x:f>
        <x:v>survey-012</x:v>
      </x:c>
      <x:c r="I18" s="32"/>
      <x:c r="J18" s="32"/>
      <x:c r="K18" s="32"/>
      <x:c r="L18" s="32"/>
      <x:c r="M18" s="32"/>
      <x:c r="N18" s="32"/>
    </x:row>
    <x:row r="19">
      <x:c r="A19" s="35" t="n">
        <x:f>'ALL'!A19</x:f>
        <x:v>1640.9209752000002</x:v>
      </x:c>
      <x:c r="B19" s="35" t="n">
        <x:f>'ALL'!F19</x:f>
        <x:v>482983.18016497383</x:v>
      </x:c>
      <x:c r="C19" s="35" t="n">
        <x:f>'ALL'!H19</x:f>
        <x:v>26020.99127179875</x:v>
      </x:c>
      <x:c r="D19" s="35" t="n">
        <x:f>'ALL'!K19</x:f>
        <x:v>13467.273080777122</x:v>
      </x:c>
      <x:c r="E19" s="35" t="n">
        <x:f>'ALL'!L19</x:f>
        <x:v>26934.546161554244</x:v>
      </x:c>
      <x:c r="F19" s="35" t="n">
        <x:f>B19-E19</x:f>
        <x:v>456048.6340034196</x:v>
      </x:c>
      <x:c r="G19" s="35" t="str">
        <x:f>'ALL'!M19</x:f>
        <x:v>PASS</x:v>
      </x:c>
      <x:c r="H19" s="35" t="str">
        <x:f>'ALL'!N19</x:f>
        <x:v>survey-013</x:v>
      </x:c>
      <x:c r="I19" s="32"/>
      <x:c r="J19" s="32"/>
      <x:c r="K19" s="32"/>
      <x:c r="L19" s="32"/>
      <x:c r="M19" s="32"/>
      <x:c r="N19" s="32"/>
    </x:row>
    <x:row r="20">
      <x:c r="A20" s="35" t="n">
        <x:f>'ALL'!A20</x:f>
        <x:v>1678.2970752</x:v>
      </x:c>
      <x:c r="B20" s="35" t="n">
        <x:f>'ALL'!F20</x:f>
        <x:v>490967.14040348405</x:v>
      </x:c>
      <x:c r="C20" s="35" t="n">
        <x:f>'ALL'!H20</x:f>
        <x:v>26019.997173817905</x:v>
      </x:c>
      <x:c r="D20" s="35" t="n">
        <x:f>'ALL'!K20</x:f>
        <x:v>13137.332179016305</x:v>
      </x:c>
      <x:c r="E20" s="35" t="n">
        <x:f>'ALL'!L20</x:f>
        <x:v>26274.66435803261</x:v>
      </x:c>
      <x:c r="F20" s="35" t="n">
        <x:f>B20-E20</x:f>
        <x:v>464692.4760454514</x:v>
      </x:c>
      <x:c r="G20" s="35" t="str">
        <x:f>'ALL'!M20</x:f>
        <x:v>PASS</x:v>
      </x:c>
      <x:c r="H20" s="35" t="str">
        <x:f>'ALL'!N20</x:f>
        <x:v>survey-014</x:v>
      </x:c>
      <x:c r="I20" s="32"/>
      <x:c r="J20" s="32"/>
      <x:c r="K20" s="32"/>
      <x:c r="L20" s="32"/>
      <x:c r="M20" s="32"/>
      <x:c r="N20" s="32"/>
    </x:row>
    <x:row r="21">
      <x:c r="A21" s="35" t="n">
        <x:f>'ALL'!A21</x:f>
        <x:v>1716.1166592000002</x:v>
      </x:c>
      <x:c r="B21" s="35" t="n">
        <x:f>'ALL'!F21</x:f>
        <x:v>499038.4189947745</x:v>
      </x:c>
      <x:c r="C21" s="35" t="n">
        <x:f>'ALL'!H21</x:f>
        <x:v>26020.705293761857</x:v>
      </x:c>
      <x:c r="D21" s="35" t="n">
        <x:f>'ALL'!K21</x:f>
        <x:v>13289.302478170144</x:v>
      </x:c>
      <x:c r="E21" s="35" t="n">
        <x:f>'ALL'!L21</x:f>
        <x:v>26578.60495634029</x:v>
      </x:c>
      <x:c r="F21" s="35" t="n">
        <x:f>B21-E21</x:f>
        <x:v>472459.81403843424</x:v>
      </x:c>
      <x:c r="G21" s="35" t="str">
        <x:f>'ALL'!M21</x:f>
        <x:v>PASS</x:v>
      </x:c>
      <x:c r="H21" s="35" t="str">
        <x:f>'ALL'!N21</x:f>
        <x:v>survey-015</x:v>
      </x:c>
      <x:c r="I21" s="32"/>
      <x:c r="J21" s="32"/>
      <x:c r="K21" s="32"/>
      <x:c r="L21" s="32"/>
      <x:c r="M21" s="32"/>
      <x:c r="N21" s="32"/>
    </x:row>
    <x:row r="22">
      <x:c r="A22" s="35" t="n">
        <x:f>'ALL'!A22</x:f>
        <x:v>1754.5571208000001</x:v>
      </x:c>
      <x:c r="B22" s="35" t="n">
        <x:f>'ALL'!F22</x:f>
        <x:v>507214.75489862217</x:v>
      </x:c>
      <x:c r="C22" s="35" t="n">
        <x:f>'ALL'!H22</x:f>
        <x:v>26022.788123898168</x:v>
      </x:c>
      <x:c r="D22" s="35" t="n">
        <x:f>'ALL'!K22</x:f>
        <x:v>13828.652103940169</x:v>
      </x:c>
      <x:c r="E22" s="35" t="n">
        <x:f>'ALL'!L22</x:f>
        <x:v>27657.304207880337</x:v>
      </x:c>
      <x:c r="F22" s="35" t="n">
        <x:f>B22-E22</x:f>
        <x:v>479557.4506907418</x:v>
      </x:c>
      <x:c r="G22" s="35" t="str">
        <x:f>'ALL'!M22</x:f>
        <x:v>PASS</x:v>
      </x:c>
      <x:c r="H22" s="35" t="str">
        <x:f>'ALL'!N22</x:f>
        <x:v>survey-016</x:v>
      </x:c>
      <x:c r="I22" s="32"/>
      <x:c r="J22" s="32"/>
      <x:c r="K22" s="32"/>
      <x:c r="L22" s="32"/>
      <x:c r="M22" s="32"/>
      <x:c r="N22" s="32"/>
    </x:row>
    <x:row r="23">
      <x:c r="A23" s="35" t="n">
        <x:f>'ALL'!A23</x:f>
        <x:v>1793.4788616</x:v>
      </x:c>
      <x:c r="B23" s="35" t="n">
        <x:f>'ALL'!F23</x:f>
        <x:v>515462.2266916272</x:v>
      </x:c>
      <x:c r="C23" s="35" t="n">
        <x:f>'ALL'!H23</x:f>
        <x:v>26025.05671796798</x:v>
      </x:c>
      <x:c r="D23" s="35" t="n">
        <x:f>'ALL'!K23</x:f>
        <x:v>14410.724855994376</x:v>
      </x:c>
      <x:c r="E23" s="35" t="n">
        <x:f>'ALL'!L23</x:f>
        <x:v>28821.449711988753</x:v>
      </x:c>
      <x:c r="F23" s="35" t="n">
        <x:f>B23-E23</x:f>
        <x:v>486640.77697963844</x:v>
      </x:c>
      <x:c r="G23" s="35" t="str">
        <x:f>'ALL'!M23</x:f>
        <x:v>PASS</x:v>
      </x:c>
      <x:c r="H23" s="35" t="str">
        <x:f>'ALL'!N23</x:f>
        <x:v>survey-017</x:v>
      </x:c>
      <x:c r="I23" s="32"/>
      <x:c r="J23" s="32"/>
      <x:c r="K23" s="32"/>
      <x:c r="L23" s="32"/>
      <x:c r="M23" s="32"/>
      <x:c r="N23" s="32"/>
    </x:row>
    <x:row r="24">
      <x:c r="A24" s="35" t="n">
        <x:f>'ALL'!A24</x:f>
        <x:v>1832.4975288000003</x:v>
      </x:c>
      <x:c r="B24" s="35" t="n">
        <x:f>'ALL'!F24</x:f>
        <x:v>523714.4049053724</x:v>
      </x:c>
      <x:c r="C24" s="35" t="n">
        <x:f>'ALL'!H24</x:f>
        <x:v>26026.12445931618</x:v>
      </x:c>
      <x:c r="D24" s="35" t="n">
        <x:f>'ALL'!K24</x:f>
        <x:v>14696.276085690224</x:v>
      </x:c>
      <x:c r="E24" s="35" t="n">
        <x:f>'ALL'!L24</x:f>
        <x:v>29392.55217138045</x:v>
      </x:c>
      <x:c r="F24" s="35" t="n">
        <x:f>B24-E24</x:f>
        <x:v>494321.852733992</x:v>
      </x:c>
      <x:c r="G24" s="35" t="str">
        <x:f>'ALL'!M24</x:f>
        <x:v>PASS</x:v>
      </x:c>
      <x:c r="H24" s="35" t="str">
        <x:f>'ALL'!N24</x:f>
        <x:v>survey-018</x:v>
      </x:c>
      <x:c r="I24" s="32"/>
      <x:c r="J24" s="32"/>
      <x:c r="K24" s="32"/>
      <x:c r="L24" s="32"/>
      <x:c r="M24" s="32"/>
      <x:c r="N24" s="32"/>
    </x:row>
    <x:row r="25">
      <x:c r="A25" s="35" t="n">
        <x:f>'ALL'!A25</x:f>
        <x:v>1871.1787824</x:v>
      </x:c>
      <x:c r="B25" s="35" t="n">
        <x:f>'ALL'!F25</x:f>
        <x:v>531904.7691480203</x:v>
      </x:c>
      <x:c r="C25" s="35" t="n">
        <x:f>'ALL'!H25</x:f>
        <x:v>26025.292334640668</x:v>
      </x:c>
      <x:c r="D25" s="35" t="n">
        <x:f>'ALL'!K25</x:f>
        <x:v>14523.257963276968</x:v>
      </x:c>
      <x:c r="E25" s="35" t="n">
        <x:f>'ALL'!L25</x:f>
        <x:v>29046.515926553937</x:v>
      </x:c>
      <x:c r="F25" s="35" t="n">
        <x:f>B25-E25</x:f>
        <x:v>502858.2532214664</x:v>
      </x:c>
      <x:c r="G25" s="35" t="str">
        <x:f>'ALL'!M25</x:f>
        <x:v>PASS</x:v>
      </x:c>
      <x:c r="H25" s="35" t="str">
        <x:f>'ALL'!N25</x:f>
        <x:v>survey-019</x:v>
      </x:c>
      <x:c r="I25" s="32"/>
      <x:c r="J25" s="32"/>
      <x:c r="K25" s="32"/>
      <x:c r="L25" s="32"/>
      <x:c r="M25" s="32"/>
      <x:c r="N25" s="32"/>
    </x:row>
    <x:row r="26">
      <x:c r="A26" s="35" t="n">
        <x:f>'ALL'!A26</x:f>
        <x:v>1947.3607992000002</x:v>
      </x:c>
      <x:c r="B26" s="35" t="n">
        <x:f>'ALL'!F26</x:f>
        <x:v>548553.5110684601</x:v>
      </x:c>
      <x:c r="C26" s="35" t="n">
        <x:f>'ALL'!H26</x:f>
        <x:v>26016.921670931075</x:v>
      </x:c>
      <x:c r="D26" s="35" t="n">
        <x:f>'ALL'!K26</x:f>
        <x:v>8464.771745150709</x:v>
      </x:c>
      <x:c r="E26" s="35" t="n">
        <x:f>'ALL'!L26</x:f>
        <x:v>16929.543490301417</x:v>
      </x:c>
      <x:c r="F26" s="35" t="n">
        <x:f>B26-E26</x:f>
        <x:v>531623.9675781586</x:v>
      </x:c>
      <x:c r="G26" s="35" t="str">
        <x:f>'ALL'!M26</x:f>
        <x:v>PASS</x:v>
      </x:c>
      <x:c r="H26" s="35" t="str">
        <x:f>'ALL'!N26</x:f>
        <x:v>survey-020</x:v>
      </x:c>
      <x:c r="I26" s="32"/>
      <x:c r="J26" s="32"/>
      <x:c r="K26" s="32"/>
      <x:c r="L26" s="32"/>
      <x:c r="M26" s="32"/>
      <x:c r="N26" s="32"/>
    </x:row>
    <x:row r="27">
      <x:c r="A27" s="35" t="n">
        <x:f>'ALL'!A27</x:f>
        <x:v>2022.9868608</x:v>
      </x:c>
      <x:c r="B27" s="35" t="n">
        <x:f>'ALL'!F27</x:f>
        <x:v>565177.7735507294</x:v>
      </x:c>
      <x:c r="C27" s="35" t="n">
        <x:f>'ALL'!H27</x:f>
        <x:v>26010.637509295997</x:v>
      </x:c>
      <x:c r="D27" s="35" t="n">
        <x:f>'ALL'!K27</x:f>
        <x:v>6736.03129578184</x:v>
      </x:c>
      <x:c r="E27" s="35" t="n">
        <x:f>'ALL'!L27</x:f>
        <x:v>13472.06259156368</x:v>
      </x:c>
      <x:c r="F27" s="35" t="n">
        <x:f>B27-E27</x:f>
        <x:v>551705.7109591657</x:v>
      </x:c>
      <x:c r="G27" s="35" t="str">
        <x:f>'ALL'!M27</x:f>
        <x:v>PASS</x:v>
      </x:c>
      <x:c r="H27" s="35" t="str">
        <x:f>'ALL'!N27</x:f>
        <x:v>survey-021</x:v>
      </x:c>
      <x:c r="I27" s="32"/>
      <x:c r="J27" s="32"/>
      <x:c r="K27" s="32"/>
      <x:c r="L27" s="32"/>
      <x:c r="M27" s="32"/>
      <x:c r="N27" s="32"/>
    </x:row>
    <x:row r="28">
      <x:c r="A28" s="35" t="n">
        <x:f>'ALL'!A28</x:f>
        <x:v>2098.3837128</x:v>
      </x:c>
      <x:c r="B28" s="35" t="n">
        <x:f>'ALL'!F28</x:f>
        <x:v>581757.977354576</x:v>
      </x:c>
      <x:c r="C28" s="35" t="n">
        <x:f>'ALL'!H28</x:f>
        <x:v>26010.203529410333</x:v>
      </x:c>
      <x:c r="D28" s="35" t="n">
        <x:f>'ALL'!K28</x:f>
        <x:v>6607.2154035717995</x:v>
      </x:c>
      <x:c r="E28" s="35" t="n">
        <x:f>'ALL'!L28</x:f>
        <x:v>13214.430807143599</x:v>
      </x:c>
      <x:c r="F28" s="35" t="n">
        <x:f>B28-E28</x:f>
        <x:v>568543.5465474324</x:v>
      </x:c>
      <x:c r="G28" s="35" t="str">
        <x:f>'ALL'!M28</x:f>
        <x:v>PASS</x:v>
      </x:c>
      <x:c r="H28" s="35" t="str">
        <x:f>'ALL'!N28</x:f>
        <x:v>survey-022</x:v>
      </x:c>
      <x:c r="I28" s="32"/>
      <x:c r="J28" s="32"/>
      <x:c r="K28" s="32"/>
      <x:c r="L28" s="32"/>
      <x:c r="M28" s="32"/>
      <x:c r="N28" s="32"/>
    </x:row>
    <x:row r="29">
      <x:c r="A29" s="35" t="n">
        <x:f>'ALL'!A29</x:f>
        <x:v>2173.9945344000002</x:v>
      </x:c>
      <x:c r="B29" s="35" t="n">
        <x:f>'ALL'!F29</x:f>
        <x:v>598394.2715607802</x:v>
      </x:c>
      <x:c r="C29" s="35" t="n">
        <x:f>'ALL'!H29</x:f>
        <x:v>26009.65862075928</x:v>
      </x:c>
      <x:c r="D29" s="35" t="n">
        <x:f>'ALL'!K29</x:f>
        <x:v>6419.267007502434</x:v>
      </x:c>
      <x:c r="E29" s="35" t="n">
        <x:f>'ALL'!L29</x:f>
        <x:v>12838.534015004869</x:v>
      </x:c>
      <x:c r="F29" s="35" t="n">
        <x:f>B29-E29</x:f>
        <x:v>585555.7375457754</x:v>
      </x:c>
      <x:c r="G29" s="35" t="str">
        <x:f>'ALL'!M29</x:f>
        <x:v>PASS</x:v>
      </x:c>
      <x:c r="H29" s="35" t="str">
        <x:f>'ALL'!N29</x:f>
        <x:v>survey-023</x:v>
      </x:c>
      <x:c r="I29" s="32"/>
      <x:c r="J29" s="32"/>
      <x:c r="K29" s="32"/>
      <x:c r="L29" s="32"/>
      <x:c r="M29" s="32"/>
      <x:c r="N29" s="32"/>
    </x:row>
    <x:row r="30">
      <x:c r="A30" s="35" t="n">
        <x:f>'ALL'!A30</x:f>
        <x:v>2250.1543008</x:v>
      </x:c>
      <x:c r="B30" s="35" t="n">
        <x:f>'ALL'!F30</x:f>
        <x:v>615162.8034411283</x:v>
      </x:c>
      <x:c r="C30" s="35" t="n">
        <x:f>'ALL'!H30</x:f>
        <x:v>26009.00129233928</x:v>
      </x:c>
      <x:c r="D30" s="35" t="n">
        <x:f>'ALL'!K30</x:f>
        <x:v>6174.609456279386</x:v>
      </x:c>
      <x:c r="E30" s="35" t="n">
        <x:f>'ALL'!L30</x:f>
        <x:v>12349.218912558772</x:v>
      </x:c>
      <x:c r="F30" s="35" t="n">
        <x:f>B30-E30</x:f>
        <x:v>602813.5845285696</x:v>
      </x:c>
      <x:c r="G30" s="35" t="str">
        <x:f>'ALL'!M30</x:f>
        <x:v>PASS</x:v>
      </x:c>
      <x:c r="H30" s="35" t="str">
        <x:f>'ALL'!N30</x:f>
        <x:v>survey-024</x:v>
      </x:c>
      <x:c r="I30" s="32"/>
      <x:c r="J30" s="32"/>
      <x:c r="K30" s="32"/>
      <x:c r="L30" s="32"/>
      <x:c r="M30" s="32"/>
      <x:c r="N30" s="32"/>
    </x:row>
    <x:row r="31">
      <x:c r="A31" s="35" t="n">
        <x:f>'ALL'!A31</x:f>
        <x:v>2326.9172664000002</x:v>
      </x:c>
      <x:c r="B31" s="35" t="n">
        <x:f>'ALL'!F31</x:f>
        <x:v>632077.6149666572</x:v>
      </x:c>
      <x:c r="C31" s="35" t="n">
        <x:f>'ALL'!H31</x:f>
        <x:v>26008.217250436443</x:v>
      </x:c>
      <x:c r="D31" s="35" t="n">
        <x:f>'ALL'!K31</x:f>
        <x:v>5876.344539699765</x:v>
      </x:c>
      <x:c r="E31" s="35" t="n">
        <x:f>'ALL'!L31</x:f>
        <x:v>11752.68907939953</x:v>
      </x:c>
      <x:c r="F31" s="35" t="n">
        <x:f>B31-E31</x:f>
        <x:v>620324.9258872577</x:v>
      </x:c>
      <x:c r="G31" s="35" t="str">
        <x:f>'ALL'!M31</x:f>
        <x:v>PASS</x:v>
      </x:c>
      <x:c r="H31" s="35" t="str">
        <x:f>'ALL'!N31</x:f>
        <x:v>survey-025</x:v>
      </x:c>
      <x:c r="I31" s="32"/>
      <x:c r="J31" s="32"/>
      <x:c r="K31" s="32"/>
      <x:c r="L31" s="32"/>
      <x:c r="M31" s="32"/>
      <x:c r="N31" s="32"/>
    </x:row>
    <x:row r="32">
      <x:c r="A32" s="35" t="n">
        <x:f>'ALL'!A32</x:f>
        <x:v>2404.030752</x:v>
      </x:c>
      <x:c r="B32" s="35" t="n">
        <x:f>'ALL'!F32</x:f>
        <x:v>649084.5607830377</x:v>
      </x:c>
      <x:c r="C32" s="35" t="n">
        <x:f>'ALL'!H32</x:f>
        <x:v>26007.308826505054</x:v>
      </x:c>
      <x:c r="D32" s="35" t="n">
        <x:f>'ALL'!K32</x:f>
        <x:v>5529.406533740687</x:v>
      </x:c>
      <x:c r="E32" s="35" t="n">
        <x:f>'ALL'!L32</x:f>
        <x:v>11058.813067481375</x:v>
      </x:c>
      <x:c r="F32" s="35" t="n">
        <x:f>B32-E32</x:f>
        <x:v>638025.7477155563</x:v>
      </x:c>
      <x:c r="G32" s="35" t="str">
        <x:f>'ALL'!M32</x:f>
        <x:v>PASS</x:v>
      </x:c>
      <x:c r="H32" s="35" t="str">
        <x:f>'ALL'!N32</x:f>
        <x:v>survey-026</x:v>
      </x:c>
      <x:c r="I32" s="32"/>
      <x:c r="J32" s="32"/>
      <x:c r="K32" s="32"/>
      <x:c r="L32" s="32"/>
      <x:c r="M32" s="32"/>
      <x:c r="N32" s="32"/>
    </x:row>
    <x:row r="33">
      <x:c r="A33" s="35" t="n">
        <x:f>'ALL'!A33</x:f>
        <x:v>2481.0637704</x:v>
      </x:c>
      <x:c r="B33" s="35" t="n">
        <x:f>'ALL'!F33</x:f>
        <x:v>666089.5530951733</x:v>
      </x:c>
      <x:c r="C33" s="35" t="n">
        <x:f>'ALL'!H33</x:f>
        <x:v>26006.298338951598</x:v>
      </x:c>
      <x:c r="D33" s="35" t="n">
        <x:f>'ALL'!K33</x:f>
        <x:v>5135.638179379317</x:v>
      </x:c>
      <x:c r="E33" s="35" t="n">
        <x:f>'ALL'!L33</x:f>
        <x:v>10271.276358758634</x:v>
      </x:c>
      <x:c r="F33" s="35" t="n">
        <x:f>B33-E33</x:f>
        <x:v>655818.2767364146</x:v>
      </x:c>
      <x:c r="G33" s="35" t="str">
        <x:f>'ALL'!M33</x:f>
        <x:v>PASS</x:v>
      </x:c>
      <x:c r="H33" s="35" t="str">
        <x:f>'ALL'!N33</x:f>
        <x:v>survey-027</x:v>
      </x:c>
      <x:c r="I33" s="32"/>
      <x:c r="J33" s="32"/>
      <x:c r="K33" s="32"/>
      <x:c r="L33" s="32"/>
      <x:c r="M33" s="32"/>
      <x:c r="N33" s="32"/>
    </x:row>
    <x:row r="34">
      <x:c r="A34" s="35" t="n">
        <x:f>'ALL'!A34</x:f>
        <x:v>2557.6252632</x:v>
      </x:c>
      <x:c r="B34" s="35" t="n">
        <x:f>'ALL'!F34</x:f>
        <x:v>683006.0673463177</x:v>
      </x:c>
      <x:c r="C34" s="35" t="n">
        <x:f>'ALL'!H34</x:f>
        <x:v>26005.268492196028</x:v>
      </x:c>
      <x:c r="D34" s="35" t="n">
        <x:f>'ALL'!K34</x:f>
        <x:v>4711.485253484027</x:v>
      </x:c>
      <x:c r="E34" s="35" t="n">
        <x:f>'ALL'!L34</x:f>
        <x:v>9422.970506968055</x:v>
      </x:c>
      <x:c r="F34" s="35" t="n">
        <x:f>B34-E34</x:f>
        <x:v>673583.0968393496</x:v>
      </x:c>
      <x:c r="G34" s="35" t="str">
        <x:f>'ALL'!M34</x:f>
        <x:v>PASS</x:v>
      </x:c>
      <x:c r="H34" s="35" t="str">
        <x:f>'ALL'!N34</x:f>
        <x:v>survey-028</x:v>
      </x:c>
      <x:c r="I34" s="32"/>
      <x:c r="J34" s="32"/>
      <x:c r="K34" s="32"/>
      <x:c r="L34" s="32"/>
      <x:c r="M34" s="32"/>
      <x:c r="N34" s="32"/>
    </x:row>
    <x:row r="35">
      <x:c r="A35" s="35" t="n">
        <x:f>'ALL'!A35</x:f>
        <x:v>2633.5658784</x:v>
      </x:c>
      <x:c r="B35" s="35" t="n">
        <x:f>'ALL'!F35</x:f>
        <x:v>699800.3995342111</x:v>
      </x:c>
      <x:c r="C35" s="35" t="n">
        <x:f>'ALL'!H35</x:f>
        <x:v>26004.273083728775</x:v>
      </x:c>
      <x:c r="D35" s="35" t="n">
        <x:f>'ALL'!K35</x:f>
        <x:v>4260.430722586636</x:v>
      </x:c>
      <x:c r="E35" s="35" t="n">
        <x:f>'ALL'!L35</x:f>
        <x:v>8520.861445173272</x:v>
      </x:c>
      <x:c r="F35" s="35" t="n">
        <x:f>B35-E35</x:f>
        <x:v>691279.5380890379</x:v>
      </x:c>
      <x:c r="G35" s="35" t="str">
        <x:f>'ALL'!M35</x:f>
        <x:v>PASS</x:v>
      </x:c>
      <x:c r="H35" s="35" t="str">
        <x:f>'ALL'!N35</x:f>
        <x:v>survey-029</x:v>
      </x:c>
      <x:c r="I35" s="32"/>
      <x:c r="J35" s="32"/>
      <x:c r="K35" s="32"/>
      <x:c r="L35" s="32"/>
      <x:c r="M35" s="32"/>
      <x:c r="N35" s="32"/>
    </x:row>
    <x:row r="36">
      <x:c r="A36" s="35" t="n">
        <x:f>'ALL'!A36</x:f>
        <x:v>2709.0514272</x:v>
      </x:c>
      <x:c r="B36" s="35" t="n">
        <x:f>'ALL'!F36</x:f>
        <x:v>716507.5171333092</x:v>
      </x:c>
      <x:c r="C36" s="35" t="n">
        <x:f>'ALL'!H36</x:f>
        <x:v>26003.395070480972</x:v>
      </x:c>
      <x:c r="D36" s="35" t="n">
        <x:f>'ALL'!K36</x:f>
        <x:v>3809.012087543358</x:v>
      </x:c>
      <x:c r="E36" s="35" t="n">
        <x:f>'ALL'!L36</x:f>
        <x:v>7618.024175086716</x:v>
      </x:c>
      <x:c r="F36" s="35" t="n">
        <x:f>B36-E36</x:f>
        <x:v>708889.4929582224</x:v>
      </x:c>
      <x:c r="G36" s="35" t="str">
        <x:f>'ALL'!M36</x:f>
        <x:v>PASS</x:v>
      </x:c>
      <x:c r="H36" s="35" t="str">
        <x:f>'ALL'!N36</x:f>
        <x:v>survey-030</x:v>
      </x:c>
      <x:c r="I36" s="32"/>
      <x:c r="J36" s="32"/>
      <x:c r="K36" s="32"/>
      <x:c r="L36" s="32"/>
      <x:c r="M36" s="32"/>
      <x:c r="N36" s="32"/>
    </x:row>
    <x:row r="37">
      <x:c r="A37" s="35" t="n">
        <x:f>'ALL'!A37</x:f>
        <x:v>2784.480588</x:v>
      </x:c>
      <x:c r="B37" s="35" t="n">
        <x:f>'ALL'!F37</x:f>
        <x:v>733213.5635852496</x:v>
      </x:c>
      <x:c r="C37" s="35" t="n">
        <x:f>'ALL'!H37</x:f>
        <x:v>26002.66805427811</x:v>
      </x:c>
      <x:c r="D37" s="35" t="n">
        <x:f>'ALL'!K37</x:f>
        <x:v>3377.9059561717727</x:v>
      </x:c>
      <x:c r="E37" s="35" t="n">
        <x:f>'ALL'!L37</x:f>
        <x:v>6755.811912343545</x:v>
      </x:c>
      <x:c r="F37" s="35" t="n">
        <x:f>B37-E37</x:f>
        <x:v>726457.7516729061</x:v>
      </x:c>
      <x:c r="G37" s="35" t="str">
        <x:f>'ALL'!M37</x:f>
        <x:v>PASS</x:v>
      </x:c>
      <x:c r="H37" s="35" t="str">
        <x:f>'ALL'!N37</x:f>
        <x:v>survey-031</x:v>
      </x:c>
      <x:c r="I37" s="32"/>
      <x:c r="J37" s="32"/>
      <x:c r="K37" s="32"/>
      <x:c r="L37" s="32"/>
      <x:c r="M37" s="32"/>
      <x:c r="N37" s="32"/>
    </x:row>
    <x:row r="38">
      <x:c r="A38" s="35" t="n">
        <x:f>'ALL'!A38</x:f>
        <x:v>2860.2800807999997</x:v>
      </x:c>
      <x:c r="B38" s="35" t="n">
        <x:f>'ALL'!F38</x:f>
        <x:v>750010.9735344269</x:v>
      </x:c>
      <x:c r="C38" s="35" t="n">
        <x:f>'ALL'!H38</x:f>
        <x:v>26002.087912028153</x:v>
      </x:c>
      <x:c r="D38" s="35" t="n">
        <x:f>'ALL'!K38</x:f>
        <x:v>2980.8684489930993</x:v>
      </x:c>
      <x:c r="E38" s="35" t="n">
        <x:f>'ALL'!L38</x:f>
        <x:v>5961.7368979861985</x:v>
      </x:c>
      <x:c r="F38" s="35" t="n">
        <x:f>B38-E38</x:f>
        <x:v>744049.2366364407</x:v>
      </x:c>
      <x:c r="G38" s="35" t="str">
        <x:f>'ALL'!M38</x:f>
        <x:v>PASS</x:v>
      </x:c>
      <x:c r="H38" s="35" t="str">
        <x:f>'ALL'!N38</x:f>
        <x:v>survey-032</x:v>
      </x:c>
      <x:c r="I38" s="32"/>
      <x:c r="J38" s="32"/>
      <x:c r="K38" s="32"/>
      <x:c r="L38" s="32"/>
      <x:c r="M38" s="32"/>
      <x:c r="N38" s="32"/>
    </x:row>
    <x:row r="39">
      <x:c r="A39" s="35" t="n">
        <x:f>'ALL'!A39</x:f>
        <x:v>2936.688564</x:v>
      </x:c>
      <x:c r="B39" s="35" t="n">
        <x:f>'ALL'!F39</x:f>
        <x:v>766951.240161732</x:v>
      </x:c>
      <x:c r="C39" s="35" t="n">
        <x:f>'ALL'!H39</x:f>
        <x:v>26001.6028806786</x:v>
      </x:c>
      <x:c r="D39" s="35" t="n">
        <x:f>'ALL'!K39</x:f>
        <x:v>2601.355278029806</x:v>
      </x:c>
      <x:c r="E39" s="35" t="n">
        <x:f>'ALL'!L39</x:f>
        <x:v>5202.710556059612</x:v>
      </x:c>
      <x:c r="F39" s="35" t="n">
        <x:f>B39-E39</x:f>
        <x:v>761748.5296056723</x:v>
      </x:c>
      <x:c r="G39" s="35" t="str">
        <x:f>'ALL'!M39</x:f>
        <x:v>PASS</x:v>
      </x:c>
      <x:c r="H39" s="35" t="str">
        <x:f>'ALL'!N39</x:f>
        <x:v>survey-033</x:v>
      </x:c>
      <x:c r="I39" s="32"/>
      <x:c r="J39" s="32"/>
      <x:c r="K39" s="32"/>
      <x:c r="L39" s="32"/>
      <x:c r="M39" s="32"/>
      <x:c r="N39" s="32"/>
    </x:row>
    <x:row r="40">
      <x:c r="A40" s="35" t="n">
        <x:f>'ALL'!A40</x:f>
        <x:v>3013.6334952</x:v>
      </x:c>
      <x:c r="B40" s="35" t="n">
        <x:f>'ALL'!F40</x:f>
        <x:v>784017.5061779759</x:v>
      </x:c>
      <x:c r="C40" s="35" t="n">
        <x:f>'ALL'!H40</x:f>
        <x:v>26001.165486634298</x:v>
      </x:c>
      <x:c r="D40" s="35" t="n">
        <x:f>'ALL'!K40</x:f>
        <x:v>2210.464287905019</x:v>
      </x:c>
      <x:c r="E40" s="35" t="n">
        <x:f>'ALL'!L40</x:f>
        <x:v>4420.928575810038</x:v>
      </x:c>
      <x:c r="F40" s="35" t="n">
        <x:f>B40-E40</x:f>
        <x:v>779596.5776021659</x:v>
      </x:c>
      <x:c r="G40" s="35" t="str">
        <x:f>'ALL'!M40</x:f>
        <x:v>PASS</x:v>
      </x:c>
      <x:c r="H40" s="35" t="str">
        <x:f>'ALL'!N40</x:f>
        <x:v>survey-034</x:v>
      </x:c>
      <x:c r="I40" s="32"/>
      <x:c r="J40" s="32"/>
      <x:c r="K40" s="32"/>
      <x:c r="L40" s="32"/>
      <x:c r="M40" s="32"/>
      <x:c r="N40" s="32"/>
    </x:row>
    <x:row r="41">
      <x:c r="A41" s="35" t="n">
        <x:f>'ALL'!A41</x:f>
        <x:v>3090.7698408</x:v>
      </x:c>
      <x:c r="B41" s="35" t="n">
        <x:f>'ALL'!F41</x:f>
        <x:v>801132.0373323669</x:v>
      </x:c>
      <x:c r="C41" s="35" t="n">
        <x:f>'ALL'!H41</x:f>
        <x:v>26000.79946864166</x:v>
      </x:c>
      <x:c r="D41" s="35" t="n">
        <x:f>'ALL'!K41</x:f>
        <x:v>1828.4835133349245</x:v>
      </x:c>
      <x:c r="E41" s="35" t="n">
        <x:f>'ALL'!L41</x:f>
        <x:v>3656.967026669849</x:v>
      </x:c>
      <x:c r="F41" s="35" t="n">
        <x:f>B41-E41</x:f>
        <x:v>797475.070305697</x:v>
      </x:c>
      <x:c r="G41" s="35" t="str">
        <x:f>'ALL'!M41</x:f>
        <x:v>PASS</x:v>
      </x:c>
      <x:c r="H41" s="35" t="str">
        <x:f>'ALL'!N41</x:f>
        <x:v>survey-035</x:v>
      </x:c>
      <x:c r="I41" s="32"/>
      <x:c r="J41" s="32"/>
      <x:c r="K41" s="32"/>
      <x:c r="L41" s="32"/>
      <x:c r="M41" s="32"/>
      <x:c r="N41" s="32"/>
    </x:row>
    <x:row r="42">
      <x:c r="A42" s="35" t="n">
        <x:f>'ALL'!A42</x:f>
        <x:v>3167.6544215999998</x:v>
      </x:c>
      <x:c r="B42" s="35" t="n">
        <x:f>'ALL'!F42</x:f>
        <x:v>818190.9258303377</x:v>
      </x:c>
      <x:c r="C42" s="35" t="n">
        <x:f>'ALL'!H42</x:f>
        <x:v>26000.78305773989</x:v>
      </x:c>
      <x:c r="D42" s="35" t="n">
        <x:f>'ALL'!K42</x:f>
        <x:v>1812.5797754308658</x:v>
      </x:c>
      <x:c r="E42" s="35" t="n">
        <x:f>'ALL'!L42</x:f>
        <x:v>3625.1595508617315</x:v>
      </x:c>
      <x:c r="F42" s="35" t="n">
        <x:f>B42-E42</x:f>
        <x:v>814565.766279476</x:v>
      </x:c>
      <x:c r="G42" s="35" t="str">
        <x:f>'ALL'!M42</x:f>
        <x:v>PASS</x:v>
      </x:c>
      <x:c r="H42" s="35" t="str">
        <x:f>'ALL'!N42</x:f>
        <x:v>survey-036</x:v>
      </x:c>
      <x:c r="I42" s="32"/>
      <x:c r="J42" s="32"/>
      <x:c r="K42" s="32"/>
      <x:c r="L42" s="32"/>
      <x:c r="M42" s="32"/>
      <x:c r="N42" s="32"/>
    </x:row>
    <x:row r="43">
      <x:c r="A43" s="35" t="n">
        <x:f>'ALL'!A43</x:f>
        <x:v>3243.9723792</x:v>
      </x:c>
      <x:c r="B43" s="35" t="n">
        <x:f>'ALL'!F43</x:f>
        <x:v>835118.0075327385</x:v>
      </x:c>
      <x:c r="C43" s="35" t="n">
        <x:f>'ALL'!H43</x:f>
        <x:v>26001.163771452902</x:v>
      </x:c>
      <x:c r="D43" s="35" t="n">
        <x:f>'ALL'!K43</x:f>
        <x:v>2217.891733412791</x:v>
      </x:c>
      <x:c r="E43" s="35" t="n">
        <x:f>'ALL'!L43</x:f>
        <x:v>4435.783466825582</x:v>
      </x:c>
      <x:c r="F43" s="35" t="n">
        <x:f>B43-E43</x:f>
        <x:v>830682.2240659129</x:v>
      </x:c>
      <x:c r="G43" s="35" t="str">
        <x:f>'ALL'!M43</x:f>
        <x:v>PASS</x:v>
      </x:c>
      <x:c r="H43" s="35" t="str">
        <x:f>'ALL'!N43</x:f>
        <x:v>survey-037</x:v>
      </x:c>
      <x:c r="I43" s="32"/>
      <x:c r="J43" s="32"/>
      <x:c r="K43" s="32"/>
      <x:c r="L43" s="32"/>
      <x:c r="M43" s="32"/>
      <x:c r="N43" s="32"/>
    </x:row>
    <x:row r="44">
      <x:c r="A44" s="35" t="n">
        <x:f>'ALL'!A44</x:f>
        <x:v>3319.6978056000003</x:v>
      </x:c>
      <x:c r="B44" s="35" t="n">
        <x:f>'ALL'!F44</x:f>
        <x:v>851906.0400679975</x:v>
      </x:c>
      <x:c r="C44" s="35" t="n">
        <x:f>'ALL'!H44</x:f>
        <x:v>26001.63908984706</x:v>
      </x:c>
      <x:c r="D44" s="35" t="n">
        <x:f>'ALL'!K44</x:f>
        <x:v>2642.4110592528173</x:v>
      </x:c>
      <x:c r="E44" s="35" t="n">
        <x:f>'ALL'!L44</x:f>
        <x:v>5284.8221185056345</x:v>
      </x:c>
      <x:c r="F44" s="35" t="n">
        <x:f>B44-E44</x:f>
        <x:v>846621.2179494919</x:v>
      </x:c>
      <x:c r="G44" s="35" t="str">
        <x:f>'ALL'!M44</x:f>
        <x:v>PASS</x:v>
      </x:c>
      <x:c r="H44" s="35" t="str">
        <x:f>'ALL'!N44</x:f>
        <x:v>survey-038</x:v>
      </x:c>
      <x:c r="I44" s="32"/>
      <x:c r="J44" s="32"/>
      <x:c r="K44" s="32"/>
      <x:c r="L44" s="32"/>
      <x:c r="M44" s="32"/>
      <x:c r="N44" s="32"/>
    </x:row>
    <x:row r="45">
      <x:c r="A45" s="35" t="n">
        <x:f>'ALL'!A45</x:f>
        <x:v>3395.1068496000003</x:v>
      </x:c>
      <x:c r="B45" s="35" t="n">
        <x:f>'ALL'!F45</x:f>
        <x:v>868616.94718898</x:v>
      </x:c>
      <x:c r="C45" s="35" t="n">
        <x:f>'ALL'!H45</x:f>
        <x:v>26002.075768025694</x:v>
      </x:c>
      <x:c r="D45" s="35" t="n">
        <x:f>'ALL'!K45</x:f>
        <x:v>2979.8716159706937</x:v>
      </x:c>
      <x:c r="E45" s="35" t="n">
        <x:f>'ALL'!L45</x:f>
        <x:v>5959.743231941387</x:v>
      </x:c>
      <x:c r="F45" s="35" t="n">
        <x:f>B45-E45</x:f>
        <x:v>862657.2039570386</x:v>
      </x:c>
      <x:c r="G45" s="35" t="str">
        <x:f>'ALL'!M45</x:f>
        <x:v>PASS</x:v>
      </x:c>
      <x:c r="H45" s="35" t="str">
        <x:f>'ALL'!N45</x:f>
        <x:v>survey-039</x:v>
      </x:c>
      <x:c r="I45" s="32"/>
      <x:c r="J45" s="32"/>
      <x:c r="K45" s="32"/>
      <x:c r="L45" s="32"/>
      <x:c r="M45" s="32"/>
      <x:c r="N45" s="32"/>
    </x:row>
    <x:row r="46">
      <x:c r="A46" s="35" t="n">
        <x:f>'ALL'!A46</x:f>
        <x:v>3470.6368992</x:v>
      </x:c>
      <x:c r="B46" s="35" t="n">
        <x:f>'ALL'!F46</x:f>
        <x:v>885348.6982656334</x:v>
      </x:c>
      <x:c r="C46" s="35" t="n">
        <x:f>'ALL'!H46</x:f>
        <x:v>26002.458276931404</x:v>
      </x:c>
      <x:c r="D46" s="35" t="n">
        <x:f>'ALL'!K46</x:f>
        <x:v>3240.2265772593487</x:v>
      </x:c>
      <x:c r="E46" s="35" t="n">
        <x:f>'ALL'!L46</x:f>
        <x:v>6480.453154518697</x:v>
      </x:c>
      <x:c r="F46" s="35" t="n">
        <x:f>B46-E46</x:f>
        <x:v>878868.2451111147</x:v>
      </x:c>
      <x:c r="G46" s="35" t="str">
        <x:f>'ALL'!M46</x:f>
        <x:v>PASS</x:v>
      </x:c>
      <x:c r="H46" s="35" t="str">
        <x:f>'ALL'!N46</x:f>
        <x:v>survey-040</x:v>
      </x:c>
      <x:c r="I46" s="32"/>
      <x:c r="J46" s="32"/>
      <x:c r="K46" s="32"/>
      <x:c r="L46" s="32"/>
      <x:c r="M46" s="32"/>
      <x:c r="N46" s="32"/>
    </x:row>
    <x:row r="47">
      <x:c r="A47" s="35" t="n">
        <x:f>'ALL'!A47</x:f>
        <x:v>3546.6631632</x:v>
      </x:c>
      <x:c r="B47" s="35" t="n">
        <x:f>'ALL'!F47</x:f>
        <x:v>902184.4548048641</x:v>
      </x:c>
      <x:c r="C47" s="35" t="n">
        <x:f>'ALL'!H47</x:f>
        <x:v>26002.850229674583</x:v>
      </x:c>
      <x:c r="D47" s="35" t="n">
        <x:f>'ALL'!K47</x:f>
        <x:v>3477.5866978427607</x:v>
      </x:c>
      <x:c r="E47" s="35" t="n">
        <x:f>'ALL'!L47</x:f>
        <x:v>6955.173395685521</x:v>
      </x:c>
      <x:c r="F47" s="35" t="n">
        <x:f>B47-E47</x:f>
        <x:v>895229.2814091786</x:v>
      </x:c>
      <x:c r="G47" s="35" t="str">
        <x:f>'ALL'!M47</x:f>
        <x:v>PASS</x:v>
      </x:c>
      <x:c r="H47" s="35" t="str">
        <x:f>'ALL'!N47</x:f>
        <x:v>survey-041</x:v>
      </x:c>
      <x:c r="I47" s="32"/>
      <x:c r="J47" s="32"/>
      <x:c r="K47" s="32"/>
      <x:c r="L47" s="32"/>
      <x:c r="M47" s="32"/>
      <x:c r="N47" s="32"/>
    </x:row>
    <x:row r="48">
      <x:c r="A48" s="35" t="n">
        <x:f>'ALL'!A48</x:f>
        <x:v>3623.3087808</x:v>
      </x:c>
      <x:c r="B48" s="35" t="n">
        <x:f>'ALL'!F48</x:f>
        <x:v>919150.4032984045</x:v>
      </x:c>
      <x:c r="C48" s="35" t="n">
        <x:f>'ALL'!H48</x:f>
        <x:v>26003.315522652934</x:v>
      </x:c>
      <x:c r="D48" s="35" t="n">
        <x:f>'ALL'!K48</x:f>
        <x:v>3735.52973462342</x:v>
      </x:c>
      <x:c r="E48" s="35" t="n">
        <x:f>'ALL'!L48</x:f>
        <x:v>7471.05946924684</x:v>
      </x:c>
      <x:c r="F48" s="35" t="n">
        <x:f>B48-E48</x:f>
        <x:v>911679.3438291576</x:v>
      </x:c>
      <x:c r="G48" s="35" t="str">
        <x:f>'ALL'!M48</x:f>
        <x:v>PASS</x:v>
      </x:c>
      <x:c r="H48" s="35" t="str">
        <x:f>'ALL'!N48</x:f>
        <x:v>survey-042</x:v>
      </x:c>
      <x:c r="I48" s="32"/>
      <x:c r="J48" s="32"/>
      <x:c r="K48" s="32"/>
      <x:c r="L48" s="32"/>
      <x:c r="M48" s="32"/>
      <x:c r="N48" s="32"/>
    </x:row>
    <x:row r="49">
      <x:c r="A49" s="35" t="n">
        <x:f>'ALL'!A49</x:f>
        <x:v>3700.3805088</x:v>
      </x:c>
      <x:c r="B49" s="35" t="n">
        <x:f>'ALL'!F49</x:f>
        <x:v>936201.9429977234</x:v>
      </x:c>
      <x:c r="C49" s="35" t="n">
        <x:f>'ALL'!H49</x:f>
        <x:v>26003.888359995275</x:v>
      </x:c>
      <x:c r="D49" s="35" t="n">
        <x:f>'ALL'!K49</x:f>
        <x:v>4034.182554764465</x:v>
      </x:c>
      <x:c r="E49" s="35" t="n">
        <x:f>'ALL'!L49</x:f>
        <x:v>8068.36510952893</x:v>
      </x:c>
      <x:c r="F49" s="35" t="n">
        <x:f>B49-E49</x:f>
        <x:v>928133.5778881945</x:v>
      </x:c>
      <x:c r="G49" s="35" t="str">
        <x:f>'ALL'!M49</x:f>
        <x:v>PASS</x:v>
      </x:c>
      <x:c r="H49" s="35" t="str">
        <x:f>'ALL'!N49</x:f>
        <x:v>survey-043</x:v>
      </x:c>
      <x:c r="I49" s="32"/>
      <x:c r="J49" s="32"/>
      <x:c r="K49" s="32"/>
      <x:c r="L49" s="32"/>
      <x:c r="M49" s="32"/>
      <x:c r="N49" s="32"/>
    </x:row>
    <x:row r="50">
      <x:c r="A50" s="35" t="n">
        <x:f>'ALL'!A50</x:f>
        <x:v>3777.4683912</x:v>
      </x:c>
      <x:c r="B50" s="35" t="n">
        <x:f>'ALL'!F50</x:f>
        <x:v>953247.3732166202</x:v>
      </x:c>
      <x:c r="C50" s="35" t="n">
        <x:f>'ALL'!H50</x:f>
        <x:v>26004.50407851295</x:v>
      </x:c>
      <x:c r="D50" s="35" t="n">
        <x:f>'ALL'!K50</x:f>
        <x:v>4341.399783443597</x:v>
      </x:c>
      <x:c r="E50" s="35" t="n">
        <x:f>'ALL'!L50</x:f>
        <x:v>8682.799566887194</x:v>
      </x:c>
      <x:c r="F50" s="35" t="n">
        <x:f>B50-E50</x:f>
        <x:v>944564.573649733</x:v>
      </x:c>
      <x:c r="G50" s="35" t="str">
        <x:f>'ALL'!M50</x:f>
        <x:v>PASS</x:v>
      </x:c>
      <x:c r="H50" s="35" t="str">
        <x:f>'ALL'!N50</x:f>
        <x:v>survey-044</x:v>
      </x:c>
      <x:c r="I50" s="32"/>
      <x:c r="J50" s="32"/>
      <x:c r="K50" s="32"/>
      <x:c r="L50" s="32"/>
      <x:c r="M50" s="32"/>
      <x:c r="N50" s="32"/>
    </x:row>
    <x:row r="51">
      <x:c r="A51" s="35" t="n">
        <x:f>'ALL'!A51</x:f>
        <x:v>3854.1542424</x:v>
      </x:c>
      <x:c r="B51" s="35" t="n">
        <x:f>'ALL'!F51</x:f>
        <x:v>970194.0804175219</x:v>
      </x:c>
      <x:c r="C51" s="35" t="n">
        <x:f>'ALL'!H51</x:f>
        <x:v>26005.10461227198</x:v>
      </x:c>
      <x:c r="D51" s="35" t="n">
        <x:f>'ALL'!K51</x:f>
        <x:v>4633.867599663519</x:v>
      </x:c>
      <x:c r="E51" s="35" t="n">
        <x:f>'ALL'!L51</x:f>
        <x:v>9267.735199327039</x:v>
      </x:c>
      <x:c r="F51" s="35" t="n">
        <x:f>B51-E51</x:f>
        <x:v>960926.3452181949</x:v>
      </x:c>
      <x:c r="G51" s="35" t="str">
        <x:f>'ALL'!M51</x:f>
        <x:v>PASS</x:v>
      </x:c>
      <x:c r="H51" s="35" t="str">
        <x:f>'ALL'!N51</x:f>
        <x:v>survey-045</x:v>
      </x:c>
      <x:c r="I51" s="32"/>
      <x:c r="J51" s="32"/>
      <x:c r="K51" s="32"/>
      <x:c r="L51" s="32"/>
      <x:c r="M51" s="32"/>
      <x:c r="N51" s="32"/>
    </x:row>
    <x:row r="52">
      <x:c r="A52" s="35" t="n">
        <x:f>'ALL'!A52</x:f>
        <x:v>3930.2240928</x:v>
      </x:c>
      <x:c r="B52" s="35" t="n">
        <x:f>'ALL'!F52</x:f>
        <x:v>986995.911058625</x:v>
      </x:c>
      <x:c r="C52" s="35" t="n">
        <x:f>'ALL'!H52</x:f>
        <x:v>26005.619064036895</x:v>
      </x:c>
      <x:c r="D52" s="35" t="n">
        <x:f>'ALL'!K52</x:f>
        <x:v>4881.413205013298</x:v>
      </x:c>
      <x:c r="E52" s="35" t="n">
        <x:f>'ALL'!L52</x:f>
        <x:v>9762.826410026595</x:v>
      </x:c>
      <x:c r="F52" s="35" t="n">
        <x:f>B52-E52</x:f>
        <x:v>977233.0846485983</x:v>
      </x:c>
      <x:c r="G52" s="35" t="str">
        <x:f>'ALL'!M52</x:f>
        <x:v>PASS</x:v>
      </x:c>
      <x:c r="H52" s="35" t="str">
        <x:f>'ALL'!N52</x:f>
        <x:v>survey-046</x:v>
      </x:c>
      <x:c r="I52" s="32"/>
      <x:c r="J52" s="32"/>
      <x:c r="K52" s="32"/>
      <x:c r="L52" s="32"/>
      <x:c r="M52" s="32"/>
      <x:c r="N52" s="32"/>
    </x:row>
    <x:row r="53">
      <x:c r="A53" s="35" t="n">
        <x:f>'ALL'!A53</x:f>
        <x:v>4005.779136</x:v>
      </x:c>
      <x:c r="B53" s="35" t="n">
        <x:f>'ALL'!F53</x:f>
        <x:v>1003676.8408510318</x:v>
      </x:c>
      <x:c r="C53" s="35" t="n">
        <x:f>'ALL'!H53</x:f>
        <x:v>26006.037821950726</x:v>
      </x:c>
      <x:c r="D53" s="35" t="n">
        <x:f>'ALL'!K53</x:f>
        <x:v>5077.246908811857</x:v>
      </x:c>
      <x:c r="E53" s="35" t="n">
        <x:f>'ALL'!L53</x:f>
        <x:v>10154.493817623714</x:v>
      </x:c>
      <x:c r="F53" s="35" t="n">
        <x:f>B53-E53</x:f>
        <x:v>993522.3470334081</x:v>
      </x:c>
      <x:c r="G53" s="35" t="str">
        <x:f>'ALL'!M53</x:f>
        <x:v>PASS</x:v>
      </x:c>
      <x:c r="H53" s="35" t="str">
        <x:f>'ALL'!N53</x:f>
        <x:v>survey-047</x:v>
      </x:c>
      <x:c r="I53" s="32"/>
      <x:c r="J53" s="32"/>
      <x:c r="K53" s="32"/>
      <x:c r="L53" s="32"/>
      <x:c r="M53" s="32"/>
      <x:c r="N53" s="32"/>
    </x:row>
    <x:row r="54">
      <x:c r="A54" s="35" t="n">
        <x:f>'ALL'!A54</x:f>
        <x:v>4081.1817792</x:v>
      </x:c>
      <x:c r="B54" s="35" t="n">
        <x:f>'ALL'!F54</x:f>
        <x:v>1020318.5401385546</x:v>
      </x:c>
      <x:c r="C54" s="35" t="n">
        <x:f>'ALL'!H54</x:f>
        <x:v>26006.380218342303</x:v>
      </x:c>
      <x:c r="D54" s="35" t="n">
        <x:f>'ALL'!K54</x:f>
        <x:v>5224.495357305971</x:v>
      </x:c>
      <x:c r="E54" s="35" t="n">
        <x:f>'ALL'!L54</x:f>
        <x:v>10448.990714611942</x:v>
      </x:c>
      <x:c r="F54" s="35" t="n">
        <x:f>B54-E54</x:f>
        <x:v>1009869.5494239427</x:v>
      </x:c>
      <x:c r="G54" s="35" t="str">
        <x:f>'ALL'!M54</x:f>
        <x:v>PASS</x:v>
      </x:c>
      <x:c r="H54" s="35" t="str">
        <x:f>'ALL'!N54</x:f>
        <x:v>survey-048</x:v>
      </x:c>
      <x:c r="I54" s="32"/>
      <x:c r="J54" s="32"/>
      <x:c r="K54" s="32"/>
      <x:c r="L54" s="32"/>
      <x:c r="M54" s="32"/>
      <x:c r="N54" s="32"/>
    </x:row>
    <x:row r="55">
      <x:c r="A55" s="35" t="n">
        <x:f>'ALL'!A55</x:f>
        <x:v>4156.8727632</x:v>
      </x:c>
      <x:c r="B55" s="35" t="n">
        <x:f>'ALL'!F55</x:f>
        <x:v>1037019.7969557836</x:v>
      </x:c>
      <x:c r="C55" s="35" t="n">
        <x:f>'ALL'!H55</x:f>
        <x:v>26006.663732550864</x:v>
      </x:c>
      <x:c r="D55" s="35" t="n">
        <x:f>'ALL'!K55</x:f>
        <x:v>5329.133078724494</x:v>
      </x:c>
      <x:c r="E55" s="35" t="n">
        <x:f>'ALL'!L55</x:f>
        <x:v>10658.266157448988</x:v>
      </x:c>
      <x:c r="F55" s="35" t="n">
        <x:f>B55-E55</x:f>
        <x:v>1026361.5307983346</x:v>
      </x:c>
      <x:c r="G55" s="35" t="str">
        <x:f>'ALL'!M55</x:f>
        <x:v>PASS</x:v>
      </x:c>
      <x:c r="H55" s="35" t="str">
        <x:f>'ALL'!N55</x:f>
        <x:v>survey-049</x:v>
      </x:c>
      <x:c r="I55" s="32"/>
      <x:c r="J55" s="32"/>
      <x:c r="K55" s="32"/>
      <x:c r="L55" s="32"/>
      <x:c r="M55" s="32"/>
      <x:c r="N55" s="32"/>
    </x:row>
    <x:row r="56">
      <x:c r="A56" s="35" t="n">
        <x:f>'ALL'!A56</x:f>
        <x:v>4233.1456104</x:v>
      </x:c>
      <x:c r="B56" s="35" t="n">
        <x:f>'ALL'!F56</x:f>
        <x:v>1053846.4739392952</x:v>
      </x:c>
      <x:c r="C56" s="35" t="n">
        <x:f>'ALL'!H56</x:f>
        <x:v>26006.903443864474</x:v>
      </x:c>
      <x:c r="D56" s="35" t="n">
        <x:f>'ALL'!K56</x:f>
        <x:v>5403.408250563843</x:v>
      </x:c>
      <x:c r="E56" s="35" t="n">
        <x:f>'ALL'!L56</x:f>
        <x:v>10806.816501127685</x:v>
      </x:c>
      <x:c r="F56" s="35" t="n">
        <x:f>B56-E56</x:f>
        <x:v>1043039.6574381675</x:v>
      </x:c>
      <x:c r="G56" s="35" t="str">
        <x:f>'ALL'!M56</x:f>
        <x:v>PASS</x:v>
      </x:c>
      <x:c r="H56" s="35" t="str">
        <x:f>'ALL'!N56</x:f>
        <x:v>survey-050</x:v>
      </x:c>
      <x:c r="I56" s="32"/>
      <x:c r="J56" s="32"/>
      <x:c r="K56" s="32"/>
      <x:c r="L56" s="32"/>
      <x:c r="M56" s="32"/>
      <x:c r="N56" s="32"/>
    </x:row>
    <x:row r="57">
      <x:c r="A57" s="35" t="n">
        <x:f>'ALL'!A57</x:f>
        <x:v>4309.9975776</x:v>
      </x:c>
      <x:c r="B57" s="35" t="n">
        <x:f>'ALL'!F57</x:f>
        <x:v>1070799.1602705836</x:v>
      </x:c>
      <x:c r="C57" s="35" t="n">
        <x:f>'ALL'!H57</x:f>
        <x:v>26007.067064821153</x:v>
      </x:c>
      <x:c r="D57" s="35" t="n">
        <x:f>'ALL'!K57</x:f>
        <x:v>5446.429733762008</x:v>
      </x:c>
      <x:c r="E57" s="35" t="n">
        <x:f>'ALL'!L57</x:f>
        <x:v>10892.859467524017</x:v>
      </x:c>
      <x:c r="F57" s="35" t="n">
        <x:f>B57-E57</x:f>
        <x:v>1059906.3008030595</x:v>
      </x:c>
      <x:c r="G57" s="35" t="str">
        <x:f>'ALL'!M57</x:f>
        <x:v>PASS</x:v>
      </x:c>
      <x:c r="H57" s="35" t="str">
        <x:f>'ALL'!N57</x:f>
        <x:v>survey-051</x:v>
      </x:c>
      <x:c r="I57" s="32"/>
      <x:c r="J57" s="32"/>
      <x:c r="K57" s="32"/>
      <x:c r="L57" s="32"/>
      <x:c r="M57" s="32"/>
      <x:c r="N57" s="32"/>
    </x:row>
    <x:row r="58">
      <x:c r="A58" s="35" t="n">
        <x:f>'ALL'!A58</x:f>
        <x:v>4387.1302656</x:v>
      </x:c>
      <x:c r="B58" s="35" t="n">
        <x:f>'ALL'!F58</x:f>
        <x:v>1087812.9940658004</x:v>
      </x:c>
      <x:c r="C58" s="35" t="n">
        <x:f>'ALL'!H58</x:f>
        <x:v>26007.142181173174</x:v>
      </x:c>
      <x:c r="D58" s="35" t="n">
        <x:f>'ALL'!K58</x:f>
        <x:v>5465.325847757959</x:v>
      </x:c>
      <x:c r="E58" s="35" t="n">
        <x:f>'ALL'!L58</x:f>
        <x:v>10930.651695515919</x:v>
      </x:c>
      <x:c r="F58" s="35" t="n">
        <x:f>B58-E58</x:f>
        <x:v>1076882.3423702845</x:v>
      </x:c>
      <x:c r="G58" s="35" t="str">
        <x:f>'ALL'!M58</x:f>
        <x:v>PASS</x:v>
      </x:c>
      <x:c r="H58" s="35" t="str">
        <x:f>'ALL'!N58</x:f>
        <x:v>survey-052</x:v>
      </x:c>
      <x:c r="I58" s="32"/>
      <x:c r="J58" s="32"/>
      <x:c r="K58" s="32"/>
      <x:c r="L58" s="32"/>
      <x:c r="M58" s="32"/>
      <x:c r="N58" s="32"/>
    </x:row>
    <x:row r="59">
      <x:c r="A59" s="35" t="n">
        <x:f>'ALL'!A59</x:f>
        <x:v>4464.1026288</x:v>
      </x:c>
      <x:c r="B59" s="35" t="n">
        <x:f>'ALL'!F59</x:f>
        <x:v>1104791.564922813</x:v>
      </x:c>
      <x:c r="C59" s="35" t="n">
        <x:f>'ALL'!H59</x:f>
        <x:v>26007.12090256583</x:v>
      </x:c>
      <x:c r="D59" s="35" t="n">
        <x:f>'ALL'!K59</x:f>
        <x:v>5462.8587766814835</x:v>
      </x:c>
      <x:c r="E59" s="35" t="n">
        <x:f>'ALL'!L59</x:f>
        <x:v>10925.717553362967</x:v>
      </x:c>
      <x:c r="F59" s="35" t="n">
        <x:f>B59-E59</x:f>
        <x:v>1093865.8473694501</x:v>
      </x:c>
      <x:c r="G59" s="35" t="str">
        <x:f>'ALL'!M59</x:f>
        <x:v>PASS</x:v>
      </x:c>
      <x:c r="H59" s="35" t="str">
        <x:f>'ALL'!N59</x:f>
        <x:v>survey-053</x:v>
      </x:c>
      <x:c r="I59" s="32"/>
      <x:c r="J59" s="32"/>
      <x:c r="K59" s="32"/>
      <x:c r="L59" s="32"/>
      <x:c r="M59" s="32"/>
      <x:c r="N59" s="32"/>
    </x:row>
    <x:row r="60">
      <x:c r="A60" s="35" t="n">
        <x:f>'ALL'!A60</x:f>
        <x:v>4540.555308</x:v>
      </x:c>
      <x:c r="B60" s="35" t="n">
        <x:f>'ALL'!F60</x:f>
        <x:v>1121656.1618409925</x:v>
      </x:c>
      <x:c r="C60" s="35" t="n">
        <x:f>'ALL'!H60</x:f>
        <x:v>26007.03104200195</x:v>
      </x:c>
      <x:c r="D60" s="35" t="n">
        <x:f>'ALL'!K60</x:f>
        <x:v>5446.698722331982</x:v>
      </x:c>
      <x:c r="E60" s="35" t="n">
        <x:f>'ALL'!L60</x:f>
        <x:v>10893.397444663964</x:v>
      </x:c>
      <x:c r="F60" s="35" t="n">
        <x:f>B60-E60</x:f>
        <x:v>1110762.7643963285</x:v>
      </x:c>
      <x:c r="G60" s="35" t="str">
        <x:f>'ALL'!M60</x:f>
        <x:v>PASS</x:v>
      </x:c>
      <x:c r="H60" s="35" t="str">
        <x:f>'ALL'!N60</x:f>
        <x:v>survey-054</x:v>
      </x:c>
      <x:c r="I60" s="32"/>
      <x:c r="J60" s="32"/>
      <x:c r="K60" s="32"/>
      <x:c r="L60" s="32"/>
      <x:c r="M60" s="32"/>
      <x:c r="N60" s="32"/>
    </x:row>
    <x:row r="61">
      <x:c r="A61" s="35" t="n">
        <x:f>'ALL'!A61</x:f>
        <x:v>4616.3935104</x:v>
      </x:c>
      <x:c r="B61" s="35" t="n">
        <x:f>'ALL'!F61</x:f>
        <x:v>1138386.296912006</x:v>
      </x:c>
      <x:c r="C61" s="35" t="n">
        <x:f>'ALL'!H61</x:f>
        <x:v>26006.905646921376</x:v>
      </x:c>
      <x:c r="D61" s="35" t="n">
        <x:f>'ALL'!K61</x:f>
        <x:v>5419.734744567189</x:v>
      </x:c>
      <x:c r="E61" s="35" t="n">
        <x:f>'ALL'!L61</x:f>
        <x:v>10839.469489134379</x:v>
      </x:c>
      <x:c r="F61" s="35" t="n">
        <x:f>B61-E61</x:f>
        <x:v>1127546.8274228717</x:v>
      </x:c>
      <x:c r="G61" s="35" t="str">
        <x:f>'ALL'!M61</x:f>
        <x:v>PASS</x:v>
      </x:c>
      <x:c r="H61" s="35" t="str">
        <x:f>'ALL'!N61</x:f>
        <x:v>survey-055</x:v>
      </x:c>
      <x:c r="I61" s="32"/>
      <x:c r="J61" s="32"/>
      <x:c r="K61" s="32"/>
      <x:c r="L61" s="32"/>
      <x:c r="M61" s="32"/>
      <x:c r="N61" s="32"/>
    </x:row>
    <x:row r="62">
      <x:c r="A62" s="35" t="n">
        <x:f>'ALL'!A62</x:f>
        <x:v>4691.8360824</x:v>
      </x:c>
      <x:c r="B62" s="35" t="n">
        <x:f>'ALL'!F62</x:f>
        <x:v>1155030.372613192</x:v>
      </x:c>
      <x:c r="C62" s="35" t="n">
        <x:f>'ALL'!H62</x:f>
        <x:v>26006.79228612985</x:v>
      </x:c>
      <x:c r="D62" s="35" t="n">
        <x:f>'ALL'!K62</x:f>
        <x:v>5389.141729174255</x:v>
      </x:c>
      <x:c r="E62" s="35" t="n">
        <x:f>'ALL'!L62</x:f>
        <x:v>10778.28345834851</x:v>
      </x:c>
      <x:c r="F62" s="35" t="n">
        <x:f>B62-E62</x:f>
        <x:v>1144252.0891548435</x:v>
      </x:c>
      <x:c r="G62" s="35" t="str">
        <x:f>'ALL'!M62</x:f>
        <x:v>PASS</x:v>
      </x:c>
      <x:c r="H62" s="35" t="str">
        <x:f>'ALL'!N62</x:f>
        <x:v>survey-056</x:v>
      </x:c>
      <x:c r="I62" s="32"/>
      <x:c r="J62" s="32"/>
      <x:c r="K62" s="32"/>
      <x:c r="L62" s="32"/>
      <x:c r="M62" s="32"/>
      <x:c r="N62" s="32"/>
    </x:row>
    <x:row r="63">
      <x:c r="A63" s="35" t="n">
        <x:f>'ALL'!A63</x:f>
        <x:v>4767.3027336000005</x:v>
      </x:c>
      <x:c r="B63" s="35" t="n">
        <x:f>'ALL'!F63</x:f>
        <x:v>1171680.8264845596</x:v>
      </x:c>
      <x:c r="C63" s="35" t="n">
        <x:f>'ALL'!H63</x:f>
        <x:v>26006.726773348957</x:v>
      </x:c>
      <x:c r="D63" s="35" t="n">
        <x:f>'ALL'!K63</x:f>
        <x:v>5362.233481314568</x:v>
      </x:c>
      <x:c r="E63" s="35" t="n">
        <x:f>'ALL'!L63</x:f>
        <x:v>10724.466962629136</x:v>
      </x:c>
      <x:c r="F63" s="35" t="n">
        <x:f>B63-E63</x:f>
        <x:v>1160956.3595219303</x:v>
      </x:c>
      <x:c r="G63" s="35" t="str">
        <x:f>'ALL'!M63</x:f>
        <x:v>PASS</x:v>
      </x:c>
      <x:c r="H63" s="35" t="str">
        <x:f>'ALL'!N63</x:f>
        <x:v>survey-057</x:v>
      </x:c>
      <x:c r="I63" s="32"/>
      <x:c r="J63" s="32"/>
      <x:c r="K63" s="32"/>
      <x:c r="L63" s="32"/>
      <x:c r="M63" s="32"/>
      <x:c r="N63" s="32"/>
    </x:row>
    <x:row r="64">
      <x:c r="A64" s="35" t="n">
        <x:f>'ALL'!A64</x:f>
        <x:v>4843.2018960000005</x:v>
      </x:c>
      <x:c r="B64" s="35" t="n">
        <x:f>'ALL'!F64</x:f>
        <x:v>1188427.2943145775</x:v>
      </x:c>
      <x:c r="C64" s="35" t="n">
        <x:f>'ALL'!H64</x:f>
        <x:v>26006.728012992015</x:v>
      </x:c>
      <x:c r="D64" s="35" t="n">
        <x:f>'ALL'!K64</x:f>
        <x:v>5347.425972648599</x:v>
      </x:c>
      <x:c r="E64" s="35" t="n">
        <x:f>'ALL'!L64</x:f>
        <x:v>10694.851945297198</x:v>
      </x:c>
      <x:c r="F64" s="35" t="n">
        <x:f>B64-E64</x:f>
        <x:v>1177732.4423692804</x:v>
      </x:c>
      <x:c r="G64" s="35" t="str">
        <x:f>'ALL'!M64</x:f>
        <x:v>PASS</x:v>
      </x:c>
      <x:c r="H64" s="35" t="str">
        <x:f>'ALL'!N64</x:f>
        <x:v>survey-058</x:v>
      </x:c>
      <x:c r="I64" s="32"/>
      <x:c r="J64" s="32"/>
      <x:c r="K64" s="32"/>
      <x:c r="L64" s="32"/>
      <x:c r="M64" s="32"/>
      <x:c r="N64" s="32"/>
    </x:row>
    <x:row r="65">
      <x:c r="A65" s="35" t="n">
        <x:f>'ALL'!A65</x:f>
        <x:v>4919.7207168</x:v>
      </x:c>
      <x:c r="B65" s="35" t="n">
        <x:f>'ALL'!F65</x:f>
        <x:v>1205310.4574943804</x:v>
      </x:c>
      <x:c r="C65" s="35" t="n">
        <x:f>'ALL'!H65</x:f>
        <x:v>26006.784637839017</x:v>
      </x:c>
      <x:c r="D65" s="35" t="n">
        <x:f>'ALL'!K65</x:f>
        <x:v>5348.094378791932</x:v>
      </x:c>
      <x:c r="E65" s="35" t="n">
        <x:f>'ALL'!L65</x:f>
        <x:v>10696.188757583865</x:v>
      </x:c>
      <x:c r="F65" s="35" t="n">
        <x:f>B65-E65</x:f>
        <x:v>1194614.2687367965</x:v>
      </x:c>
      <x:c r="G65" s="35" t="str">
        <x:f>'ALL'!M65</x:f>
        <x:v>PASS</x:v>
      </x:c>
      <x:c r="H65" s="35" t="str">
        <x:f>'ALL'!N65</x:f>
        <x:v>survey-059</x:v>
      </x:c>
      <x:c r="I65" s="32"/>
      <x:c r="J65" s="32"/>
      <x:c r="K65" s="32"/>
      <x:c r="L65" s="32"/>
      <x:c r="M65" s="32"/>
      <x:c r="N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 t="str">
        <x:f>"MD "&amp;'Unit Map'!$H$8</x:f>
        <x:v>MD m</x:v>
      </x:c>
      <x:c r="B68" s="32" t="str">
        <x:f>"Axial load "&amp;'Unit Map'!$H$14</x:f>
        <x:v>Axial load N</x:v>
      </x:c>
      <x:c r="C68" s="32" t="str">
        <x:f>"Sinusoidal limit "&amp;'Unit Map'!$H$14</x:f>
        <x:v>Sinusoidal limit N</x:v>
      </x:c>
      <x:c r="D68" s="32" t="str">
        <x:f>"Helical limit "&amp;'Unit Map'!$H$14</x:f>
        <x:v>Helical limit N</x:v>
      </x:c>
      <x:c r="E68" s="32"/>
      <x:c r="F68" s="32" t="str">
        <x:f>"MD "&amp;'Unit Map'!$H$8</x:f>
        <x:v>MD m</x:v>
      </x:c>
      <x:c r="G68" s="32" t="str">
        <x:f>"Torque "&amp;'Unit Map'!$H$16</x:f>
        <x:v>Torque N-m</x:v>
      </x:c>
      <x:c r="H68" s="32"/>
      <x:c r="I68" s="32"/>
      <x:c r="J68" s="32"/>
      <x:c r="K68" s="32"/>
      <x:c r="L68" s="32"/>
      <x:c r="M68" s="32"/>
      <x:c r="N68" s="32"/>
    </x:row>
    <x:row r="69">
      <x:c r="A69" s="32" t="n">
        <x:f>A6</x:f>
        <x:v>0</x:v>
      </x:c>
      <x:c r="B69" s="32" t="n">
        <x:f>B6</x:f>
        <x:v>120000</x:v>
      </x:c>
      <x:c r="C69" s="32" t="n">
        <x:f>D6</x:f>
        <x:v>0</x:v>
      </x:c>
      <x:c r="D69" s="32" t="n">
        <x:f>E6</x:f>
        <x:v>0</x:v>
      </x:c>
      <x:c r="E69" s="32"/>
      <x:c r="F69" s="32" t="n">
        <x:f>A6</x:f>
        <x:v>0</x:v>
      </x:c>
      <x:c r="G69" s="32" t="n">
        <x:f>C6</x:f>
        <x:v>26000</x:v>
      </x:c>
      <x:c r="H69" s="32"/>
      <x:c r="I69" s="32"/>
      <x:c r="J69" s="32"/>
      <x:c r="K69" s="32"/>
      <x:c r="L69" s="32"/>
      <x:c r="M69" s="32"/>
      <x:c r="N69" s="32"/>
    </x:row>
    <x:row r="70">
      <x:c r="A70" s="32" t="n">
        <x:f>A7</x:f>
        <x:v>155.10875760000002</x:v>
      </x:c>
      <x:c r="B70" s="32" t="n">
        <x:f>B7</x:f>
        <x:v>154369.6247643189</x:v>
      </x:c>
      <x:c r="C70" s="32" t="n">
        <x:f>D7</x:f>
        <x:v>3045.9878423456744</x:v>
      </x:c>
      <x:c r="D70" s="32" t="n">
        <x:f>E7</x:f>
        <x:v>6091.975684691349</x:v>
      </x:c>
      <x:c r="E70" s="32"/>
      <x:c r="F70" s="32" t="n">
        <x:f>A7</x:f>
        <x:v>155.10875760000002</x:v>
      </x:c>
      <x:c r="G70" s="32" t="n">
        <x:f>C7</x:f>
        <x:v>26004.461212664428</x:v>
      </x:c>
      <x:c r="H70" s="32"/>
      <x:c r="I70" s="32"/>
      <x:c r="J70" s="32"/>
      <x:c r="K70" s="32"/>
      <x:c r="L70" s="32"/>
      <x:c r="M70" s="32"/>
      <x:c r="N70" s="32"/>
    </x:row>
    <x:row r="71">
      <x:c r="A71" s="32" t="n">
        <x:f>A8</x:f>
        <x:v>307.974492</x:v>
      </x:c>
      <x:c r="B71" s="32" t="n">
        <x:f>B8</x:f>
        <x:v>188295.53791614895</x:v>
      </x:c>
      <x:c r="C71" s="32" t="n">
        <x:f>D8</x:f>
        <x:v>1461.161274893059</x:v>
      </x:c>
      <x:c r="D71" s="32" t="n">
        <x:f>E8</x:f>
        <x:v>2922.322549786118</x:v>
      </x:c>
      <x:c r="E71" s="32"/>
      <x:c r="F71" s="32" t="n">
        <x:f>A8</x:f>
        <x:v>307.974492</x:v>
      </x:c>
      <x:c r="G71" s="32" t="n">
        <x:f>C8</x:f>
        <x:v>26001.011734897667</x:v>
      </x:c>
      <x:c r="H71" s="32"/>
      <x:c r="I71" s="32"/>
      <x:c r="J71" s="32"/>
      <x:c r="K71" s="32"/>
      <x:c r="L71" s="32"/>
      <x:c r="M71" s="32"/>
      <x:c r="N71" s="32"/>
    </x:row>
    <x:row r="72">
      <x:c r="A72" s="32" t="n">
        <x:f>A9</x:f>
        <x:v>460.2227016</x:v>
      </x:c>
      <x:c r="B72" s="32" t="n">
        <x:f>B9</x:f>
        <x:v>222078.4629496525</x:v>
      </x:c>
      <x:c r="C72" s="32" t="n">
        <x:f>D9</x:f>
        <x:v>1712.910460216405</x:v>
      </x:c>
      <x:c r="D72" s="32" t="n">
        <x:f>E9</x:f>
        <x:v>3425.82092043281</x:v>
      </x:c>
      <x:c r="E72" s="32"/>
      <x:c r="F72" s="32" t="n">
        <x:f>A9</x:f>
        <x:v>460.2227016</x:v>
      </x:c>
      <x:c r="G72" s="32" t="n">
        <x:f>C9</x:f>
        <x:v>26001.384783222413</x:v>
      </x:c>
      <x:c r="H72" s="32"/>
      <x:c r="I72" s="32"/>
      <x:c r="J72" s="32"/>
      <x:c r="K72" s="32"/>
      <x:c r="L72" s="32"/>
      <x:c r="M72" s="32"/>
      <x:c r="N72" s="32"/>
    </x:row>
    <x:row r="73">
      <x:c r="A73" s="32" t="n">
        <x:f>A10</x:f>
        <x:v>611.9649432</x:v>
      </x:c>
      <x:c r="B73" s="32" t="n">
        <x:f>B10</x:f>
        <x:v>255741.63319933537</x:v>
      </x:c>
      <x:c r="C73" s="32" t="n">
        <x:f>D10</x:f>
        <x:v>1986.0243471491665</x:v>
      </x:c>
      <x:c r="D73" s="32" t="n">
        <x:f>E10</x:f>
        <x:v>3972.048694298333</x:v>
      </x:c>
      <x:c r="E73" s="32"/>
      <x:c r="F73" s="32" t="n">
        <x:f>A10</x:f>
        <x:v>611.9649432</x:v>
      </x:c>
      <x:c r="G73" s="32" t="n">
        <x:f>C10</x:f>
        <x:v>26001.855392975416</x:v>
      </x:c>
      <x:c r="H73" s="32"/>
      <x:c r="I73" s="32"/>
      <x:c r="J73" s="32"/>
      <x:c r="K73" s="32"/>
      <x:c r="L73" s="32"/>
      <x:c r="M73" s="32"/>
      <x:c r="N73" s="32"/>
    </x:row>
    <x:row r="74">
      <x:c r="A74" s="32" t="n">
        <x:f>A11</x:f>
        <x:v>763.5706344</x:v>
      </x:c>
      <x:c r="B74" s="32" t="n">
        <x:f>B11</x:f>
        <x:v>289363.3695426456</x:v>
      </x:c>
      <x:c r="C74" s="32" t="n">
        <x:f>D11</x:f>
        <x:v>2334.434457092405</x:v>
      </x:c>
      <x:c r="D74" s="32" t="n">
        <x:f>E11</x:f>
        <x:v>4668.86891418481</x:v>
      </x:c>
      <x:c r="E74" s="32"/>
      <x:c r="F74" s="32" t="n">
        <x:f>A11</x:f>
        <x:v>763.5706344</x:v>
      </x:c>
      <x:c r="G74" s="32" t="n">
        <x:f>C11</x:f>
        <x:v>26002.561174391056</x:v>
      </x:c>
      <x:c r="H74" s="32"/>
      <x:c r="I74" s="32"/>
      <x:c r="J74" s="32"/>
      <x:c r="K74" s="32"/>
      <x:c r="L74" s="32"/>
      <x:c r="M74" s="32"/>
      <x:c r="N74" s="32"/>
    </x:row>
    <x:row r="75">
      <x:c r="A75" s="32" t="n">
        <x:f>A12</x:f>
        <x:v>915.4786872000001</x:v>
      </x:c>
      <x:c r="B75" s="32" t="n">
        <x:f>B12</x:f>
        <x:v>323083.07275547064</x:v>
      </x:c>
      <x:c r="C75" s="32" t="n">
        <x:f>D12</x:f>
        <x:v>1131.943624491696</x:v>
      </x:c>
      <x:c r="D75" s="32" t="n">
        <x:f>E12</x:f>
        <x:v>2263.887248983392</x:v>
      </x:c>
      <x:c r="E75" s="32"/>
      <x:c r="F75" s="32" t="n">
        <x:f>A12</x:f>
        <x:v>915.4786872000001</x:v>
      </x:c>
      <x:c r="G75" s="32" t="n">
        <x:f>C12</x:f>
        <x:v>26000.60337966328</x:v>
      </x:c>
      <x:c r="H75" s="32"/>
      <x:c r="I75" s="32"/>
      <x:c r="J75" s="32"/>
      <x:c r="K75" s="32"/>
      <x:c r="L75" s="32"/>
      <x:c r="M75" s="32"/>
      <x:c r="N75" s="32"/>
    </x:row>
    <x:row r="76">
      <x:c r="A76" s="32" t="n">
        <x:f>A13</x:f>
        <x:v>1067.9740896</x:v>
      </x:c>
      <x:c r="B76" s="32" t="n">
        <x:f>B13</x:f>
        <x:v>356915.17598741263</x:v>
      </x:c>
      <x:c r="C76" s="32" t="n">
        <x:f>D13</x:f>
        <x:v>1922.4980265136417</x:v>
      </x:c>
      <x:c r="D76" s="32" t="n">
        <x:f>E13</x:f>
        <x:v>3844.9960530272833</x:v>
      </x:c>
      <x:c r="E76" s="32"/>
      <x:c r="F76" s="32" t="n">
        <x:f>A13</x:f>
        <x:v>1067.9740896</x:v>
      </x:c>
      <x:c r="G76" s="32" t="n">
        <x:f>C13</x:f>
        <x:v>26001.747224985967</x:v>
      </x:c>
      <x:c r="H76" s="32"/>
      <x:c r="I76" s="32"/>
      <x:c r="J76" s="32"/>
      <x:c r="K76" s="32"/>
      <x:c r="L76" s="32"/>
      <x:c r="M76" s="32"/>
      <x:c r="N76" s="32"/>
    </x:row>
    <x:row r="77">
      <x:c r="A77" s="32" t="n">
        <x:f>A14</x:f>
        <x:v>1221.042516</x:v>
      </x:c>
      <x:c r="B77" s="32" t="n">
        <x:f>B14</x:f>
        <x:v>390887.50027428183</x:v>
      </x:c>
      <x:c r="C77" s="32" t="n">
        <x:f>D14</x:f>
        <x:v>1394.2772985072377</x:v>
      </x:c>
      <x:c r="D77" s="32" t="n">
        <x:f>E14</x:f>
        <x:v>2788.5545970144753</x:v>
      </x:c>
      <x:c r="E77" s="32"/>
      <x:c r="F77" s="32" t="n">
        <x:f>A14</x:f>
        <x:v>1221.042516</x:v>
      </x:c>
      <x:c r="G77" s="32" t="n">
        <x:f>C14</x:f>
        <x:v>26000.922452911855</x:v>
      </x:c>
      <x:c r="H77" s="32"/>
      <x:c r="I77" s="32"/>
      <x:c r="J77" s="32"/>
      <x:c r="K77" s="32"/>
      <x:c r="L77" s="32"/>
      <x:c r="M77" s="32"/>
      <x:c r="N77" s="32"/>
    </x:row>
    <x:row r="78">
      <x:c r="A78" s="32" t="n">
        <x:f>A15</x:f>
        <x:v>1374.3773376000001</x:v>
      </x:c>
      <x:c r="B78" s="32" t="n">
        <x:f>B15</x:f>
        <x:v>424896.5556028249</x:v>
      </x:c>
      <x:c r="C78" s="32" t="n">
        <x:f>D15</x:f>
        <x:v>2221.60215796265</x:v>
      </x:c>
      <x:c r="D78" s="32" t="n">
        <x:f>E15</x:f>
        <x:v>4443.2043159253</x:v>
      </x:c>
      <x:c r="E78" s="32"/>
      <x:c r="F78" s="32" t="n">
        <x:f>A15</x:f>
        <x:v>1374.3773376000001</x:v>
      </x:c>
      <x:c r="G78" s="32" t="n">
        <x:f>C15</x:f>
        <x:v>26002.346030454206</x:v>
      </x:c>
      <x:c r="H78" s="32"/>
      <x:c r="I78" s="32"/>
      <x:c r="J78" s="32"/>
      <x:c r="K78" s="32"/>
      <x:c r="L78" s="32"/>
      <x:c r="M78" s="32"/>
      <x:c r="N78" s="32"/>
    </x:row>
    <x:row r="79">
      <x:c r="A79" s="32" t="n">
        <x:f>A16</x:f>
        <x:v>1527.5362896000001</x:v>
      </x:c>
      <x:c r="B79" s="32" t="n">
        <x:f>B16</x:f>
        <x:v>458900.33700830623</x:v>
      </x:c>
      <x:c r="C79" s="32" t="n">
        <x:f>D16</x:f>
        <x:v>651.098429003259</x:v>
      </x:c>
      <x:c r="D79" s="32" t="n">
        <x:f>E16</x:f>
        <x:v>1302.196858006518</x:v>
      </x:c>
      <x:c r="E79" s="32"/>
      <x:c r="F79" s="32" t="n">
        <x:f>A16</x:f>
        <x:v>1527.5362896000001</x:v>
      </x:c>
      <x:c r="G79" s="32" t="n">
        <x:f>C16</x:f>
        <x:v>26000.201277837114</x:v>
      </x:c>
      <x:c r="H79" s="32"/>
      <x:c r="I79" s="32"/>
      <x:c r="J79" s="32"/>
      <x:c r="K79" s="32"/>
      <x:c r="L79" s="32"/>
      <x:c r="M79" s="32"/>
      <x:c r="N79" s="32"/>
    </x:row>
    <x:row r="80">
      <x:c r="A80" s="32" t="n">
        <x:f>A17</x:f>
        <x:v>1565.8667184</x:v>
      </x:c>
      <x:c r="B80" s="32" t="n">
        <x:f>B17</x:f>
        <x:v>467010.8206480392</x:v>
      </x:c>
      <x:c r="C80" s="32" t="n">
        <x:f>D17</x:f>
        <x:v>14625.870276492271</x:v>
      </x:c>
      <x:c r="D80" s="32" t="n">
        <x:f>E17</x:f>
        <x:v>29251.740552984542</x:v>
      </x:c>
      <x:c r="E80" s="32"/>
      <x:c r="F80" s="32" t="n">
        <x:f>A17</x:f>
        <x:v>1565.8667184</x:v>
      </x:c>
      <x:c r="G80" s="32" t="n">
        <x:f>C17</x:f>
        <x:v>26025.418351906752</x:v>
      </x:c>
      <x:c r="H80" s="32"/>
      <x:c r="I80" s="32"/>
      <x:c r="J80" s="32"/>
      <x:c r="K80" s="32"/>
      <x:c r="L80" s="32"/>
      <x:c r="M80" s="32"/>
      <x:c r="N80" s="32"/>
    </x:row>
    <x:row r="81">
      <x:c r="A81" s="32" t="n">
        <x:f>A18</x:f>
        <x:v>1603.5857184000001</x:v>
      </x:c>
      <x:c r="B81" s="32" t="n">
        <x:f>B18</x:f>
        <x:v>475023.9437135505</x:v>
      </x:c>
      <x:c r="C81" s="32" t="n">
        <x:f>D18</x:f>
        <x:v>14018.927722546516</x:v>
      </x:c>
      <x:c r="D81" s="32" t="n">
        <x:f>E18</x:f>
        <x:v>28037.85544509303</x:v>
      </x:c>
      <x:c r="E81" s="32"/>
      <x:c r="F81" s="32" t="n">
        <x:f>A18</x:f>
        <x:v>1603.5857184000001</x:v>
      </x:c>
      <x:c r="G81" s="32" t="n">
        <x:f>C18</x:f>
        <x:v>26022.980000807587</x:v>
      </x:c>
      <x:c r="H81" s="32"/>
      <x:c r="I81" s="32"/>
      <x:c r="J81" s="32"/>
      <x:c r="K81" s="32"/>
      <x:c r="L81" s="32"/>
      <x:c r="M81" s="32"/>
      <x:c r="N81" s="32"/>
    </x:row>
    <x:row r="82">
      <x:c r="A82" s="32" t="n">
        <x:f>A19</x:f>
        <x:v>1640.9209752000002</x:v>
      </x:c>
      <x:c r="B82" s="32" t="n">
        <x:f>B19</x:f>
        <x:v>482983.18016497383</x:v>
      </x:c>
      <x:c r="C82" s="32" t="n">
        <x:f>D19</x:f>
        <x:v>13467.273080777122</x:v>
      </x:c>
      <x:c r="D82" s="32" t="n">
        <x:f>E19</x:f>
        <x:v>26934.546161554244</x:v>
      </x:c>
      <x:c r="E82" s="32"/>
      <x:c r="F82" s="32" t="n">
        <x:f>A19</x:f>
        <x:v>1640.9209752000002</x:v>
      </x:c>
      <x:c r="G82" s="32" t="n">
        <x:f>C19</x:f>
        <x:v>26020.99127179875</x:v>
      </x:c>
      <x:c r="H82" s="32"/>
      <x:c r="I82" s="32"/>
      <x:c r="J82" s="32"/>
      <x:c r="K82" s="32"/>
      <x:c r="L82" s="32"/>
      <x:c r="M82" s="32"/>
      <x:c r="N82" s="32"/>
    </x:row>
    <x:row r="83">
      <x:c r="A83" s="32" t="n">
        <x:f>A20</x:f>
        <x:v>1678.2970752</x:v>
      </x:c>
      <x:c r="B83" s="32" t="n">
        <x:f>B20</x:f>
        <x:v>490967.14040348405</x:v>
      </x:c>
      <x:c r="C83" s="32" t="n">
        <x:f>D20</x:f>
        <x:v>13137.332179016305</x:v>
      </x:c>
      <x:c r="D83" s="32" t="n">
        <x:f>E20</x:f>
        <x:v>26274.66435803261</x:v>
      </x:c>
      <x:c r="E83" s="32"/>
      <x:c r="F83" s="32" t="n">
        <x:f>A20</x:f>
        <x:v>1678.2970752</x:v>
      </x:c>
      <x:c r="G83" s="32" t="n">
        <x:f>C20</x:f>
        <x:v>26019.997173817905</x:v>
      </x:c>
      <x:c r="H83" s="32"/>
      <x:c r="I83" s="32"/>
      <x:c r="J83" s="32"/>
      <x:c r="K83" s="32"/>
      <x:c r="L83" s="32"/>
      <x:c r="M83" s="32"/>
      <x:c r="N83" s="32"/>
    </x:row>
    <x:row r="84">
      <x:c r="A84" s="32" t="n">
        <x:f>A21</x:f>
        <x:v>1716.1166592000002</x:v>
      </x:c>
      <x:c r="B84" s="32" t="n">
        <x:f>B21</x:f>
        <x:v>499038.4189947745</x:v>
      </x:c>
      <x:c r="C84" s="32" t="n">
        <x:f>D21</x:f>
        <x:v>13289.302478170144</x:v>
      </x:c>
      <x:c r="D84" s="32" t="n">
        <x:f>E21</x:f>
        <x:v>26578.60495634029</x:v>
      </x:c>
      <x:c r="E84" s="32"/>
      <x:c r="F84" s="32" t="n">
        <x:f>A21</x:f>
        <x:v>1716.1166592000002</x:v>
      </x:c>
      <x:c r="G84" s="32" t="n">
        <x:f>C21</x:f>
        <x:v>26020.705293761857</x:v>
      </x:c>
      <x:c r="H84" s="32"/>
      <x:c r="I84" s="32"/>
      <x:c r="J84" s="32"/>
      <x:c r="K84" s="32"/>
      <x:c r="L84" s="32"/>
      <x:c r="M84" s="32"/>
      <x:c r="N84" s="32"/>
    </x:row>
    <x:row r="85">
      <x:c r="A85" s="32" t="n">
        <x:f>A22</x:f>
        <x:v>1754.5571208000001</x:v>
      </x:c>
      <x:c r="B85" s="32" t="n">
        <x:f>B22</x:f>
        <x:v>507214.75489862217</x:v>
      </x:c>
      <x:c r="C85" s="32" t="n">
        <x:f>D22</x:f>
        <x:v>13828.652103940169</x:v>
      </x:c>
      <x:c r="D85" s="32" t="n">
        <x:f>E22</x:f>
        <x:v>27657.304207880337</x:v>
      </x:c>
      <x:c r="E85" s="32"/>
      <x:c r="F85" s="32" t="n">
        <x:f>A22</x:f>
        <x:v>1754.5571208000001</x:v>
      </x:c>
      <x:c r="G85" s="32" t="n">
        <x:f>C22</x:f>
        <x:v>26022.788123898168</x:v>
      </x:c>
      <x:c r="H85" s="32"/>
      <x:c r="I85" s="32"/>
      <x:c r="J85" s="32"/>
      <x:c r="K85" s="32"/>
      <x:c r="L85" s="32"/>
      <x:c r="M85" s="32"/>
      <x:c r="N85" s="32"/>
    </x:row>
    <x:row r="86">
      <x:c r="A86" s="32" t="n">
        <x:f>A23</x:f>
        <x:v>1793.4788616</x:v>
      </x:c>
      <x:c r="B86" s="32" t="n">
        <x:f>B23</x:f>
        <x:v>515462.2266916272</x:v>
      </x:c>
      <x:c r="C86" s="32" t="n">
        <x:f>D23</x:f>
        <x:v>14410.724855994376</x:v>
      </x:c>
      <x:c r="D86" s="32" t="n">
        <x:f>E23</x:f>
        <x:v>28821.449711988753</x:v>
      </x:c>
      <x:c r="E86" s="32"/>
      <x:c r="F86" s="32" t="n">
        <x:f>A23</x:f>
        <x:v>1793.4788616</x:v>
      </x:c>
      <x:c r="G86" s="32" t="n">
        <x:f>C23</x:f>
        <x:v>26025.05671796798</x:v>
      </x:c>
      <x:c r="H86" s="32"/>
      <x:c r="I86" s="32"/>
      <x:c r="J86" s="32"/>
      <x:c r="K86" s="32"/>
      <x:c r="L86" s="32"/>
      <x:c r="M86" s="32"/>
      <x:c r="N86" s="32"/>
    </x:row>
    <x:row r="87">
      <x:c r="A87" s="32" t="n">
        <x:f>A24</x:f>
        <x:v>1832.4975288000003</x:v>
      </x:c>
      <x:c r="B87" s="32" t="n">
        <x:f>B24</x:f>
        <x:v>523714.4049053724</x:v>
      </x:c>
      <x:c r="C87" s="32" t="n">
        <x:f>D24</x:f>
        <x:v>14696.276085690224</x:v>
      </x:c>
      <x:c r="D87" s="32" t="n">
        <x:f>E24</x:f>
        <x:v>29392.55217138045</x:v>
      </x:c>
      <x:c r="E87" s="32"/>
      <x:c r="F87" s="32" t="n">
        <x:f>A24</x:f>
        <x:v>1832.4975288000003</x:v>
      </x:c>
      <x:c r="G87" s="32" t="n">
        <x:f>C24</x:f>
        <x:v>26026.12445931618</x:v>
      </x:c>
      <x:c r="H87" s="32"/>
      <x:c r="I87" s="32"/>
      <x:c r="J87" s="32"/>
      <x:c r="K87" s="32"/>
      <x:c r="L87" s="32"/>
      <x:c r="M87" s="32"/>
      <x:c r="N87" s="32"/>
    </x:row>
    <x:row r="88">
      <x:c r="A88" s="32" t="n">
        <x:f>A25</x:f>
        <x:v>1871.1787824</x:v>
      </x:c>
      <x:c r="B88" s="32" t="n">
        <x:f>B25</x:f>
        <x:v>531904.7691480203</x:v>
      </x:c>
      <x:c r="C88" s="32" t="n">
        <x:f>D25</x:f>
        <x:v>14523.257963276968</x:v>
      </x:c>
      <x:c r="D88" s="32" t="n">
        <x:f>E25</x:f>
        <x:v>29046.515926553937</x:v>
      </x:c>
      <x:c r="E88" s="32"/>
      <x:c r="F88" s="32" t="n">
        <x:f>A25</x:f>
        <x:v>1871.1787824</x:v>
      </x:c>
      <x:c r="G88" s="32" t="n">
        <x:f>C25</x:f>
        <x:v>26025.292334640668</x:v>
      </x:c>
      <x:c r="H88" s="32"/>
      <x:c r="I88" s="32"/>
      <x:c r="J88" s="32"/>
      <x:c r="K88" s="32"/>
      <x:c r="L88" s="32"/>
      <x:c r="M88" s="32"/>
      <x:c r="N88" s="32"/>
    </x:row>
    <x:row r="89">
      <x:c r="A89" s="32" t="n">
        <x:f>A26</x:f>
        <x:v>1947.3607992000002</x:v>
      </x:c>
      <x:c r="B89" s="32" t="n">
        <x:f>B26</x:f>
        <x:v>548553.5110684601</x:v>
      </x:c>
      <x:c r="C89" s="32" t="n">
        <x:f>D26</x:f>
        <x:v>8464.771745150709</x:v>
      </x:c>
      <x:c r="D89" s="32" t="n">
        <x:f>E26</x:f>
        <x:v>16929.543490301417</x:v>
      </x:c>
      <x:c r="E89" s="32"/>
      <x:c r="F89" s="32" t="n">
        <x:f>A26</x:f>
        <x:v>1947.3607992000002</x:v>
      </x:c>
      <x:c r="G89" s="32" t="n">
        <x:f>C26</x:f>
        <x:v>26016.921670931075</x:v>
      </x:c>
      <x:c r="H89" s="32"/>
      <x:c r="I89" s="32"/>
      <x:c r="J89" s="32"/>
      <x:c r="K89" s="32"/>
      <x:c r="L89" s="32"/>
      <x:c r="M89" s="32"/>
      <x:c r="N89" s="32"/>
    </x:row>
    <x:row r="90">
      <x:c r="A90" s="32" t="n">
        <x:f>A27</x:f>
        <x:v>2022.9868608</x:v>
      </x:c>
      <x:c r="B90" s="32" t="n">
        <x:f>B27</x:f>
        <x:v>565177.7735507294</x:v>
      </x:c>
      <x:c r="C90" s="32" t="n">
        <x:f>D27</x:f>
        <x:v>6736.03129578184</x:v>
      </x:c>
      <x:c r="D90" s="32" t="n">
        <x:f>E27</x:f>
        <x:v>13472.06259156368</x:v>
      </x:c>
      <x:c r="E90" s="32"/>
      <x:c r="F90" s="32" t="n">
        <x:f>A27</x:f>
        <x:v>2022.9868608</x:v>
      </x:c>
      <x:c r="G90" s="32" t="n">
        <x:f>C27</x:f>
        <x:v>26010.637509295997</x:v>
      </x:c>
      <x:c r="H90" s="32"/>
      <x:c r="I90" s="32"/>
      <x:c r="J90" s="32"/>
      <x:c r="K90" s="32"/>
      <x:c r="L90" s="32"/>
      <x:c r="M90" s="32"/>
      <x:c r="N90" s="32"/>
    </x:row>
    <x:row r="91">
      <x:c r="A91" s="32" t="n">
        <x:f>A28</x:f>
        <x:v>2098.3837128</x:v>
      </x:c>
      <x:c r="B91" s="32" t="n">
        <x:f>B28</x:f>
        <x:v>581757.977354576</x:v>
      </x:c>
      <x:c r="C91" s="32" t="n">
        <x:f>D28</x:f>
        <x:v>6607.2154035717995</x:v>
      </x:c>
      <x:c r="D91" s="32" t="n">
        <x:f>E28</x:f>
        <x:v>13214.430807143599</x:v>
      </x:c>
      <x:c r="E91" s="32"/>
      <x:c r="F91" s="32" t="n">
        <x:f>A28</x:f>
        <x:v>2098.3837128</x:v>
      </x:c>
      <x:c r="G91" s="32" t="n">
        <x:f>C28</x:f>
        <x:v>26010.203529410333</x:v>
      </x:c>
      <x:c r="H91" s="32"/>
      <x:c r="I91" s="32"/>
      <x:c r="J91" s="32"/>
      <x:c r="K91" s="32"/>
      <x:c r="L91" s="32"/>
      <x:c r="M91" s="32"/>
      <x:c r="N91" s="32"/>
    </x:row>
    <x:row r="92">
      <x:c r="A92" s="32" t="n">
        <x:f>A29</x:f>
        <x:v>2173.9945344000002</x:v>
      </x:c>
      <x:c r="B92" s="32" t="n">
        <x:f>B29</x:f>
        <x:v>598394.2715607802</x:v>
      </x:c>
      <x:c r="C92" s="32" t="n">
        <x:f>D29</x:f>
        <x:v>6419.267007502434</x:v>
      </x:c>
      <x:c r="D92" s="32" t="n">
        <x:f>E29</x:f>
        <x:v>12838.534015004869</x:v>
      </x:c>
      <x:c r="E92" s="32"/>
      <x:c r="F92" s="32" t="n">
        <x:f>A29</x:f>
        <x:v>2173.9945344000002</x:v>
      </x:c>
      <x:c r="G92" s="32" t="n">
        <x:f>C29</x:f>
        <x:v>26009.65862075928</x:v>
      </x:c>
      <x:c r="H92" s="32"/>
      <x:c r="I92" s="32"/>
      <x:c r="J92" s="32"/>
      <x:c r="K92" s="32"/>
      <x:c r="L92" s="32"/>
      <x:c r="M92" s="32"/>
      <x:c r="N92" s="32"/>
    </x:row>
    <x:row r="93">
      <x:c r="A93" s="32" t="n">
        <x:f>A30</x:f>
        <x:v>2250.1543008</x:v>
      </x:c>
      <x:c r="B93" s="32" t="n">
        <x:f>B30</x:f>
        <x:v>615162.8034411283</x:v>
      </x:c>
      <x:c r="C93" s="32" t="n">
        <x:f>D30</x:f>
        <x:v>6174.609456279386</x:v>
      </x:c>
      <x:c r="D93" s="32" t="n">
        <x:f>E30</x:f>
        <x:v>12349.218912558772</x:v>
      </x:c>
      <x:c r="E93" s="32"/>
      <x:c r="F93" s="32" t="n">
        <x:f>A30</x:f>
        <x:v>2250.1543008</x:v>
      </x:c>
      <x:c r="G93" s="32" t="n">
        <x:f>C30</x:f>
        <x:v>26009.00129233928</x:v>
      </x:c>
      <x:c r="H93" s="32"/>
      <x:c r="I93" s="32"/>
      <x:c r="J93" s="32"/>
      <x:c r="K93" s="32"/>
      <x:c r="L93" s="32"/>
      <x:c r="M93" s="32"/>
      <x:c r="N93" s="32"/>
    </x:row>
    <x:row r="94">
      <x:c r="A94" s="32" t="n">
        <x:f>A31</x:f>
        <x:v>2326.9172664000002</x:v>
      </x:c>
      <x:c r="B94" s="32" t="n">
        <x:f>B31</x:f>
        <x:v>632077.6149666572</x:v>
      </x:c>
      <x:c r="C94" s="32" t="n">
        <x:f>D31</x:f>
        <x:v>5876.344539699765</x:v>
      </x:c>
      <x:c r="D94" s="32" t="n">
        <x:f>E31</x:f>
        <x:v>11752.68907939953</x:v>
      </x:c>
      <x:c r="E94" s="32"/>
      <x:c r="F94" s="32" t="n">
        <x:f>A31</x:f>
        <x:v>2326.9172664000002</x:v>
      </x:c>
      <x:c r="G94" s="32" t="n">
        <x:f>C31</x:f>
        <x:v>26008.217250436443</x:v>
      </x:c>
      <x:c r="H94" s="32"/>
      <x:c r="I94" s="32"/>
      <x:c r="J94" s="32"/>
      <x:c r="K94" s="32"/>
      <x:c r="L94" s="32"/>
      <x:c r="M94" s="32"/>
      <x:c r="N94" s="32"/>
    </x:row>
    <x:row r="95">
      <x:c r="A95" s="32" t="n">
        <x:f>A32</x:f>
        <x:v>2404.030752</x:v>
      </x:c>
      <x:c r="B95" s="32" t="n">
        <x:f>B32</x:f>
        <x:v>649084.5607830377</x:v>
      </x:c>
      <x:c r="C95" s="32" t="n">
        <x:f>D32</x:f>
        <x:v>5529.406533740687</x:v>
      </x:c>
      <x:c r="D95" s="32" t="n">
        <x:f>E32</x:f>
        <x:v>11058.813067481375</x:v>
      </x:c>
      <x:c r="E95" s="32"/>
      <x:c r="F95" s="32" t="n">
        <x:f>A32</x:f>
        <x:v>2404.030752</x:v>
      </x:c>
      <x:c r="G95" s="32" t="n">
        <x:f>C32</x:f>
        <x:v>26007.308826505054</x:v>
      </x:c>
      <x:c r="H95" s="32"/>
      <x:c r="I95" s="32"/>
      <x:c r="J95" s="32"/>
      <x:c r="K95" s="32"/>
      <x:c r="L95" s="32"/>
      <x:c r="M95" s="32"/>
      <x:c r="N95" s="32"/>
    </x:row>
    <x:row r="96">
      <x:c r="A96" s="32" t="n">
        <x:f>A33</x:f>
        <x:v>2481.0637704</x:v>
      </x:c>
      <x:c r="B96" s="32" t="n">
        <x:f>B33</x:f>
        <x:v>666089.5530951733</x:v>
      </x:c>
      <x:c r="C96" s="32" t="n">
        <x:f>D33</x:f>
        <x:v>5135.638179379317</x:v>
      </x:c>
      <x:c r="D96" s="32" t="n">
        <x:f>E33</x:f>
        <x:v>10271.276358758634</x:v>
      </x:c>
      <x:c r="E96" s="32"/>
      <x:c r="F96" s="32" t="n">
        <x:f>A33</x:f>
        <x:v>2481.0637704</x:v>
      </x:c>
      <x:c r="G96" s="32" t="n">
        <x:f>C33</x:f>
        <x:v>26006.298338951598</x:v>
      </x:c>
      <x:c r="H96" s="32"/>
      <x:c r="I96" s="32"/>
      <x:c r="J96" s="32"/>
      <x:c r="K96" s="32"/>
      <x:c r="L96" s="32"/>
      <x:c r="M96" s="32"/>
      <x:c r="N96" s="32"/>
    </x:row>
    <x:row r="97">
      <x:c r="A97" s="32" t="n">
        <x:f>A34</x:f>
        <x:v>2557.6252632</x:v>
      </x:c>
      <x:c r="B97" s="32" t="n">
        <x:f>B34</x:f>
        <x:v>683006.0673463177</x:v>
      </x:c>
      <x:c r="C97" s="32" t="n">
        <x:f>D34</x:f>
        <x:v>4711.485253484027</x:v>
      </x:c>
      <x:c r="D97" s="32" t="n">
        <x:f>E34</x:f>
        <x:v>9422.970506968055</x:v>
      </x:c>
      <x:c r="E97" s="32"/>
      <x:c r="F97" s="32" t="n">
        <x:f>A34</x:f>
        <x:v>2557.6252632</x:v>
      </x:c>
      <x:c r="G97" s="32" t="n">
        <x:f>C34</x:f>
        <x:v>26005.268492196028</x:v>
      </x:c>
      <x:c r="H97" s="32"/>
      <x:c r="I97" s="32"/>
      <x:c r="J97" s="32"/>
      <x:c r="K97" s="32"/>
      <x:c r="L97" s="32"/>
      <x:c r="M97" s="32"/>
      <x:c r="N97" s="32"/>
    </x:row>
    <x:row r="98">
      <x:c r="A98" s="32" t="n">
        <x:f>A35</x:f>
        <x:v>2633.5658784</x:v>
      </x:c>
      <x:c r="B98" s="32" t="n">
        <x:f>B35</x:f>
        <x:v>699800.3995342111</x:v>
      </x:c>
      <x:c r="C98" s="32" t="n">
        <x:f>D35</x:f>
        <x:v>4260.430722586636</x:v>
      </x:c>
      <x:c r="D98" s="32" t="n">
        <x:f>E35</x:f>
        <x:v>8520.861445173272</x:v>
      </x:c>
      <x:c r="E98" s="32"/>
      <x:c r="F98" s="32" t="n">
        <x:f>A35</x:f>
        <x:v>2633.5658784</x:v>
      </x:c>
      <x:c r="G98" s="32" t="n">
        <x:f>C35</x:f>
        <x:v>26004.273083728775</x:v>
      </x:c>
      <x:c r="H98" s="32"/>
      <x:c r="I98" s="32"/>
      <x:c r="J98" s="32"/>
      <x:c r="K98" s="32"/>
      <x:c r="L98" s="32"/>
      <x:c r="M98" s="32"/>
      <x:c r="N98" s="32"/>
    </x:row>
    <x:row r="99">
      <x:c r="A99" s="32" t="n">
        <x:f>A36</x:f>
        <x:v>2709.0514272</x:v>
      </x:c>
      <x:c r="B99" s="32" t="n">
        <x:f>B36</x:f>
        <x:v>716507.5171333092</x:v>
      </x:c>
      <x:c r="C99" s="32" t="n">
        <x:f>D36</x:f>
        <x:v>3809.012087543358</x:v>
      </x:c>
      <x:c r="D99" s="32" t="n">
        <x:f>E36</x:f>
        <x:v>7618.024175086716</x:v>
      </x:c>
      <x:c r="E99" s="32"/>
      <x:c r="F99" s="32" t="n">
        <x:f>A36</x:f>
        <x:v>2709.0514272</x:v>
      </x:c>
      <x:c r="G99" s="32" t="n">
        <x:f>C36</x:f>
        <x:v>26003.395070480972</x:v>
      </x:c>
      <x:c r="H99" s="32"/>
      <x:c r="I99" s="32"/>
      <x:c r="J99" s="32"/>
      <x:c r="K99" s="32"/>
      <x:c r="L99" s="32"/>
      <x:c r="M99" s="32"/>
      <x:c r="N99" s="32"/>
    </x:row>
    <x:row r="100">
      <x:c r="A100" s="32" t="n">
        <x:f>A37</x:f>
        <x:v>2784.480588</x:v>
      </x:c>
      <x:c r="B100" s="32" t="n">
        <x:f>B37</x:f>
        <x:v>733213.5635852496</x:v>
      </x:c>
      <x:c r="C100" s="32" t="n">
        <x:f>D37</x:f>
        <x:v>3377.9059561717727</x:v>
      </x:c>
      <x:c r="D100" s="32" t="n">
        <x:f>E37</x:f>
        <x:v>6755.811912343545</x:v>
      </x:c>
      <x:c r="E100" s="32"/>
      <x:c r="F100" s="32" t="n">
        <x:f>A37</x:f>
        <x:v>2784.480588</x:v>
      </x:c>
      <x:c r="G100" s="32" t="n">
        <x:f>C37</x:f>
        <x:v>26002.66805427811</x:v>
      </x:c>
      <x:c r="H100" s="32"/>
      <x:c r="I100" s="32"/>
      <x:c r="J100" s="32"/>
      <x:c r="K100" s="32"/>
      <x:c r="L100" s="32"/>
      <x:c r="M100" s="32"/>
      <x:c r="N100" s="32"/>
    </x:row>
    <x:row r="101">
      <x:c r="A101" s="32" t="n">
        <x:f>A38</x:f>
        <x:v>2860.2800807999997</x:v>
      </x:c>
      <x:c r="B101" s="32" t="n">
        <x:f>B38</x:f>
        <x:v>750010.9735344269</x:v>
      </x:c>
      <x:c r="C101" s="32" t="n">
        <x:f>D38</x:f>
        <x:v>2980.8684489930993</x:v>
      </x:c>
      <x:c r="D101" s="32" t="n">
        <x:f>E38</x:f>
        <x:v>5961.7368979861985</x:v>
      </x:c>
      <x:c r="E101" s="32"/>
      <x:c r="F101" s="32" t="n">
        <x:f>A38</x:f>
        <x:v>2860.2800807999997</x:v>
      </x:c>
      <x:c r="G101" s="32" t="n">
        <x:f>C38</x:f>
        <x:v>26002.087912028153</x:v>
      </x:c>
      <x:c r="H101" s="32"/>
      <x:c r="I101" s="32"/>
      <x:c r="J101" s="32"/>
      <x:c r="K101" s="32"/>
      <x:c r="L101" s="32"/>
      <x:c r="M101" s="32"/>
      <x:c r="N101" s="32"/>
    </x:row>
    <x:row r="102">
      <x:c r="A102" s="32" t="n">
        <x:f>A39</x:f>
        <x:v>2936.688564</x:v>
      </x:c>
      <x:c r="B102" s="32" t="n">
        <x:f>B39</x:f>
        <x:v>766951.240161732</x:v>
      </x:c>
      <x:c r="C102" s="32" t="n">
        <x:f>D39</x:f>
        <x:v>2601.355278029806</x:v>
      </x:c>
      <x:c r="D102" s="32" t="n">
        <x:f>E39</x:f>
        <x:v>5202.710556059612</x:v>
      </x:c>
      <x:c r="E102" s="32"/>
      <x:c r="F102" s="32" t="n">
        <x:f>A39</x:f>
        <x:v>2936.688564</x:v>
      </x:c>
      <x:c r="G102" s="32" t="n">
        <x:f>C39</x:f>
        <x:v>26001.6028806786</x:v>
      </x:c>
      <x:c r="H102" s="32"/>
      <x:c r="I102" s="32"/>
      <x:c r="J102" s="32"/>
      <x:c r="K102" s="32"/>
      <x:c r="L102" s="32"/>
      <x:c r="M102" s="32"/>
      <x:c r="N102" s="32"/>
    </x:row>
    <x:row r="103">
      <x:c r="A103" s="32" t="n">
        <x:f>A40</x:f>
        <x:v>3013.6334952</x:v>
      </x:c>
      <x:c r="B103" s="32" t="n">
        <x:f>B40</x:f>
        <x:v>784017.5061779759</x:v>
      </x:c>
      <x:c r="C103" s="32" t="n">
        <x:f>D40</x:f>
        <x:v>2210.464287905019</x:v>
      </x:c>
      <x:c r="D103" s="32" t="n">
        <x:f>E40</x:f>
        <x:v>4420.928575810038</x:v>
      </x:c>
      <x:c r="E103" s="32"/>
      <x:c r="F103" s="32" t="n">
        <x:f>A40</x:f>
        <x:v>3013.6334952</x:v>
      </x:c>
      <x:c r="G103" s="32" t="n">
        <x:f>C40</x:f>
        <x:v>26001.165486634298</x:v>
      </x:c>
      <x:c r="H103" s="32"/>
      <x:c r="I103" s="32"/>
      <x:c r="J103" s="32"/>
      <x:c r="K103" s="32"/>
      <x:c r="L103" s="32"/>
      <x:c r="M103" s="32"/>
      <x:c r="N103" s="32"/>
    </x:row>
    <x:row r="104">
      <x:c r="A104" s="32" t="n">
        <x:f>A41</x:f>
        <x:v>3090.7698408</x:v>
      </x:c>
      <x:c r="B104" s="32" t="n">
        <x:f>B41</x:f>
        <x:v>801132.0373323669</x:v>
      </x:c>
      <x:c r="C104" s="32" t="n">
        <x:f>D41</x:f>
        <x:v>1828.4835133349245</x:v>
      </x:c>
      <x:c r="D104" s="32" t="n">
        <x:f>E41</x:f>
        <x:v>3656.967026669849</x:v>
      </x:c>
      <x:c r="E104" s="32"/>
      <x:c r="F104" s="32" t="n">
        <x:f>A41</x:f>
        <x:v>3090.7698408</x:v>
      </x:c>
      <x:c r="G104" s="32" t="n">
        <x:f>C41</x:f>
        <x:v>26000.79946864166</x:v>
      </x:c>
      <x:c r="H104" s="32"/>
      <x:c r="I104" s="32"/>
      <x:c r="J104" s="32"/>
      <x:c r="K104" s="32"/>
      <x:c r="L104" s="32"/>
      <x:c r="M104" s="32"/>
      <x:c r="N104" s="32"/>
    </x:row>
    <x:row r="105">
      <x:c r="A105" s="32" t="n">
        <x:f>A42</x:f>
        <x:v>3167.6544215999998</x:v>
      </x:c>
      <x:c r="B105" s="32" t="n">
        <x:f>B42</x:f>
        <x:v>818190.9258303377</x:v>
      </x:c>
      <x:c r="C105" s="32" t="n">
        <x:f>D42</x:f>
        <x:v>1812.5797754308658</x:v>
      </x:c>
      <x:c r="D105" s="32" t="n">
        <x:f>E42</x:f>
        <x:v>3625.1595508617315</x:v>
      </x:c>
      <x:c r="E105" s="32"/>
      <x:c r="F105" s="32" t="n">
        <x:f>A42</x:f>
        <x:v>3167.6544215999998</x:v>
      </x:c>
      <x:c r="G105" s="32" t="n">
        <x:f>C42</x:f>
        <x:v>26000.78305773989</x:v>
      </x:c>
      <x:c r="H105" s="32"/>
      <x:c r="I105" s="32"/>
      <x:c r="J105" s="32"/>
      <x:c r="K105" s="32"/>
      <x:c r="L105" s="32"/>
      <x:c r="M105" s="32"/>
      <x:c r="N105" s="32"/>
    </x:row>
    <x:row r="106">
      <x:c r="A106" s="32" t="n">
        <x:f>A43</x:f>
        <x:v>3243.9723792</x:v>
      </x:c>
      <x:c r="B106" s="32" t="n">
        <x:f>B43</x:f>
        <x:v>835118.0075327385</x:v>
      </x:c>
      <x:c r="C106" s="32" t="n">
        <x:f>D43</x:f>
        <x:v>2217.891733412791</x:v>
      </x:c>
      <x:c r="D106" s="32" t="n">
        <x:f>E43</x:f>
        <x:v>4435.783466825582</x:v>
      </x:c>
      <x:c r="E106" s="32"/>
      <x:c r="F106" s="32" t="n">
        <x:f>A43</x:f>
        <x:v>3243.9723792</x:v>
      </x:c>
      <x:c r="G106" s="32" t="n">
        <x:f>C43</x:f>
        <x:v>26001.163771452902</x:v>
      </x:c>
      <x:c r="H106" s="32"/>
      <x:c r="I106" s="32"/>
      <x:c r="J106" s="32"/>
      <x:c r="K106" s="32"/>
      <x:c r="L106" s="32"/>
      <x:c r="M106" s="32"/>
      <x:c r="N106" s="32"/>
    </x:row>
    <x:row r="107">
      <x:c r="A107" s="32" t="n">
        <x:f>A44</x:f>
        <x:v>3319.6978056000003</x:v>
      </x:c>
      <x:c r="B107" s="32" t="n">
        <x:f>B44</x:f>
        <x:v>851906.0400679975</x:v>
      </x:c>
      <x:c r="C107" s="32" t="n">
        <x:f>D44</x:f>
        <x:v>2642.4110592528173</x:v>
      </x:c>
      <x:c r="D107" s="32" t="n">
        <x:f>E44</x:f>
        <x:v>5284.8221185056345</x:v>
      </x:c>
      <x:c r="E107" s="32"/>
      <x:c r="F107" s="32" t="n">
        <x:f>A44</x:f>
        <x:v>3319.6978056000003</x:v>
      </x:c>
      <x:c r="G107" s="32" t="n">
        <x:f>C44</x:f>
        <x:v>26001.63908984706</x:v>
      </x:c>
      <x:c r="H107" s="32"/>
      <x:c r="I107" s="32"/>
      <x:c r="J107" s="32"/>
      <x:c r="K107" s="32"/>
      <x:c r="L107" s="32"/>
      <x:c r="M107" s="32"/>
      <x:c r="N107" s="32"/>
    </x:row>
    <x:row r="108">
      <x:c r="A108" s="32" t="n">
        <x:f>A45</x:f>
        <x:v>3395.1068496000003</x:v>
      </x:c>
      <x:c r="B108" s="32" t="n">
        <x:f>B45</x:f>
        <x:v>868616.94718898</x:v>
      </x:c>
      <x:c r="C108" s="32" t="n">
        <x:f>D45</x:f>
        <x:v>2979.8716159706937</x:v>
      </x:c>
      <x:c r="D108" s="32" t="n">
        <x:f>E45</x:f>
        <x:v>5959.743231941387</x:v>
      </x:c>
      <x:c r="E108" s="32"/>
      <x:c r="F108" s="32" t="n">
        <x:f>A45</x:f>
        <x:v>3395.1068496000003</x:v>
      </x:c>
      <x:c r="G108" s="32" t="n">
        <x:f>C45</x:f>
        <x:v>26002.075768025694</x:v>
      </x:c>
      <x:c r="H108" s="32"/>
      <x:c r="I108" s="32"/>
      <x:c r="J108" s="32"/>
      <x:c r="K108" s="32"/>
      <x:c r="L108" s="32"/>
      <x:c r="M108" s="32"/>
      <x:c r="N108" s="32"/>
    </x:row>
    <x:row r="109">
      <x:c r="A109" s="32" t="n">
        <x:f>A46</x:f>
        <x:v>3470.6368992</x:v>
      </x:c>
      <x:c r="B109" s="32" t="n">
        <x:f>B46</x:f>
        <x:v>885348.6982656334</x:v>
      </x:c>
      <x:c r="C109" s="32" t="n">
        <x:f>D46</x:f>
        <x:v>3240.2265772593487</x:v>
      </x:c>
      <x:c r="D109" s="32" t="n">
        <x:f>E46</x:f>
        <x:v>6480.453154518697</x:v>
      </x:c>
      <x:c r="E109" s="32"/>
      <x:c r="F109" s="32" t="n">
        <x:f>A46</x:f>
        <x:v>3470.6368992</x:v>
      </x:c>
      <x:c r="G109" s="32" t="n">
        <x:f>C46</x:f>
        <x:v>26002.458276931404</x:v>
      </x:c>
      <x:c r="H109" s="32"/>
      <x:c r="I109" s="32"/>
      <x:c r="J109" s="32"/>
      <x:c r="K109" s="32"/>
      <x:c r="L109" s="32"/>
      <x:c r="M109" s="32"/>
      <x:c r="N109" s="32"/>
    </x:row>
    <x:row r="110">
      <x:c r="A110" s="32" t="n">
        <x:f>A47</x:f>
        <x:v>3546.6631632</x:v>
      </x:c>
      <x:c r="B110" s="32" t="n">
        <x:f>B47</x:f>
        <x:v>902184.4548048641</x:v>
      </x:c>
      <x:c r="C110" s="32" t="n">
        <x:f>D47</x:f>
        <x:v>3477.5866978427607</x:v>
      </x:c>
      <x:c r="D110" s="32" t="n">
        <x:f>E47</x:f>
        <x:v>6955.173395685521</x:v>
      </x:c>
      <x:c r="E110" s="32"/>
      <x:c r="F110" s="32" t="n">
        <x:f>A47</x:f>
        <x:v>3546.6631632</x:v>
      </x:c>
      <x:c r="G110" s="32" t="n">
        <x:f>C47</x:f>
        <x:v>26002.850229674583</x:v>
      </x:c>
      <x:c r="H110" s="32"/>
      <x:c r="I110" s="32"/>
      <x:c r="J110" s="32"/>
      <x:c r="K110" s="32"/>
      <x:c r="L110" s="32"/>
      <x:c r="M110" s="32"/>
      <x:c r="N110" s="32"/>
    </x:row>
    <x:row r="111">
      <x:c r="A111" s="32" t="n">
        <x:f>A48</x:f>
        <x:v>3623.3087808</x:v>
      </x:c>
      <x:c r="B111" s="32" t="n">
        <x:f>B48</x:f>
        <x:v>919150.4032984045</x:v>
      </x:c>
      <x:c r="C111" s="32" t="n">
        <x:f>D48</x:f>
        <x:v>3735.52973462342</x:v>
      </x:c>
      <x:c r="D111" s="32" t="n">
        <x:f>E48</x:f>
        <x:v>7471.05946924684</x:v>
      </x:c>
      <x:c r="E111" s="32"/>
      <x:c r="F111" s="32" t="n">
        <x:f>A48</x:f>
        <x:v>3623.3087808</x:v>
      </x:c>
      <x:c r="G111" s="32" t="n">
        <x:f>C48</x:f>
        <x:v>26003.315522652934</x:v>
      </x:c>
      <x:c r="H111" s="32"/>
      <x:c r="I111" s="32"/>
      <x:c r="J111" s="32"/>
      <x:c r="K111" s="32"/>
      <x:c r="L111" s="32"/>
      <x:c r="M111" s="32"/>
      <x:c r="N111" s="32"/>
    </x:row>
    <x:row r="112">
      <x:c r="A112" s="32" t="n">
        <x:f>A49</x:f>
        <x:v>3700.3805088</x:v>
      </x:c>
      <x:c r="B112" s="32" t="n">
        <x:f>B49</x:f>
        <x:v>936201.9429977234</x:v>
      </x:c>
      <x:c r="C112" s="32" t="n">
        <x:f>D49</x:f>
        <x:v>4034.182554764465</x:v>
      </x:c>
      <x:c r="D112" s="32" t="n">
        <x:f>E49</x:f>
        <x:v>8068.36510952893</x:v>
      </x:c>
      <x:c r="E112" s="32"/>
      <x:c r="F112" s="32" t="n">
        <x:f>A49</x:f>
        <x:v>3700.3805088</x:v>
      </x:c>
      <x:c r="G112" s="32" t="n">
        <x:f>C49</x:f>
        <x:v>26003.888359995275</x:v>
      </x:c>
      <x:c r="H112" s="32"/>
      <x:c r="I112" s="32"/>
      <x:c r="J112" s="32"/>
      <x:c r="K112" s="32"/>
      <x:c r="L112" s="32"/>
      <x:c r="M112" s="32"/>
      <x:c r="N112" s="32"/>
    </x:row>
    <x:row r="113">
      <x:c r="A113" s="32" t="n">
        <x:f>A50</x:f>
        <x:v>3777.4683912</x:v>
      </x:c>
      <x:c r="B113" s="32" t="n">
        <x:f>B50</x:f>
        <x:v>953247.3732166202</x:v>
      </x:c>
      <x:c r="C113" s="32" t="n">
        <x:f>D50</x:f>
        <x:v>4341.399783443597</x:v>
      </x:c>
      <x:c r="D113" s="32" t="n">
        <x:f>E50</x:f>
        <x:v>8682.799566887194</x:v>
      </x:c>
      <x:c r="E113" s="32"/>
      <x:c r="F113" s="32" t="n">
        <x:f>A50</x:f>
        <x:v>3777.4683912</x:v>
      </x:c>
      <x:c r="G113" s="32" t="n">
        <x:f>C50</x:f>
        <x:v>26004.50407851295</x:v>
      </x:c>
      <x:c r="H113" s="32"/>
      <x:c r="I113" s="32"/>
      <x:c r="J113" s="32"/>
      <x:c r="K113" s="32"/>
      <x:c r="L113" s="32"/>
      <x:c r="M113" s="32"/>
      <x:c r="N113" s="32"/>
    </x:row>
    <x:row r="114">
      <x:c r="A114" s="32" t="n">
        <x:f>A51</x:f>
        <x:v>3854.1542424</x:v>
      </x:c>
      <x:c r="B114" s="32" t="n">
        <x:f>B51</x:f>
        <x:v>970194.0804175219</x:v>
      </x:c>
      <x:c r="C114" s="32" t="n">
        <x:f>D51</x:f>
        <x:v>4633.867599663519</x:v>
      </x:c>
      <x:c r="D114" s="32" t="n">
        <x:f>E51</x:f>
        <x:v>9267.735199327039</x:v>
      </x:c>
      <x:c r="E114" s="32"/>
      <x:c r="F114" s="32" t="n">
        <x:f>A51</x:f>
        <x:v>3854.1542424</x:v>
      </x:c>
      <x:c r="G114" s="32" t="n">
        <x:f>C51</x:f>
        <x:v>26005.10461227198</x:v>
      </x:c>
      <x:c r="H114" s="32"/>
      <x:c r="I114" s="32"/>
      <x:c r="J114" s="32"/>
      <x:c r="K114" s="32"/>
      <x:c r="L114" s="32"/>
      <x:c r="M114" s="32"/>
      <x:c r="N114" s="32"/>
    </x:row>
    <x:row r="115">
      <x:c r="A115" s="32" t="n">
        <x:f>A52</x:f>
        <x:v>3930.2240928</x:v>
      </x:c>
      <x:c r="B115" s="32" t="n">
        <x:f>B52</x:f>
        <x:v>986995.911058625</x:v>
      </x:c>
      <x:c r="C115" s="32" t="n">
        <x:f>D52</x:f>
        <x:v>4881.413205013298</x:v>
      </x:c>
      <x:c r="D115" s="32" t="n">
        <x:f>E52</x:f>
        <x:v>9762.826410026595</x:v>
      </x:c>
      <x:c r="E115" s="32"/>
      <x:c r="F115" s="32" t="n">
        <x:f>A52</x:f>
        <x:v>3930.2240928</x:v>
      </x:c>
      <x:c r="G115" s="32" t="n">
        <x:f>C52</x:f>
        <x:v>26005.619064036895</x:v>
      </x:c>
      <x:c r="H115" s="32"/>
      <x:c r="I115" s="32"/>
      <x:c r="J115" s="32"/>
      <x:c r="K115" s="32"/>
      <x:c r="L115" s="32"/>
      <x:c r="M115" s="32"/>
      <x:c r="N115" s="32"/>
    </x:row>
    <x:row r="116">
      <x:c r="A116" s="32" t="n">
        <x:f>A53</x:f>
        <x:v>4005.779136</x:v>
      </x:c>
      <x:c r="B116" s="32" t="n">
        <x:f>B53</x:f>
        <x:v>1003676.8408510318</x:v>
      </x:c>
      <x:c r="C116" s="32" t="n">
        <x:f>D53</x:f>
        <x:v>5077.246908811857</x:v>
      </x:c>
      <x:c r="D116" s="32" t="n">
        <x:f>E53</x:f>
        <x:v>10154.493817623714</x:v>
      </x:c>
      <x:c r="E116" s="32"/>
      <x:c r="F116" s="32" t="n">
        <x:f>A53</x:f>
        <x:v>4005.779136</x:v>
      </x:c>
      <x:c r="G116" s="32" t="n">
        <x:f>C53</x:f>
        <x:v>26006.037821950726</x:v>
      </x:c>
      <x:c r="H116" s="32"/>
      <x:c r="I116" s="32"/>
      <x:c r="J116" s="32"/>
      <x:c r="K116" s="32"/>
      <x:c r="L116" s="32"/>
      <x:c r="M116" s="32"/>
      <x:c r="N116" s="32"/>
    </x:row>
    <x:row r="117">
      <x:c r="A117" s="32" t="n">
        <x:f>A54</x:f>
        <x:v>4081.1817792</x:v>
      </x:c>
      <x:c r="B117" s="32" t="n">
        <x:f>B54</x:f>
        <x:v>1020318.5401385546</x:v>
      </x:c>
      <x:c r="C117" s="32" t="n">
        <x:f>D54</x:f>
        <x:v>5224.495357305971</x:v>
      </x:c>
      <x:c r="D117" s="32" t="n">
        <x:f>E54</x:f>
        <x:v>10448.990714611942</x:v>
      </x:c>
      <x:c r="E117" s="32"/>
      <x:c r="F117" s="32" t="n">
        <x:f>A54</x:f>
        <x:v>4081.1817792</x:v>
      </x:c>
      <x:c r="G117" s="32" t="n">
        <x:f>C54</x:f>
        <x:v>26006.380218342303</x:v>
      </x:c>
      <x:c r="H117" s="32"/>
      <x:c r="I117" s="32"/>
      <x:c r="J117" s="32"/>
      <x:c r="K117" s="32"/>
      <x:c r="L117" s="32"/>
      <x:c r="M117" s="32"/>
      <x:c r="N117" s="32"/>
    </x:row>
    <x:row r="118">
      <x:c r="A118" s="32" t="n">
        <x:f>A55</x:f>
        <x:v>4156.8727632</x:v>
      </x:c>
      <x:c r="B118" s="32" t="n">
        <x:f>B55</x:f>
        <x:v>1037019.7969557836</x:v>
      </x:c>
      <x:c r="C118" s="32" t="n">
        <x:f>D55</x:f>
        <x:v>5329.133078724494</x:v>
      </x:c>
      <x:c r="D118" s="32" t="n">
        <x:f>E55</x:f>
        <x:v>10658.266157448988</x:v>
      </x:c>
      <x:c r="E118" s="32"/>
      <x:c r="F118" s="32" t="n">
        <x:f>A55</x:f>
        <x:v>4156.8727632</x:v>
      </x:c>
      <x:c r="G118" s="32" t="n">
        <x:f>C55</x:f>
        <x:v>26006.663732550864</x:v>
      </x:c>
      <x:c r="H118" s="32"/>
      <x:c r="I118" s="32"/>
      <x:c r="J118" s="32"/>
      <x:c r="K118" s="32"/>
      <x:c r="L118" s="32"/>
      <x:c r="M118" s="32"/>
      <x:c r="N118" s="32"/>
    </x:row>
    <x:row r="119">
      <x:c r="A119" s="32" t="n">
        <x:f>A56</x:f>
        <x:v>4233.1456104</x:v>
      </x:c>
      <x:c r="B119" s="32" t="n">
        <x:f>B56</x:f>
        <x:v>1053846.4739392952</x:v>
      </x:c>
      <x:c r="C119" s="32" t="n">
        <x:f>D56</x:f>
        <x:v>5403.408250563843</x:v>
      </x:c>
      <x:c r="D119" s="32" t="n">
        <x:f>E56</x:f>
        <x:v>10806.816501127685</x:v>
      </x:c>
      <x:c r="E119" s="32"/>
      <x:c r="F119" s="32" t="n">
        <x:f>A56</x:f>
        <x:v>4233.1456104</x:v>
      </x:c>
      <x:c r="G119" s="32" t="n">
        <x:f>C56</x:f>
        <x:v>26006.903443864474</x:v>
      </x:c>
      <x:c r="H119" s="32"/>
      <x:c r="I119" s="32"/>
      <x:c r="J119" s="32"/>
      <x:c r="K119" s="32"/>
      <x:c r="L119" s="32"/>
      <x:c r="M119" s="32"/>
      <x:c r="N119" s="32"/>
    </x:row>
    <x:row r="120">
      <x:c r="A120" s="32" t="n">
        <x:f>A57</x:f>
        <x:v>4309.9975776</x:v>
      </x:c>
      <x:c r="B120" s="32" t="n">
        <x:f>B57</x:f>
        <x:v>1070799.1602705836</x:v>
      </x:c>
      <x:c r="C120" s="32" t="n">
        <x:f>D57</x:f>
        <x:v>5446.429733762008</x:v>
      </x:c>
      <x:c r="D120" s="32" t="n">
        <x:f>E57</x:f>
        <x:v>10892.859467524017</x:v>
      </x:c>
      <x:c r="E120" s="32"/>
      <x:c r="F120" s="32" t="n">
        <x:f>A57</x:f>
        <x:v>4309.9975776</x:v>
      </x:c>
      <x:c r="G120" s="32" t="n">
        <x:f>C57</x:f>
        <x:v>26007.067064821153</x:v>
      </x:c>
      <x:c r="H120" s="32"/>
      <x:c r="I120" s="32"/>
      <x:c r="J120" s="32"/>
      <x:c r="K120" s="32"/>
      <x:c r="L120" s="32"/>
      <x:c r="M120" s="32"/>
      <x:c r="N120" s="32"/>
    </x:row>
    <x:row r="121">
      <x:c r="A121" s="32" t="n">
        <x:f>A58</x:f>
        <x:v>4387.1302656</x:v>
      </x:c>
      <x:c r="B121" s="32" t="n">
        <x:f>B58</x:f>
        <x:v>1087812.9940658004</x:v>
      </x:c>
      <x:c r="C121" s="32" t="n">
        <x:f>D58</x:f>
        <x:v>5465.325847757959</x:v>
      </x:c>
      <x:c r="D121" s="32" t="n">
        <x:f>E58</x:f>
        <x:v>10930.651695515919</x:v>
      </x:c>
      <x:c r="E121" s="32"/>
      <x:c r="F121" s="32" t="n">
        <x:f>A58</x:f>
        <x:v>4387.1302656</x:v>
      </x:c>
      <x:c r="G121" s="32" t="n">
        <x:f>C58</x:f>
        <x:v>26007.142181173174</x:v>
      </x:c>
      <x:c r="H121" s="32"/>
      <x:c r="I121" s="32"/>
      <x:c r="J121" s="32"/>
      <x:c r="K121" s="32"/>
      <x:c r="L121" s="32"/>
      <x:c r="M121" s="32"/>
      <x:c r="N121" s="32"/>
    </x:row>
    <x:row r="122">
      <x:c r="A122" s="32" t="n">
        <x:f>A59</x:f>
        <x:v>4464.1026288</x:v>
      </x:c>
      <x:c r="B122" s="32" t="n">
        <x:f>B59</x:f>
        <x:v>1104791.564922813</x:v>
      </x:c>
      <x:c r="C122" s="32" t="n">
        <x:f>D59</x:f>
        <x:v>5462.8587766814835</x:v>
      </x:c>
      <x:c r="D122" s="32" t="n">
        <x:f>E59</x:f>
        <x:v>10925.717553362967</x:v>
      </x:c>
      <x:c r="E122" s="32"/>
      <x:c r="F122" s="32" t="n">
        <x:f>A59</x:f>
        <x:v>4464.1026288</x:v>
      </x:c>
      <x:c r="G122" s="32" t="n">
        <x:f>C59</x:f>
        <x:v>26007.12090256583</x:v>
      </x:c>
      <x:c r="H122" s="32"/>
      <x:c r="I122" s="32"/>
      <x:c r="J122" s="32"/>
      <x:c r="K122" s="32"/>
      <x:c r="L122" s="32"/>
      <x:c r="M122" s="32"/>
      <x:c r="N122" s="32"/>
    </x:row>
    <x:row r="123">
      <x:c r="A123" s="32" t="n">
        <x:f>A60</x:f>
        <x:v>4540.555308</x:v>
      </x:c>
      <x:c r="B123" s="32" t="n">
        <x:f>B60</x:f>
        <x:v>1121656.1618409925</x:v>
      </x:c>
      <x:c r="C123" s="32" t="n">
        <x:f>D60</x:f>
        <x:v>5446.698722331982</x:v>
      </x:c>
      <x:c r="D123" s="32" t="n">
        <x:f>E60</x:f>
        <x:v>10893.397444663964</x:v>
      </x:c>
      <x:c r="E123" s="32"/>
      <x:c r="F123" s="32" t="n">
        <x:f>A60</x:f>
        <x:v>4540.555308</x:v>
      </x:c>
      <x:c r="G123" s="32" t="n">
        <x:f>C60</x:f>
        <x:v>26007.03104200195</x:v>
      </x:c>
      <x:c r="H123" s="32"/>
      <x:c r="I123" s="32"/>
      <x:c r="J123" s="32"/>
      <x:c r="K123" s="32"/>
      <x:c r="L123" s="32"/>
      <x:c r="M123" s="32"/>
      <x:c r="N123" s="32"/>
    </x:row>
    <x:row r="124">
      <x:c r="A124" s="32" t="n">
        <x:f>A61</x:f>
        <x:v>4616.3935104</x:v>
      </x:c>
      <x:c r="B124" s="32" t="n">
        <x:f>B61</x:f>
        <x:v>1138386.296912006</x:v>
      </x:c>
      <x:c r="C124" s="32" t="n">
        <x:f>D61</x:f>
        <x:v>5419.734744567189</x:v>
      </x:c>
      <x:c r="D124" s="32" t="n">
        <x:f>E61</x:f>
        <x:v>10839.469489134379</x:v>
      </x:c>
      <x:c r="E124" s="32"/>
      <x:c r="F124" s="32" t="n">
        <x:f>A61</x:f>
        <x:v>4616.3935104</x:v>
      </x:c>
      <x:c r="G124" s="32" t="n">
        <x:f>C61</x:f>
        <x:v>26006.905646921376</x:v>
      </x:c>
      <x:c r="H124" s="32"/>
      <x:c r="I124" s="32"/>
      <x:c r="J124" s="32"/>
      <x:c r="K124" s="32"/>
      <x:c r="L124" s="32"/>
      <x:c r="M124" s="32"/>
      <x:c r="N124" s="32"/>
    </x:row>
    <x:row r="125">
      <x:c r="A125" s="32" t="n">
        <x:f>A62</x:f>
        <x:v>4691.8360824</x:v>
      </x:c>
      <x:c r="B125" s="32" t="n">
        <x:f>B62</x:f>
        <x:v>1155030.372613192</x:v>
      </x:c>
      <x:c r="C125" s="32" t="n">
        <x:f>D62</x:f>
        <x:v>5389.141729174255</x:v>
      </x:c>
      <x:c r="D125" s="32" t="n">
        <x:f>E62</x:f>
        <x:v>10778.28345834851</x:v>
      </x:c>
      <x:c r="E125" s="32"/>
      <x:c r="F125" s="32" t="n">
        <x:f>A62</x:f>
        <x:v>4691.8360824</x:v>
      </x:c>
      <x:c r="G125" s="32" t="n">
        <x:f>C62</x:f>
        <x:v>26006.79228612985</x:v>
      </x:c>
      <x:c r="H125" s="32"/>
      <x:c r="I125" s="32"/>
      <x:c r="J125" s="32"/>
      <x:c r="K125" s="32"/>
      <x:c r="L125" s="32"/>
      <x:c r="M125" s="32"/>
      <x:c r="N125" s="32"/>
    </x:row>
    <x:row r="126">
      <x:c r="A126" s="32" t="n">
        <x:f>A63</x:f>
        <x:v>4767.3027336000005</x:v>
      </x:c>
      <x:c r="B126" s="32" t="n">
        <x:f>B63</x:f>
        <x:v>1171680.8264845596</x:v>
      </x:c>
      <x:c r="C126" s="32" t="n">
        <x:f>D63</x:f>
        <x:v>5362.233481314568</x:v>
      </x:c>
      <x:c r="D126" s="32" t="n">
        <x:f>E63</x:f>
        <x:v>10724.466962629136</x:v>
      </x:c>
      <x:c r="E126" s="32"/>
      <x:c r="F126" s="32" t="n">
        <x:f>A63</x:f>
        <x:v>4767.3027336000005</x:v>
      </x:c>
      <x:c r="G126" s="32" t="n">
        <x:f>C63</x:f>
        <x:v>26006.726773348957</x:v>
      </x:c>
      <x:c r="H126" s="32"/>
      <x:c r="I126" s="32"/>
      <x:c r="J126" s="32"/>
      <x:c r="K126" s="32"/>
      <x:c r="L126" s="32"/>
      <x:c r="M126" s="32"/>
      <x:c r="N126" s="32"/>
    </x:row>
    <x:row r="127">
      <x:c r="A127" s="32" t="n">
        <x:f>A64</x:f>
        <x:v>4843.2018960000005</x:v>
      </x:c>
      <x:c r="B127" s="32" t="n">
        <x:f>B64</x:f>
        <x:v>1188427.2943145775</x:v>
      </x:c>
      <x:c r="C127" s="32" t="n">
        <x:f>D64</x:f>
        <x:v>5347.425972648599</x:v>
      </x:c>
      <x:c r="D127" s="32" t="n">
        <x:f>E64</x:f>
        <x:v>10694.851945297198</x:v>
      </x:c>
      <x:c r="E127" s="32"/>
      <x:c r="F127" s="32" t="n">
        <x:f>A64</x:f>
        <x:v>4843.2018960000005</x:v>
      </x:c>
      <x:c r="G127" s="32" t="n">
        <x:f>C64</x:f>
        <x:v>26006.728012992015</x:v>
      </x:c>
      <x:c r="H127" s="32"/>
      <x:c r="I127" s="32"/>
      <x:c r="J127" s="32"/>
      <x:c r="K127" s="32"/>
      <x:c r="L127" s="32"/>
      <x:c r="M127" s="32"/>
      <x:c r="N127" s="32"/>
    </x:row>
    <x:row r="128">
      <x:c r="A128" s="32" t="n">
        <x:f>A65</x:f>
        <x:v>4919.7207168</x:v>
      </x:c>
      <x:c r="B128" s="32" t="n">
        <x:f>B65</x:f>
        <x:v>1205310.4574943804</x:v>
      </x:c>
      <x:c r="C128" s="32" t="n">
        <x:f>D65</x:f>
        <x:v>5348.094378791932</x:v>
      </x:c>
      <x:c r="D128" s="32" t="n">
        <x:f>E65</x:f>
        <x:v>10696.188757583865</x:v>
      </x:c>
      <x:c r="E128" s="32"/>
      <x:c r="F128" s="32" t="n">
        <x:f>A65</x:f>
        <x:v>4919.7207168</x:v>
      </x:c>
      <x:c r="G128" s="32" t="n">
        <x:f>C65</x:f>
        <x:v>26006.784637839017</x:v>
      </x:c>
      <x:c r="H128" s="32"/>
      <x:c r="I128" s="32"/>
      <x:c r="J128" s="32"/>
      <x:c r="K128" s="32"/>
      <x:c r="L128" s="32"/>
      <x:c r="M128" s="32"/>
      <x:c r="N128" s="32"/>
    </x:row>
  </x:sheetData>
  <x:mergeCells>
    <x:mergeCell ref="A1:N1"/>
    <x:mergeCell ref="A3:H3"/>
  </x:mergeCells>
  <x:pageMargins left="0.7" right="0.7" top="0.75" bottom="0.75" header="0.3" footer="0.3"/>
  <x:drawing xmlns:r="http://schemas.openxmlformats.org/officeDocument/2006/relationships" r:id="rId1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ROT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ROT operation depth profile</x:v>
      </x:c>
      <x:c r="B3" s="33" t="str">
        <x:v>ROT operation depth profile</x:v>
      </x:c>
      <x:c r="C3" s="33" t="str">
        <x:v>ROT operation depth profile</x:v>
      </x:c>
      <x:c r="D3" s="33" t="str">
        <x:v>ROT operation depth profile</x:v>
      </x:c>
      <x:c r="E3" s="33" t="str">
        <x:v>ROT operation depth profile</x:v>
      </x:c>
      <x:c r="F3" s="33" t="str">
        <x:v>ROT operation depth profile</x:v>
      </x:c>
      <x:c r="G3" s="33" t="str">
        <x:v>ROT operation depth profile</x:v>
      </x:c>
      <x:c r="H3" s="33" t="str">
        <x:v>ROT operation depth profile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f>"MD "&amp;'Unit Map'!$H$8</x:f>
        <x:v>MD m</x:v>
      </x:c>
      <x:c r="B5" s="34" t="str">
        <x:f>"Axial load "&amp;'Unit Map'!$H$14</x:f>
        <x:v>Axial load N</x:v>
      </x:c>
      <x:c r="C5" s="34" t="str">
        <x:f>"Torque "&amp;'Unit Map'!$H$16</x:f>
        <x:v>Torque N-m</x:v>
      </x:c>
      <x:c r="D5" s="34" t="str">
        <x:f>"Sinusoidal limit "&amp;'Unit Map'!$H$14</x:f>
        <x:v>Sinusoidal limit N</x:v>
      </x:c>
      <x:c r="E5" s="34" t="str">
        <x:f>"Helical limit "&amp;'Unit Map'!$H$14</x:f>
        <x:v>Helical limit N</x:v>
      </x:c>
      <x:c r="F5" s="34" t="str">
        <x:f>"Axial margin "&amp;'Unit Map'!$H$14</x:f>
        <x:v>Axial margin N</x:v>
      </x:c>
      <x:c r="G5" s="34" t="str">
        <x:v>Buckling status</x:v>
      </x:c>
      <x:c r="H5" s="34" t="str">
        <x:v>Record ID</x:v>
      </x:c>
      <x:c r="I5" s="32"/>
      <x:c r="J5" s="32"/>
      <x:c r="K5" s="32"/>
      <x:c r="L5" s="32"/>
      <x:c r="M5" s="32"/>
      <x:c r="N5" s="32"/>
    </x:row>
    <x:row r="6">
      <x:c r="A6" s="35" t="n">
        <x:f>'ALL'!A6</x:f>
        <x:v>0</x:v>
      </x:c>
      <x:c r="B6" s="35" t="n">
        <x:f>'ALL'!F6</x:f>
        <x:v>120000</x:v>
      </x:c>
      <x:c r="C6" s="35" t="n">
        <x:f>'ALL'!I6</x:f>
        <x:v>26000</x:v>
      </x:c>
      <x:c r="D6" s="35" t="n">
        <x:f>'ALL'!K6</x:f>
        <x:v>0</x:v>
      </x:c>
      <x:c r="E6" s="35" t="n">
        <x:f>'ALL'!L6</x:f>
        <x:v>0</x:v>
      </x:c>
      <x:c r="F6" s="35" t="n">
        <x:f>B6-E6</x:f>
        <x:v>120000</x:v>
      </x:c>
      <x:c r="G6" s="35" t="str">
        <x:f>'ALL'!M6</x:f>
        <x:v>PASS</x:v>
      </x:c>
      <x:c r="H6" s="35" t="str">
        <x:f>'ALL'!N6</x:f>
        <x:v>survey-000</x:v>
      </x:c>
      <x:c r="I6" s="32"/>
      <x:c r="J6" s="32"/>
      <x:c r="K6" s="32"/>
      <x:c r="L6" s="32"/>
      <x:c r="M6" s="32"/>
      <x:c r="N6" s="32"/>
    </x:row>
    <x:row r="7">
      <x:c r="A7" s="35" t="n">
        <x:f>'ALL'!A7</x:f>
        <x:v>155.10875760000002</x:v>
      </x:c>
      <x:c r="B7" s="35" t="n">
        <x:f>'ALL'!F7</x:f>
        <x:v>154369.6247643189</x:v>
      </x:c>
      <x:c r="C7" s="35" t="n">
        <x:f>'ALL'!I7</x:f>
        <x:v>26008.922425328856</x:v>
      </x:c>
      <x:c r="D7" s="35" t="n">
        <x:f>'ALL'!K7</x:f>
        <x:v>3045.9878423456744</x:v>
      </x:c>
      <x:c r="E7" s="35" t="n">
        <x:f>'ALL'!L7</x:f>
        <x:v>6091.975684691349</x:v>
      </x:c>
      <x:c r="F7" s="35" t="n">
        <x:f>B7-E7</x:f>
        <x:v>148277.64907962756</x:v>
      </x:c>
      <x:c r="G7" s="35" t="str">
        <x:f>'ALL'!M7</x:f>
        <x:v>PASS</x:v>
      </x:c>
      <x:c r="H7" s="35" t="str">
        <x:f>'ALL'!N7</x:f>
        <x:v>survey-001</x:v>
      </x:c>
      <x:c r="I7" s="32"/>
      <x:c r="J7" s="32"/>
      <x:c r="K7" s="32"/>
      <x:c r="L7" s="32"/>
      <x:c r="M7" s="32"/>
      <x:c r="N7" s="32"/>
    </x:row>
    <x:row r="8">
      <x:c r="A8" s="35" t="n">
        <x:f>'ALL'!A8</x:f>
        <x:v>307.974492</x:v>
      </x:c>
      <x:c r="B8" s="35" t="n">
        <x:f>'ALL'!F8</x:f>
        <x:v>188295.53791614895</x:v>
      </x:c>
      <x:c r="C8" s="35" t="n">
        <x:f>'ALL'!I8</x:f>
        <x:v>26002.02346979533</x:v>
      </x:c>
      <x:c r="D8" s="35" t="n">
        <x:f>'ALL'!K8</x:f>
        <x:v>1461.161274893059</x:v>
      </x:c>
      <x:c r="E8" s="35" t="n">
        <x:f>'ALL'!L8</x:f>
        <x:v>2922.322549786118</x:v>
      </x:c>
      <x:c r="F8" s="35" t="n">
        <x:f>B8-E8</x:f>
        <x:v>185373.21536636283</x:v>
      </x:c>
      <x:c r="G8" s="35" t="str">
        <x:f>'ALL'!M8</x:f>
        <x:v>PASS</x:v>
      </x:c>
      <x:c r="H8" s="35" t="str">
        <x:f>'ALL'!N8</x:f>
        <x:v>survey-002</x:v>
      </x:c>
      <x:c r="I8" s="32"/>
      <x:c r="J8" s="32"/>
      <x:c r="K8" s="32"/>
      <x:c r="L8" s="32"/>
      <x:c r="M8" s="32"/>
      <x:c r="N8" s="32"/>
    </x:row>
    <x:row r="9">
      <x:c r="A9" s="35" t="n">
        <x:f>'ALL'!A9</x:f>
        <x:v>460.2227016</x:v>
      </x:c>
      <x:c r="B9" s="35" t="n">
        <x:f>'ALL'!F9</x:f>
        <x:v>222078.4629496525</x:v>
      </x:c>
      <x:c r="C9" s="35" t="n">
        <x:f>'ALL'!I9</x:f>
        <x:v>26002.769566444822</x:v>
      </x:c>
      <x:c r="D9" s="35" t="n">
        <x:f>'ALL'!K9</x:f>
        <x:v>1712.910460216405</x:v>
      </x:c>
      <x:c r="E9" s="35" t="n">
        <x:f>'ALL'!L9</x:f>
        <x:v>3425.82092043281</x:v>
      </x:c>
      <x:c r="F9" s="35" t="n">
        <x:f>B9-E9</x:f>
        <x:v>218652.64202921969</x:v>
      </x:c>
      <x:c r="G9" s="35" t="str">
        <x:f>'ALL'!M9</x:f>
        <x:v>PASS</x:v>
      </x:c>
      <x:c r="H9" s="35" t="str">
        <x:f>'ALL'!N9</x:f>
        <x:v>survey-003</x:v>
      </x:c>
      <x:c r="I9" s="32"/>
      <x:c r="J9" s="32"/>
      <x:c r="K9" s="32"/>
      <x:c r="L9" s="32"/>
      <x:c r="M9" s="32"/>
      <x:c r="N9" s="32"/>
    </x:row>
    <x:row r="10">
      <x:c r="A10" s="35" t="n">
        <x:f>'ALL'!A10</x:f>
        <x:v>611.9649432</x:v>
      </x:c>
      <x:c r="B10" s="35" t="n">
        <x:f>'ALL'!F10</x:f>
        <x:v>255741.63319933537</x:v>
      </x:c>
      <x:c r="C10" s="35" t="n">
        <x:f>'ALL'!I10</x:f>
        <x:v>26003.710785950836</x:v>
      </x:c>
      <x:c r="D10" s="35" t="n">
        <x:f>'ALL'!K10</x:f>
        <x:v>1986.0243471491665</x:v>
      </x:c>
      <x:c r="E10" s="35" t="n">
        <x:f>'ALL'!L10</x:f>
        <x:v>3972.048694298333</x:v>
      </x:c>
      <x:c r="F10" s="35" t="n">
        <x:f>B10-E10</x:f>
        <x:v>251769.58450503703</x:v>
      </x:c>
      <x:c r="G10" s="35" t="str">
        <x:f>'ALL'!M10</x:f>
        <x:v>PASS</x:v>
      </x:c>
      <x:c r="H10" s="35" t="str">
        <x:f>'ALL'!N10</x:f>
        <x:v>survey-004</x:v>
      </x:c>
      <x:c r="I10" s="32"/>
      <x:c r="J10" s="32"/>
      <x:c r="K10" s="32"/>
      <x:c r="L10" s="32"/>
      <x:c r="M10" s="32"/>
      <x:c r="N10" s="32"/>
    </x:row>
    <x:row r="11">
      <x:c r="A11" s="35" t="n">
        <x:f>'ALL'!A11</x:f>
        <x:v>763.5706344</x:v>
      </x:c>
      <x:c r="B11" s="35" t="n">
        <x:f>'ALL'!F11</x:f>
        <x:v>289363.3695426456</x:v>
      </x:c>
      <x:c r="C11" s="35" t="n">
        <x:f>'ALL'!I11</x:f>
        <x:v>26005.12234878211</x:v>
      </x:c>
      <x:c r="D11" s="35" t="n">
        <x:f>'ALL'!K11</x:f>
        <x:v>2334.434457092405</x:v>
      </x:c>
      <x:c r="E11" s="35" t="n">
        <x:f>'ALL'!L11</x:f>
        <x:v>4668.86891418481</x:v>
      </x:c>
      <x:c r="F11" s="35" t="n">
        <x:f>B11-E11</x:f>
        <x:v>284694.5006284608</x:v>
      </x:c>
      <x:c r="G11" s="35" t="str">
        <x:f>'ALL'!M11</x:f>
        <x:v>PASS</x:v>
      </x:c>
      <x:c r="H11" s="35" t="str">
        <x:f>'ALL'!N11</x:f>
        <x:v>survey-005</x:v>
      </x:c>
      <x:c r="I11" s="32"/>
      <x:c r="J11" s="32"/>
      <x:c r="K11" s="32"/>
      <x:c r="L11" s="32"/>
      <x:c r="M11" s="32"/>
      <x:c r="N11" s="32"/>
    </x:row>
    <x:row r="12">
      <x:c r="A12" s="35" t="n">
        <x:f>'ALL'!A12</x:f>
        <x:v>915.4786872000001</x:v>
      </x:c>
      <x:c r="B12" s="35" t="n">
        <x:f>'ALL'!F12</x:f>
        <x:v>323083.07275547064</x:v>
      </x:c>
      <x:c r="C12" s="35" t="n">
        <x:f>'ALL'!I12</x:f>
        <x:v>26001.206759326556</x:v>
      </x:c>
      <x:c r="D12" s="35" t="n">
        <x:f>'ALL'!K12</x:f>
        <x:v>1131.943624491696</x:v>
      </x:c>
      <x:c r="E12" s="35" t="n">
        <x:f>'ALL'!L12</x:f>
        <x:v>2263.887248983392</x:v>
      </x:c>
      <x:c r="F12" s="35" t="n">
        <x:f>B12-E12</x:f>
        <x:v>320819.18550648727</x:v>
      </x:c>
      <x:c r="G12" s="35" t="str">
        <x:f>'ALL'!M12</x:f>
        <x:v>PASS</x:v>
      </x:c>
      <x:c r="H12" s="35" t="str">
        <x:f>'ALL'!N12</x:f>
        <x:v>survey-006</x:v>
      </x:c>
      <x:c r="I12" s="32"/>
      <x:c r="J12" s="32"/>
      <x:c r="K12" s="32"/>
      <x:c r="L12" s="32"/>
      <x:c r="M12" s="32"/>
      <x:c r="N12" s="32"/>
    </x:row>
    <x:row r="13">
      <x:c r="A13" s="35" t="n">
        <x:f>'ALL'!A13</x:f>
        <x:v>1067.9740896</x:v>
      </x:c>
      <x:c r="B13" s="35" t="n">
        <x:f>'ALL'!F13</x:f>
        <x:v>356915.17598741263</x:v>
      </x:c>
      <x:c r="C13" s="35" t="n">
        <x:f>'ALL'!I13</x:f>
        <x:v>26003.49444997194</x:v>
      </x:c>
      <x:c r="D13" s="35" t="n">
        <x:f>'ALL'!K13</x:f>
        <x:v>1922.4980265136417</x:v>
      </x:c>
      <x:c r="E13" s="35" t="n">
        <x:f>'ALL'!L13</x:f>
        <x:v>3844.9960530272833</x:v>
      </x:c>
      <x:c r="F13" s="35" t="n">
        <x:f>B13-E13</x:f>
        <x:v>353070.17993438535</x:v>
      </x:c>
      <x:c r="G13" s="35" t="str">
        <x:f>'ALL'!M13</x:f>
        <x:v>PASS</x:v>
      </x:c>
      <x:c r="H13" s="35" t="str">
        <x:f>'ALL'!N13</x:f>
        <x:v>survey-007</x:v>
      </x:c>
      <x:c r="I13" s="32"/>
      <x:c r="J13" s="32"/>
      <x:c r="K13" s="32"/>
      <x:c r="L13" s="32"/>
      <x:c r="M13" s="32"/>
      <x:c r="N13" s="32"/>
    </x:row>
    <x:row r="14">
      <x:c r="A14" s="35" t="n">
        <x:f>'ALL'!A14</x:f>
        <x:v>1221.042516</x:v>
      </x:c>
      <x:c r="B14" s="35" t="n">
        <x:f>'ALL'!F14</x:f>
        <x:v>390887.50027428183</x:v>
      </x:c>
      <x:c r="C14" s="35" t="n">
        <x:f>'ALL'!I14</x:f>
        <x:v>26001.844905823713</x:v>
      </x:c>
      <x:c r="D14" s="35" t="n">
        <x:f>'ALL'!K14</x:f>
        <x:v>1394.2772985072377</x:v>
      </x:c>
      <x:c r="E14" s="35" t="n">
        <x:f>'ALL'!L14</x:f>
        <x:v>2788.5545970144753</x:v>
      </x:c>
      <x:c r="F14" s="35" t="n">
        <x:f>B14-E14</x:f>
        <x:v>388098.94567726733</x:v>
      </x:c>
      <x:c r="G14" s="35" t="str">
        <x:f>'ALL'!M14</x:f>
        <x:v>PASS</x:v>
      </x:c>
      <x:c r="H14" s="35" t="str">
        <x:f>'ALL'!N14</x:f>
        <x:v>survey-008</x:v>
      </x:c>
      <x:c r="I14" s="32"/>
      <x:c r="J14" s="32"/>
      <x:c r="K14" s="32"/>
      <x:c r="L14" s="32"/>
      <x:c r="M14" s="32"/>
      <x:c r="N14" s="32"/>
    </x:row>
    <x:row r="15">
      <x:c r="A15" s="35" t="n">
        <x:f>'ALL'!A15</x:f>
        <x:v>1374.3773376000001</x:v>
      </x:c>
      <x:c r="B15" s="35" t="n">
        <x:f>'ALL'!F15</x:f>
        <x:v>424896.5556028249</x:v>
      </x:c>
      <x:c r="C15" s="35" t="n">
        <x:f>'ALL'!I15</x:f>
        <x:v>26004.692060908415</x:v>
      </x:c>
      <x:c r="D15" s="35" t="n">
        <x:f>'ALL'!K15</x:f>
        <x:v>2221.60215796265</x:v>
      </x:c>
      <x:c r="E15" s="35" t="n">
        <x:f>'ALL'!L15</x:f>
        <x:v>4443.2043159253</x:v>
      </x:c>
      <x:c r="F15" s="35" t="n">
        <x:f>B15-E15</x:f>
        <x:v>420453.3512868996</x:v>
      </x:c>
      <x:c r="G15" s="35" t="str">
        <x:f>'ALL'!M15</x:f>
        <x:v>PASS</x:v>
      </x:c>
      <x:c r="H15" s="35" t="str">
        <x:f>'ALL'!N15</x:f>
        <x:v>survey-009</x:v>
      </x:c>
      <x:c r="I15" s="32"/>
      <x:c r="J15" s="32"/>
      <x:c r="K15" s="32"/>
      <x:c r="L15" s="32"/>
      <x:c r="M15" s="32"/>
      <x:c r="N15" s="32"/>
    </x:row>
    <x:row r="16">
      <x:c r="A16" s="35" t="n">
        <x:f>'ALL'!A16</x:f>
        <x:v>1527.5362896000001</x:v>
      </x:c>
      <x:c r="B16" s="35" t="n">
        <x:f>'ALL'!F16</x:f>
        <x:v>458900.33700830623</x:v>
      </x:c>
      <x:c r="C16" s="35" t="n">
        <x:f>'ALL'!I16</x:f>
        <x:v>26000.402555674227</x:v>
      </x:c>
      <x:c r="D16" s="35" t="n">
        <x:f>'ALL'!K16</x:f>
        <x:v>651.098429003259</x:v>
      </x:c>
      <x:c r="E16" s="35" t="n">
        <x:f>'ALL'!L16</x:f>
        <x:v>1302.196858006518</x:v>
      </x:c>
      <x:c r="F16" s="35" t="n">
        <x:f>B16-E16</x:f>
        <x:v>457598.1401502997</x:v>
      </x:c>
      <x:c r="G16" s="35" t="str">
        <x:f>'ALL'!M16</x:f>
        <x:v>PASS</x:v>
      </x:c>
      <x:c r="H16" s="35" t="str">
        <x:f>'ALL'!N16</x:f>
        <x:v>survey-010</x:v>
      </x:c>
      <x:c r="I16" s="32"/>
      <x:c r="J16" s="32"/>
      <x:c r="K16" s="32"/>
      <x:c r="L16" s="32"/>
      <x:c r="M16" s="32"/>
      <x:c r="N16" s="32"/>
    </x:row>
    <x:row r="17">
      <x:c r="A17" s="35" t="n">
        <x:f>'ALL'!A17</x:f>
        <x:v>1565.8667184</x:v>
      </x:c>
      <x:c r="B17" s="35" t="n">
        <x:f>'ALL'!F17</x:f>
        <x:v>467010.8206480392</x:v>
      </x:c>
      <x:c r="C17" s="35" t="n">
        <x:f>'ALL'!I17</x:f>
        <x:v>26050.836703813504</x:v>
      </x:c>
      <x:c r="D17" s="35" t="n">
        <x:f>'ALL'!K17</x:f>
        <x:v>14625.870276492271</x:v>
      </x:c>
      <x:c r="E17" s="35" t="n">
        <x:f>'ALL'!L17</x:f>
        <x:v>29251.740552984542</x:v>
      </x:c>
      <x:c r="F17" s="35" t="n">
        <x:f>B17-E17</x:f>
        <x:v>437759.0800950547</x:v>
      </x:c>
      <x:c r="G17" s="35" t="str">
        <x:f>'ALL'!M17</x:f>
        <x:v>PASS</x:v>
      </x:c>
      <x:c r="H17" s="35" t="str">
        <x:f>'ALL'!N17</x:f>
        <x:v>survey-011</x:v>
      </x:c>
      <x:c r="I17" s="32"/>
      <x:c r="J17" s="32"/>
      <x:c r="K17" s="32"/>
      <x:c r="L17" s="32"/>
      <x:c r="M17" s="32"/>
      <x:c r="N17" s="32"/>
    </x:row>
    <x:row r="18">
      <x:c r="A18" s="35" t="n">
        <x:f>'ALL'!A18</x:f>
        <x:v>1603.5857184000001</x:v>
      </x:c>
      <x:c r="B18" s="35" t="n">
        <x:f>'ALL'!F18</x:f>
        <x:v>475023.9437135505</x:v>
      </x:c>
      <x:c r="C18" s="35" t="n">
        <x:f>'ALL'!I18</x:f>
        <x:v>26045.960001615174</x:v>
      </x:c>
      <x:c r="D18" s="35" t="n">
        <x:f>'ALL'!K18</x:f>
        <x:v>14018.927722546516</x:v>
      </x:c>
      <x:c r="E18" s="35" t="n">
        <x:f>'ALL'!L18</x:f>
        <x:v>28037.85544509303</x:v>
      </x:c>
      <x:c r="F18" s="35" t="n">
        <x:f>B18-E18</x:f>
        <x:v>446986.0882684575</x:v>
      </x:c>
      <x:c r="G18" s="35" t="str">
        <x:f>'ALL'!M18</x:f>
        <x:v>PASS</x:v>
      </x:c>
      <x:c r="H18" s="35" t="str">
        <x:f>'ALL'!N18</x:f>
        <x:v>survey-012</x:v>
      </x:c>
      <x:c r="I18" s="32"/>
      <x:c r="J18" s="32"/>
      <x:c r="K18" s="32"/>
      <x:c r="L18" s="32"/>
      <x:c r="M18" s="32"/>
      <x:c r="N18" s="32"/>
    </x:row>
    <x:row r="19">
      <x:c r="A19" s="35" t="n">
        <x:f>'ALL'!A19</x:f>
        <x:v>1640.9209752000002</x:v>
      </x:c>
      <x:c r="B19" s="35" t="n">
        <x:f>'ALL'!F19</x:f>
        <x:v>482983.18016497383</x:v>
      </x:c>
      <x:c r="C19" s="35" t="n">
        <x:f>'ALL'!I19</x:f>
        <x:v>26041.982543597504</x:v>
      </x:c>
      <x:c r="D19" s="35" t="n">
        <x:f>'ALL'!K19</x:f>
        <x:v>13467.273080777122</x:v>
      </x:c>
      <x:c r="E19" s="35" t="n">
        <x:f>'ALL'!L19</x:f>
        <x:v>26934.546161554244</x:v>
      </x:c>
      <x:c r="F19" s="35" t="n">
        <x:f>B19-E19</x:f>
        <x:v>456048.6340034196</x:v>
      </x:c>
      <x:c r="G19" s="35" t="str">
        <x:f>'ALL'!M19</x:f>
        <x:v>PASS</x:v>
      </x:c>
      <x:c r="H19" s="35" t="str">
        <x:f>'ALL'!N19</x:f>
        <x:v>survey-013</x:v>
      </x:c>
      <x:c r="I19" s="32"/>
      <x:c r="J19" s="32"/>
      <x:c r="K19" s="32"/>
      <x:c r="L19" s="32"/>
      <x:c r="M19" s="32"/>
      <x:c r="N19" s="32"/>
    </x:row>
    <x:row r="20">
      <x:c r="A20" s="35" t="n">
        <x:f>'ALL'!A20</x:f>
        <x:v>1678.2970752</x:v>
      </x:c>
      <x:c r="B20" s="35" t="n">
        <x:f>'ALL'!F20</x:f>
        <x:v>490967.14040348405</x:v>
      </x:c>
      <x:c r="C20" s="35" t="n">
        <x:f>'ALL'!I20</x:f>
        <x:v>26039.994347635806</x:v>
      </x:c>
      <x:c r="D20" s="35" t="n">
        <x:f>'ALL'!K20</x:f>
        <x:v>13137.332179016305</x:v>
      </x:c>
      <x:c r="E20" s="35" t="n">
        <x:f>'ALL'!L20</x:f>
        <x:v>26274.66435803261</x:v>
      </x:c>
      <x:c r="F20" s="35" t="n">
        <x:f>B20-E20</x:f>
        <x:v>464692.4760454514</x:v>
      </x:c>
      <x:c r="G20" s="35" t="str">
        <x:f>'ALL'!M20</x:f>
        <x:v>PASS</x:v>
      </x:c>
      <x:c r="H20" s="35" t="str">
        <x:f>'ALL'!N20</x:f>
        <x:v>survey-014</x:v>
      </x:c>
      <x:c r="I20" s="32"/>
      <x:c r="J20" s="32"/>
      <x:c r="K20" s="32"/>
      <x:c r="L20" s="32"/>
      <x:c r="M20" s="32"/>
      <x:c r="N20" s="32"/>
    </x:row>
    <x:row r="21">
      <x:c r="A21" s="35" t="n">
        <x:f>'ALL'!A21</x:f>
        <x:v>1716.1166592000002</x:v>
      </x:c>
      <x:c r="B21" s="35" t="n">
        <x:f>'ALL'!F21</x:f>
        <x:v>499038.4189947745</x:v>
      </x:c>
      <x:c r="C21" s="35" t="n">
        <x:f>'ALL'!I21</x:f>
        <x:v>26041.410587523715</x:v>
      </x:c>
      <x:c r="D21" s="35" t="n">
        <x:f>'ALL'!K21</x:f>
        <x:v>13289.302478170144</x:v>
      </x:c>
      <x:c r="E21" s="35" t="n">
        <x:f>'ALL'!L21</x:f>
        <x:v>26578.60495634029</x:v>
      </x:c>
      <x:c r="F21" s="35" t="n">
        <x:f>B21-E21</x:f>
        <x:v>472459.81403843424</x:v>
      </x:c>
      <x:c r="G21" s="35" t="str">
        <x:f>'ALL'!M21</x:f>
        <x:v>PASS</x:v>
      </x:c>
      <x:c r="H21" s="35" t="str">
        <x:f>'ALL'!N21</x:f>
        <x:v>survey-015</x:v>
      </x:c>
      <x:c r="I21" s="32"/>
      <x:c r="J21" s="32"/>
      <x:c r="K21" s="32"/>
      <x:c r="L21" s="32"/>
      <x:c r="M21" s="32"/>
      <x:c r="N21" s="32"/>
    </x:row>
    <x:row r="22">
      <x:c r="A22" s="35" t="n">
        <x:f>'ALL'!A22</x:f>
        <x:v>1754.5571208000001</x:v>
      </x:c>
      <x:c r="B22" s="35" t="n">
        <x:f>'ALL'!F22</x:f>
        <x:v>507214.75489862217</x:v>
      </x:c>
      <x:c r="C22" s="35" t="n">
        <x:f>'ALL'!I22</x:f>
        <x:v>26045.576247796333</x:v>
      </x:c>
      <x:c r="D22" s="35" t="n">
        <x:f>'ALL'!K22</x:f>
        <x:v>13828.652103940169</x:v>
      </x:c>
      <x:c r="E22" s="35" t="n">
        <x:f>'ALL'!L22</x:f>
        <x:v>27657.304207880337</x:v>
      </x:c>
      <x:c r="F22" s="35" t="n">
        <x:f>B22-E22</x:f>
        <x:v>479557.4506907418</x:v>
      </x:c>
      <x:c r="G22" s="35" t="str">
        <x:f>'ALL'!M22</x:f>
        <x:v>PASS</x:v>
      </x:c>
      <x:c r="H22" s="35" t="str">
        <x:f>'ALL'!N22</x:f>
        <x:v>survey-016</x:v>
      </x:c>
      <x:c r="I22" s="32"/>
      <x:c r="J22" s="32"/>
      <x:c r="K22" s="32"/>
      <x:c r="L22" s="32"/>
      <x:c r="M22" s="32"/>
      <x:c r="N22" s="32"/>
    </x:row>
    <x:row r="23">
      <x:c r="A23" s="35" t="n">
        <x:f>'ALL'!A23</x:f>
        <x:v>1793.4788616</x:v>
      </x:c>
      <x:c r="B23" s="35" t="n">
        <x:f>'ALL'!F23</x:f>
        <x:v>515462.2266916272</x:v>
      </x:c>
      <x:c r="C23" s="35" t="n">
        <x:f>'ALL'!I23</x:f>
        <x:v>26050.113435935953</x:v>
      </x:c>
      <x:c r="D23" s="35" t="n">
        <x:f>'ALL'!K23</x:f>
        <x:v>14410.724855994376</x:v>
      </x:c>
      <x:c r="E23" s="35" t="n">
        <x:f>'ALL'!L23</x:f>
        <x:v>28821.449711988753</x:v>
      </x:c>
      <x:c r="F23" s="35" t="n">
        <x:f>B23-E23</x:f>
        <x:v>486640.77697963844</x:v>
      </x:c>
      <x:c r="G23" s="35" t="str">
        <x:f>'ALL'!M23</x:f>
        <x:v>PASS</x:v>
      </x:c>
      <x:c r="H23" s="35" t="str">
        <x:f>'ALL'!N23</x:f>
        <x:v>survey-017</x:v>
      </x:c>
      <x:c r="I23" s="32"/>
      <x:c r="J23" s="32"/>
      <x:c r="K23" s="32"/>
      <x:c r="L23" s="32"/>
      <x:c r="M23" s="32"/>
      <x:c r="N23" s="32"/>
    </x:row>
    <x:row r="24">
      <x:c r="A24" s="35" t="n">
        <x:f>'ALL'!A24</x:f>
        <x:v>1832.4975288000003</x:v>
      </x:c>
      <x:c r="B24" s="35" t="n">
        <x:f>'ALL'!F24</x:f>
        <x:v>523714.4049053724</x:v>
      </x:c>
      <x:c r="C24" s="35" t="n">
        <x:f>'ALL'!I24</x:f>
        <x:v>26052.248918632355</x:v>
      </x:c>
      <x:c r="D24" s="35" t="n">
        <x:f>'ALL'!K24</x:f>
        <x:v>14696.276085690224</x:v>
      </x:c>
      <x:c r="E24" s="35" t="n">
        <x:f>'ALL'!L24</x:f>
        <x:v>29392.55217138045</x:v>
      </x:c>
      <x:c r="F24" s="35" t="n">
        <x:f>B24-E24</x:f>
        <x:v>494321.852733992</x:v>
      </x:c>
      <x:c r="G24" s="35" t="str">
        <x:f>'ALL'!M24</x:f>
        <x:v>PASS</x:v>
      </x:c>
      <x:c r="H24" s="35" t="str">
        <x:f>'ALL'!N24</x:f>
        <x:v>survey-018</x:v>
      </x:c>
      <x:c r="I24" s="32"/>
      <x:c r="J24" s="32"/>
      <x:c r="K24" s="32"/>
      <x:c r="L24" s="32"/>
      <x:c r="M24" s="32"/>
      <x:c r="N24" s="32"/>
    </x:row>
    <x:row r="25">
      <x:c r="A25" s="35" t="n">
        <x:f>'ALL'!A25</x:f>
        <x:v>1871.1787824</x:v>
      </x:c>
      <x:c r="B25" s="35" t="n">
        <x:f>'ALL'!F25</x:f>
        <x:v>531904.7691480203</x:v>
      </x:c>
      <x:c r="C25" s="35" t="n">
        <x:f>'ALL'!I25</x:f>
        <x:v>26050.584669281336</x:v>
      </x:c>
      <x:c r="D25" s="35" t="n">
        <x:f>'ALL'!K25</x:f>
        <x:v>14523.257963276968</x:v>
      </x:c>
      <x:c r="E25" s="35" t="n">
        <x:f>'ALL'!L25</x:f>
        <x:v>29046.515926553937</x:v>
      </x:c>
      <x:c r="F25" s="35" t="n">
        <x:f>B25-E25</x:f>
        <x:v>502858.2532214664</x:v>
      </x:c>
      <x:c r="G25" s="35" t="str">
        <x:f>'ALL'!M25</x:f>
        <x:v>PASS</x:v>
      </x:c>
      <x:c r="H25" s="35" t="str">
        <x:f>'ALL'!N25</x:f>
        <x:v>survey-019</x:v>
      </x:c>
      <x:c r="I25" s="32"/>
      <x:c r="J25" s="32"/>
      <x:c r="K25" s="32"/>
      <x:c r="L25" s="32"/>
      <x:c r="M25" s="32"/>
      <x:c r="N25" s="32"/>
    </x:row>
    <x:row r="26">
      <x:c r="A26" s="35" t="n">
        <x:f>'ALL'!A26</x:f>
        <x:v>1947.3607992000002</x:v>
      </x:c>
      <x:c r="B26" s="35" t="n">
        <x:f>'ALL'!F26</x:f>
        <x:v>548553.5110684601</x:v>
      </x:c>
      <x:c r="C26" s="35" t="n">
        <x:f>'ALL'!I26</x:f>
        <x:v>26033.84334186215</x:v>
      </x:c>
      <x:c r="D26" s="35" t="n">
        <x:f>'ALL'!K26</x:f>
        <x:v>8464.771745150709</x:v>
      </x:c>
      <x:c r="E26" s="35" t="n">
        <x:f>'ALL'!L26</x:f>
        <x:v>16929.543490301417</x:v>
      </x:c>
      <x:c r="F26" s="35" t="n">
        <x:f>B26-E26</x:f>
        <x:v>531623.9675781586</x:v>
      </x:c>
      <x:c r="G26" s="35" t="str">
        <x:f>'ALL'!M26</x:f>
        <x:v>PASS</x:v>
      </x:c>
      <x:c r="H26" s="35" t="str">
        <x:f>'ALL'!N26</x:f>
        <x:v>survey-020</x:v>
      </x:c>
      <x:c r="I26" s="32"/>
      <x:c r="J26" s="32"/>
      <x:c r="K26" s="32"/>
      <x:c r="L26" s="32"/>
      <x:c r="M26" s="32"/>
      <x:c r="N26" s="32"/>
    </x:row>
    <x:row r="27">
      <x:c r="A27" s="35" t="n">
        <x:f>'ALL'!A27</x:f>
        <x:v>2022.9868608</x:v>
      </x:c>
      <x:c r="B27" s="35" t="n">
        <x:f>'ALL'!F27</x:f>
        <x:v>565177.7735507294</x:v>
      </x:c>
      <x:c r="C27" s="35" t="n">
        <x:f>'ALL'!I27</x:f>
        <x:v>26021.275018591994</x:v>
      </x:c>
      <x:c r="D27" s="35" t="n">
        <x:f>'ALL'!K27</x:f>
        <x:v>6736.03129578184</x:v>
      </x:c>
      <x:c r="E27" s="35" t="n">
        <x:f>'ALL'!L27</x:f>
        <x:v>13472.06259156368</x:v>
      </x:c>
      <x:c r="F27" s="35" t="n">
        <x:f>B27-E27</x:f>
        <x:v>551705.7109591657</x:v>
      </x:c>
      <x:c r="G27" s="35" t="str">
        <x:f>'ALL'!M27</x:f>
        <x:v>PASS</x:v>
      </x:c>
      <x:c r="H27" s="35" t="str">
        <x:f>'ALL'!N27</x:f>
        <x:v>survey-021</x:v>
      </x:c>
      <x:c r="I27" s="32"/>
      <x:c r="J27" s="32"/>
      <x:c r="K27" s="32"/>
      <x:c r="L27" s="32"/>
      <x:c r="M27" s="32"/>
      <x:c r="N27" s="32"/>
    </x:row>
    <x:row r="28">
      <x:c r="A28" s="35" t="n">
        <x:f>'ALL'!A28</x:f>
        <x:v>2098.3837128</x:v>
      </x:c>
      <x:c r="B28" s="35" t="n">
        <x:f>'ALL'!F28</x:f>
        <x:v>581757.977354576</x:v>
      </x:c>
      <x:c r="C28" s="35" t="n">
        <x:f>'ALL'!I28</x:f>
        <x:v>26020.407058820667</x:v>
      </x:c>
      <x:c r="D28" s="35" t="n">
        <x:f>'ALL'!K28</x:f>
        <x:v>6607.2154035717995</x:v>
      </x:c>
      <x:c r="E28" s="35" t="n">
        <x:f>'ALL'!L28</x:f>
        <x:v>13214.430807143599</x:v>
      </x:c>
      <x:c r="F28" s="35" t="n">
        <x:f>B28-E28</x:f>
        <x:v>568543.5465474324</x:v>
      </x:c>
      <x:c r="G28" s="35" t="str">
        <x:f>'ALL'!M28</x:f>
        <x:v>PASS</x:v>
      </x:c>
      <x:c r="H28" s="35" t="str">
        <x:f>'ALL'!N28</x:f>
        <x:v>survey-022</x:v>
      </x:c>
      <x:c r="I28" s="32"/>
      <x:c r="J28" s="32"/>
      <x:c r="K28" s="32"/>
      <x:c r="L28" s="32"/>
      <x:c r="M28" s="32"/>
      <x:c r="N28" s="32"/>
    </x:row>
    <x:row r="29">
      <x:c r="A29" s="35" t="n">
        <x:f>'ALL'!A29</x:f>
        <x:v>2173.9945344000002</x:v>
      </x:c>
      <x:c r="B29" s="35" t="n">
        <x:f>'ALL'!F29</x:f>
        <x:v>598394.2715607802</x:v>
      </x:c>
      <x:c r="C29" s="35" t="n">
        <x:f>'ALL'!I29</x:f>
        <x:v>26019.31724151856</x:v>
      </x:c>
      <x:c r="D29" s="35" t="n">
        <x:f>'ALL'!K29</x:f>
        <x:v>6419.267007502434</x:v>
      </x:c>
      <x:c r="E29" s="35" t="n">
        <x:f>'ALL'!L29</x:f>
        <x:v>12838.534015004869</x:v>
      </x:c>
      <x:c r="F29" s="35" t="n">
        <x:f>B29-E29</x:f>
        <x:v>585555.7375457754</x:v>
      </x:c>
      <x:c r="G29" s="35" t="str">
        <x:f>'ALL'!M29</x:f>
        <x:v>PASS</x:v>
      </x:c>
      <x:c r="H29" s="35" t="str">
        <x:f>'ALL'!N29</x:f>
        <x:v>survey-023</x:v>
      </x:c>
      <x:c r="I29" s="32"/>
      <x:c r="J29" s="32"/>
      <x:c r="K29" s="32"/>
      <x:c r="L29" s="32"/>
      <x:c r="M29" s="32"/>
      <x:c r="N29" s="32"/>
    </x:row>
    <x:row r="30">
      <x:c r="A30" s="35" t="n">
        <x:f>'ALL'!A30</x:f>
        <x:v>2250.1543008</x:v>
      </x:c>
      <x:c r="B30" s="35" t="n">
        <x:f>'ALL'!F30</x:f>
        <x:v>615162.8034411283</x:v>
      </x:c>
      <x:c r="C30" s="35" t="n">
        <x:f>'ALL'!I30</x:f>
        <x:v>26018.002584678557</x:v>
      </x:c>
      <x:c r="D30" s="35" t="n">
        <x:f>'ALL'!K30</x:f>
        <x:v>6174.609456279386</x:v>
      </x:c>
      <x:c r="E30" s="35" t="n">
        <x:f>'ALL'!L30</x:f>
        <x:v>12349.218912558772</x:v>
      </x:c>
      <x:c r="F30" s="35" t="n">
        <x:f>B30-E30</x:f>
        <x:v>602813.5845285696</x:v>
      </x:c>
      <x:c r="G30" s="35" t="str">
        <x:f>'ALL'!M30</x:f>
        <x:v>PASS</x:v>
      </x:c>
      <x:c r="H30" s="35" t="str">
        <x:f>'ALL'!N30</x:f>
        <x:v>survey-024</x:v>
      </x:c>
      <x:c r="I30" s="32"/>
      <x:c r="J30" s="32"/>
      <x:c r="K30" s="32"/>
      <x:c r="L30" s="32"/>
      <x:c r="M30" s="32"/>
      <x:c r="N30" s="32"/>
    </x:row>
    <x:row r="31">
      <x:c r="A31" s="35" t="n">
        <x:f>'ALL'!A31</x:f>
        <x:v>2326.9172664000002</x:v>
      </x:c>
      <x:c r="B31" s="35" t="n">
        <x:f>'ALL'!F31</x:f>
        <x:v>632077.6149666572</x:v>
      </x:c>
      <x:c r="C31" s="35" t="n">
        <x:f>'ALL'!I31</x:f>
        <x:v>26016.43450087289</x:v>
      </x:c>
      <x:c r="D31" s="35" t="n">
        <x:f>'ALL'!K31</x:f>
        <x:v>5876.344539699765</x:v>
      </x:c>
      <x:c r="E31" s="35" t="n">
        <x:f>'ALL'!L31</x:f>
        <x:v>11752.68907939953</x:v>
      </x:c>
      <x:c r="F31" s="35" t="n">
        <x:f>B31-E31</x:f>
        <x:v>620324.9258872577</x:v>
      </x:c>
      <x:c r="G31" s="35" t="str">
        <x:f>'ALL'!M31</x:f>
        <x:v>PASS</x:v>
      </x:c>
      <x:c r="H31" s="35" t="str">
        <x:f>'ALL'!N31</x:f>
        <x:v>survey-025</x:v>
      </x:c>
      <x:c r="I31" s="32"/>
      <x:c r="J31" s="32"/>
      <x:c r="K31" s="32"/>
      <x:c r="L31" s="32"/>
      <x:c r="M31" s="32"/>
      <x:c r="N31" s="32"/>
    </x:row>
    <x:row r="32">
      <x:c r="A32" s="35" t="n">
        <x:f>'ALL'!A32</x:f>
        <x:v>2404.030752</x:v>
      </x:c>
      <x:c r="B32" s="35" t="n">
        <x:f>'ALL'!F32</x:f>
        <x:v>649084.5607830377</x:v>
      </x:c>
      <x:c r="C32" s="35" t="n">
        <x:f>'ALL'!I32</x:f>
        <x:v>26014.617653010104</x:v>
      </x:c>
      <x:c r="D32" s="35" t="n">
        <x:f>'ALL'!K32</x:f>
        <x:v>5529.406533740687</x:v>
      </x:c>
      <x:c r="E32" s="35" t="n">
        <x:f>'ALL'!L32</x:f>
        <x:v>11058.813067481375</x:v>
      </x:c>
      <x:c r="F32" s="35" t="n">
        <x:f>B32-E32</x:f>
        <x:v>638025.7477155563</x:v>
      </x:c>
      <x:c r="G32" s="35" t="str">
        <x:f>'ALL'!M32</x:f>
        <x:v>PASS</x:v>
      </x:c>
      <x:c r="H32" s="35" t="str">
        <x:f>'ALL'!N32</x:f>
        <x:v>survey-026</x:v>
      </x:c>
      <x:c r="I32" s="32"/>
      <x:c r="J32" s="32"/>
      <x:c r="K32" s="32"/>
      <x:c r="L32" s="32"/>
      <x:c r="M32" s="32"/>
      <x:c r="N32" s="32"/>
    </x:row>
    <x:row r="33">
      <x:c r="A33" s="35" t="n">
        <x:f>'ALL'!A33</x:f>
        <x:v>2481.0637704</x:v>
      </x:c>
      <x:c r="B33" s="35" t="n">
        <x:f>'ALL'!F33</x:f>
        <x:v>666089.5530951733</x:v>
      </x:c>
      <x:c r="C33" s="35" t="n">
        <x:f>'ALL'!I33</x:f>
        <x:v>26012.596677903195</x:v>
      </x:c>
      <x:c r="D33" s="35" t="n">
        <x:f>'ALL'!K33</x:f>
        <x:v>5135.638179379317</x:v>
      </x:c>
      <x:c r="E33" s="35" t="n">
        <x:f>'ALL'!L33</x:f>
        <x:v>10271.276358758634</x:v>
      </x:c>
      <x:c r="F33" s="35" t="n">
        <x:f>B33-E33</x:f>
        <x:v>655818.2767364146</x:v>
      </x:c>
      <x:c r="G33" s="35" t="str">
        <x:f>'ALL'!M33</x:f>
        <x:v>PASS</x:v>
      </x:c>
      <x:c r="H33" s="35" t="str">
        <x:f>'ALL'!N33</x:f>
        <x:v>survey-027</x:v>
      </x:c>
      <x:c r="I33" s="32"/>
      <x:c r="J33" s="32"/>
      <x:c r="K33" s="32"/>
      <x:c r="L33" s="32"/>
      <x:c r="M33" s="32"/>
      <x:c r="N33" s="32"/>
    </x:row>
    <x:row r="34">
      <x:c r="A34" s="35" t="n">
        <x:f>'ALL'!A34</x:f>
        <x:v>2557.6252632</x:v>
      </x:c>
      <x:c r="B34" s="35" t="n">
        <x:f>'ALL'!F34</x:f>
        <x:v>683006.0673463177</x:v>
      </x:c>
      <x:c r="C34" s="35" t="n">
        <x:f>'ALL'!I34</x:f>
        <x:v>26010.536984392053</x:v>
      </x:c>
      <x:c r="D34" s="35" t="n">
        <x:f>'ALL'!K34</x:f>
        <x:v>4711.485253484027</x:v>
      </x:c>
      <x:c r="E34" s="35" t="n">
        <x:f>'ALL'!L34</x:f>
        <x:v>9422.970506968055</x:v>
      </x:c>
      <x:c r="F34" s="35" t="n">
        <x:f>B34-E34</x:f>
        <x:v>673583.0968393496</x:v>
      </x:c>
      <x:c r="G34" s="35" t="str">
        <x:f>'ALL'!M34</x:f>
        <x:v>PASS</x:v>
      </x:c>
      <x:c r="H34" s="35" t="str">
        <x:f>'ALL'!N34</x:f>
        <x:v>survey-028</x:v>
      </x:c>
      <x:c r="I34" s="32"/>
      <x:c r="J34" s="32"/>
      <x:c r="K34" s="32"/>
      <x:c r="L34" s="32"/>
      <x:c r="M34" s="32"/>
      <x:c r="N34" s="32"/>
    </x:row>
    <x:row r="35">
      <x:c r="A35" s="35" t="n">
        <x:f>'ALL'!A35</x:f>
        <x:v>2633.5658784</x:v>
      </x:c>
      <x:c r="B35" s="35" t="n">
        <x:f>'ALL'!F35</x:f>
        <x:v>699800.3995342111</x:v>
      </x:c>
      <x:c r="C35" s="35" t="n">
        <x:f>'ALL'!I35</x:f>
        <x:v>26008.54616745755</x:v>
      </x:c>
      <x:c r="D35" s="35" t="n">
        <x:f>'ALL'!K35</x:f>
        <x:v>4260.430722586636</x:v>
      </x:c>
      <x:c r="E35" s="35" t="n">
        <x:f>'ALL'!L35</x:f>
        <x:v>8520.861445173272</x:v>
      </x:c>
      <x:c r="F35" s="35" t="n">
        <x:f>B35-E35</x:f>
        <x:v>691279.5380890379</x:v>
      </x:c>
      <x:c r="G35" s="35" t="str">
        <x:f>'ALL'!M35</x:f>
        <x:v>PASS</x:v>
      </x:c>
      <x:c r="H35" s="35" t="str">
        <x:f>'ALL'!N35</x:f>
        <x:v>survey-029</x:v>
      </x:c>
      <x:c r="I35" s="32"/>
      <x:c r="J35" s="32"/>
      <x:c r="K35" s="32"/>
      <x:c r="L35" s="32"/>
      <x:c r="M35" s="32"/>
      <x:c r="N35" s="32"/>
    </x:row>
    <x:row r="36">
      <x:c r="A36" s="35" t="n">
        <x:f>'ALL'!A36</x:f>
        <x:v>2709.0514272</x:v>
      </x:c>
      <x:c r="B36" s="35" t="n">
        <x:f>'ALL'!F36</x:f>
        <x:v>716507.5171333092</x:v>
      </x:c>
      <x:c r="C36" s="35" t="n">
        <x:f>'ALL'!I36</x:f>
        <x:v>26006.790140961944</x:v>
      </x:c>
      <x:c r="D36" s="35" t="n">
        <x:f>'ALL'!K36</x:f>
        <x:v>3809.012087543358</x:v>
      </x:c>
      <x:c r="E36" s="35" t="n">
        <x:f>'ALL'!L36</x:f>
        <x:v>7618.024175086716</x:v>
      </x:c>
      <x:c r="F36" s="35" t="n">
        <x:f>B36-E36</x:f>
        <x:v>708889.4929582224</x:v>
      </x:c>
      <x:c r="G36" s="35" t="str">
        <x:f>'ALL'!M36</x:f>
        <x:v>PASS</x:v>
      </x:c>
      <x:c r="H36" s="35" t="str">
        <x:f>'ALL'!N36</x:f>
        <x:v>survey-030</x:v>
      </x:c>
      <x:c r="I36" s="32"/>
      <x:c r="J36" s="32"/>
      <x:c r="K36" s="32"/>
      <x:c r="L36" s="32"/>
      <x:c r="M36" s="32"/>
      <x:c r="N36" s="32"/>
    </x:row>
    <x:row r="37">
      <x:c r="A37" s="35" t="n">
        <x:f>'ALL'!A37</x:f>
        <x:v>2784.480588</x:v>
      </x:c>
      <x:c r="B37" s="35" t="n">
        <x:f>'ALL'!F37</x:f>
        <x:v>733213.5635852496</x:v>
      </x:c>
      <x:c r="C37" s="35" t="n">
        <x:f>'ALL'!I37</x:f>
        <x:v>26005.336108556217</x:v>
      </x:c>
      <x:c r="D37" s="35" t="n">
        <x:f>'ALL'!K37</x:f>
        <x:v>3377.9059561717727</x:v>
      </x:c>
      <x:c r="E37" s="35" t="n">
        <x:f>'ALL'!L37</x:f>
        <x:v>6755.811912343545</x:v>
      </x:c>
      <x:c r="F37" s="35" t="n">
        <x:f>B37-E37</x:f>
        <x:v>726457.7516729061</x:v>
      </x:c>
      <x:c r="G37" s="35" t="str">
        <x:f>'ALL'!M37</x:f>
        <x:v>PASS</x:v>
      </x:c>
      <x:c r="H37" s="35" t="str">
        <x:f>'ALL'!N37</x:f>
        <x:v>survey-031</x:v>
      </x:c>
      <x:c r="I37" s="32"/>
      <x:c r="J37" s="32"/>
      <x:c r="K37" s="32"/>
      <x:c r="L37" s="32"/>
      <x:c r="M37" s="32"/>
      <x:c r="N37" s="32"/>
    </x:row>
    <x:row r="38">
      <x:c r="A38" s="35" t="n">
        <x:f>'ALL'!A38</x:f>
        <x:v>2860.2800807999997</x:v>
      </x:c>
      <x:c r="B38" s="35" t="n">
        <x:f>'ALL'!F38</x:f>
        <x:v>750010.9735344269</x:v>
      </x:c>
      <x:c r="C38" s="35" t="n">
        <x:f>'ALL'!I38</x:f>
        <x:v>26004.17582405631</x:v>
      </x:c>
      <x:c r="D38" s="35" t="n">
        <x:f>'ALL'!K38</x:f>
        <x:v>2980.8684489930993</x:v>
      </x:c>
      <x:c r="E38" s="35" t="n">
        <x:f>'ALL'!L38</x:f>
        <x:v>5961.7368979861985</x:v>
      </x:c>
      <x:c r="F38" s="35" t="n">
        <x:f>B38-E38</x:f>
        <x:v>744049.2366364407</x:v>
      </x:c>
      <x:c r="G38" s="35" t="str">
        <x:f>'ALL'!M38</x:f>
        <x:v>PASS</x:v>
      </x:c>
      <x:c r="H38" s="35" t="str">
        <x:f>'ALL'!N38</x:f>
        <x:v>survey-032</x:v>
      </x:c>
      <x:c r="I38" s="32"/>
      <x:c r="J38" s="32"/>
      <x:c r="K38" s="32"/>
      <x:c r="L38" s="32"/>
      <x:c r="M38" s="32"/>
      <x:c r="N38" s="32"/>
    </x:row>
    <x:row r="39">
      <x:c r="A39" s="35" t="n">
        <x:f>'ALL'!A39</x:f>
        <x:v>2936.688564</x:v>
      </x:c>
      <x:c r="B39" s="35" t="n">
        <x:f>'ALL'!F39</x:f>
        <x:v>766951.240161732</x:v>
      </x:c>
      <x:c r="C39" s="35" t="n">
        <x:f>'ALL'!I39</x:f>
        <x:v>26003.2057613572</x:v>
      </x:c>
      <x:c r="D39" s="35" t="n">
        <x:f>'ALL'!K39</x:f>
        <x:v>2601.355278029806</x:v>
      </x:c>
      <x:c r="E39" s="35" t="n">
        <x:f>'ALL'!L39</x:f>
        <x:v>5202.710556059612</x:v>
      </x:c>
      <x:c r="F39" s="35" t="n">
        <x:f>B39-E39</x:f>
        <x:v>761748.5296056723</x:v>
      </x:c>
      <x:c r="G39" s="35" t="str">
        <x:f>'ALL'!M39</x:f>
        <x:v>PASS</x:v>
      </x:c>
      <x:c r="H39" s="35" t="str">
        <x:f>'ALL'!N39</x:f>
        <x:v>survey-033</x:v>
      </x:c>
      <x:c r="I39" s="32"/>
      <x:c r="J39" s="32"/>
      <x:c r="K39" s="32"/>
      <x:c r="L39" s="32"/>
      <x:c r="M39" s="32"/>
      <x:c r="N39" s="32"/>
    </x:row>
    <x:row r="40">
      <x:c r="A40" s="35" t="n">
        <x:f>'ALL'!A40</x:f>
        <x:v>3013.6334952</x:v>
      </x:c>
      <x:c r="B40" s="35" t="n">
        <x:f>'ALL'!F40</x:f>
        <x:v>784017.5061779759</x:v>
      </x:c>
      <x:c r="C40" s="35" t="n">
        <x:f>'ALL'!I40</x:f>
        <x:v>26002.330973268596</x:v>
      </x:c>
      <x:c r="D40" s="35" t="n">
        <x:f>'ALL'!K40</x:f>
        <x:v>2210.464287905019</x:v>
      </x:c>
      <x:c r="E40" s="35" t="n">
        <x:f>'ALL'!L40</x:f>
        <x:v>4420.928575810038</x:v>
      </x:c>
      <x:c r="F40" s="35" t="n">
        <x:f>B40-E40</x:f>
        <x:v>779596.5776021659</x:v>
      </x:c>
      <x:c r="G40" s="35" t="str">
        <x:f>'ALL'!M40</x:f>
        <x:v>PASS</x:v>
      </x:c>
      <x:c r="H40" s="35" t="str">
        <x:f>'ALL'!N40</x:f>
        <x:v>survey-034</x:v>
      </x:c>
      <x:c r="I40" s="32"/>
      <x:c r="J40" s="32"/>
      <x:c r="K40" s="32"/>
      <x:c r="L40" s="32"/>
      <x:c r="M40" s="32"/>
      <x:c r="N40" s="32"/>
    </x:row>
    <x:row r="41">
      <x:c r="A41" s="35" t="n">
        <x:f>'ALL'!A41</x:f>
        <x:v>3090.7698408</x:v>
      </x:c>
      <x:c r="B41" s="35" t="n">
        <x:f>'ALL'!F41</x:f>
        <x:v>801132.0373323669</x:v>
      </x:c>
      <x:c r="C41" s="35" t="n">
        <x:f>'ALL'!I41</x:f>
        <x:v>26001.59893728332</x:v>
      </x:c>
      <x:c r="D41" s="35" t="n">
        <x:f>'ALL'!K41</x:f>
        <x:v>1828.4835133349245</x:v>
      </x:c>
      <x:c r="E41" s="35" t="n">
        <x:f>'ALL'!L41</x:f>
        <x:v>3656.967026669849</x:v>
      </x:c>
      <x:c r="F41" s="35" t="n">
        <x:f>B41-E41</x:f>
        <x:v>797475.070305697</x:v>
      </x:c>
      <x:c r="G41" s="35" t="str">
        <x:f>'ALL'!M41</x:f>
        <x:v>PASS</x:v>
      </x:c>
      <x:c r="H41" s="35" t="str">
        <x:f>'ALL'!N41</x:f>
        <x:v>survey-035</x:v>
      </x:c>
      <x:c r="I41" s="32"/>
      <x:c r="J41" s="32"/>
      <x:c r="K41" s="32"/>
      <x:c r="L41" s="32"/>
      <x:c r="M41" s="32"/>
      <x:c r="N41" s="32"/>
    </x:row>
    <x:row r="42">
      <x:c r="A42" s="35" t="n">
        <x:f>'ALL'!A42</x:f>
        <x:v>3167.6544215999998</x:v>
      </x:c>
      <x:c r="B42" s="35" t="n">
        <x:f>'ALL'!F42</x:f>
        <x:v>818190.9258303377</x:v>
      </x:c>
      <x:c r="C42" s="35" t="n">
        <x:f>'ALL'!I42</x:f>
        <x:v>26001.566115479778</x:v>
      </x:c>
      <x:c r="D42" s="35" t="n">
        <x:f>'ALL'!K42</x:f>
        <x:v>1812.5797754308658</x:v>
      </x:c>
      <x:c r="E42" s="35" t="n">
        <x:f>'ALL'!L42</x:f>
        <x:v>3625.1595508617315</x:v>
      </x:c>
      <x:c r="F42" s="35" t="n">
        <x:f>B42-E42</x:f>
        <x:v>814565.766279476</x:v>
      </x:c>
      <x:c r="G42" s="35" t="str">
        <x:f>'ALL'!M42</x:f>
        <x:v>PASS</x:v>
      </x:c>
      <x:c r="H42" s="35" t="str">
        <x:f>'ALL'!N42</x:f>
        <x:v>survey-036</x:v>
      </x:c>
      <x:c r="I42" s="32"/>
      <x:c r="J42" s="32"/>
      <x:c r="K42" s="32"/>
      <x:c r="L42" s="32"/>
      <x:c r="M42" s="32"/>
      <x:c r="N42" s="32"/>
    </x:row>
    <x:row r="43">
      <x:c r="A43" s="35" t="n">
        <x:f>'ALL'!A43</x:f>
        <x:v>3243.9723792</x:v>
      </x:c>
      <x:c r="B43" s="35" t="n">
        <x:f>'ALL'!F43</x:f>
        <x:v>835118.0075327385</x:v>
      </x:c>
      <x:c r="C43" s="35" t="n">
        <x:f>'ALL'!I43</x:f>
        <x:v>26002.327542905805</x:v>
      </x:c>
      <x:c r="D43" s="35" t="n">
        <x:f>'ALL'!K43</x:f>
        <x:v>2217.891733412791</x:v>
      </x:c>
      <x:c r="E43" s="35" t="n">
        <x:f>'ALL'!L43</x:f>
        <x:v>4435.783466825582</x:v>
      </x:c>
      <x:c r="F43" s="35" t="n">
        <x:f>B43-E43</x:f>
        <x:v>830682.2240659129</x:v>
      </x:c>
      <x:c r="G43" s="35" t="str">
        <x:f>'ALL'!M43</x:f>
        <x:v>PASS</x:v>
      </x:c>
      <x:c r="H43" s="35" t="str">
        <x:f>'ALL'!N43</x:f>
        <x:v>survey-037</x:v>
      </x:c>
      <x:c r="I43" s="32"/>
      <x:c r="J43" s="32"/>
      <x:c r="K43" s="32"/>
      <x:c r="L43" s="32"/>
      <x:c r="M43" s="32"/>
      <x:c r="N43" s="32"/>
    </x:row>
    <x:row r="44">
      <x:c r="A44" s="35" t="n">
        <x:f>'ALL'!A44</x:f>
        <x:v>3319.6978056000003</x:v>
      </x:c>
      <x:c r="B44" s="35" t="n">
        <x:f>'ALL'!F44</x:f>
        <x:v>851906.0400679975</x:v>
      </x:c>
      <x:c r="C44" s="35" t="n">
        <x:f>'ALL'!I44</x:f>
        <x:v>26003.27817969412</x:v>
      </x:c>
      <x:c r="D44" s="35" t="n">
        <x:f>'ALL'!K44</x:f>
        <x:v>2642.4110592528173</x:v>
      </x:c>
      <x:c r="E44" s="35" t="n">
        <x:f>'ALL'!L44</x:f>
        <x:v>5284.8221185056345</x:v>
      </x:c>
      <x:c r="F44" s="35" t="n">
        <x:f>B44-E44</x:f>
        <x:v>846621.2179494919</x:v>
      </x:c>
      <x:c r="G44" s="35" t="str">
        <x:f>'ALL'!M44</x:f>
        <x:v>PASS</x:v>
      </x:c>
      <x:c r="H44" s="35" t="str">
        <x:f>'ALL'!N44</x:f>
        <x:v>survey-038</x:v>
      </x:c>
      <x:c r="I44" s="32"/>
      <x:c r="J44" s="32"/>
      <x:c r="K44" s="32"/>
      <x:c r="L44" s="32"/>
      <x:c r="M44" s="32"/>
      <x:c r="N44" s="32"/>
    </x:row>
    <x:row r="45">
      <x:c r="A45" s="35" t="n">
        <x:f>'ALL'!A45</x:f>
        <x:v>3395.1068496000003</x:v>
      </x:c>
      <x:c r="B45" s="35" t="n">
        <x:f>'ALL'!F45</x:f>
        <x:v>868616.94718898</x:v>
      </x:c>
      <x:c r="C45" s="35" t="n">
        <x:f>'ALL'!I45</x:f>
        <x:v>26004.15153605139</x:v>
      </x:c>
      <x:c r="D45" s="35" t="n">
        <x:f>'ALL'!K45</x:f>
        <x:v>2979.8716159706937</x:v>
      </x:c>
      <x:c r="E45" s="35" t="n">
        <x:f>'ALL'!L45</x:f>
        <x:v>5959.743231941387</x:v>
      </x:c>
      <x:c r="F45" s="35" t="n">
        <x:f>B45-E45</x:f>
        <x:v>862657.2039570386</x:v>
      </x:c>
      <x:c r="G45" s="35" t="str">
        <x:f>'ALL'!M45</x:f>
        <x:v>PASS</x:v>
      </x:c>
      <x:c r="H45" s="35" t="str">
        <x:f>'ALL'!N45</x:f>
        <x:v>survey-039</x:v>
      </x:c>
      <x:c r="I45" s="32"/>
      <x:c r="J45" s="32"/>
      <x:c r="K45" s="32"/>
      <x:c r="L45" s="32"/>
      <x:c r="M45" s="32"/>
      <x:c r="N45" s="32"/>
    </x:row>
    <x:row r="46">
      <x:c r="A46" s="35" t="n">
        <x:f>'ALL'!A46</x:f>
        <x:v>3470.6368992</x:v>
      </x:c>
      <x:c r="B46" s="35" t="n">
        <x:f>'ALL'!F46</x:f>
        <x:v>885348.6982656334</x:v>
      </x:c>
      <x:c r="C46" s="35" t="n">
        <x:f>'ALL'!I46</x:f>
        <x:v>26004.916553862808</x:v>
      </x:c>
      <x:c r="D46" s="35" t="n">
        <x:f>'ALL'!K46</x:f>
        <x:v>3240.2265772593487</x:v>
      </x:c>
      <x:c r="E46" s="35" t="n">
        <x:f>'ALL'!L46</x:f>
        <x:v>6480.453154518697</x:v>
      </x:c>
      <x:c r="F46" s="35" t="n">
        <x:f>B46-E46</x:f>
        <x:v>878868.2451111147</x:v>
      </x:c>
      <x:c r="G46" s="35" t="str">
        <x:f>'ALL'!M46</x:f>
        <x:v>PASS</x:v>
      </x:c>
      <x:c r="H46" s="35" t="str">
        <x:f>'ALL'!N46</x:f>
        <x:v>survey-040</x:v>
      </x:c>
      <x:c r="I46" s="32"/>
      <x:c r="J46" s="32"/>
      <x:c r="K46" s="32"/>
      <x:c r="L46" s="32"/>
      <x:c r="M46" s="32"/>
      <x:c r="N46" s="32"/>
    </x:row>
    <x:row r="47">
      <x:c r="A47" s="35" t="n">
        <x:f>'ALL'!A47</x:f>
        <x:v>3546.6631632</x:v>
      </x:c>
      <x:c r="B47" s="35" t="n">
        <x:f>'ALL'!F47</x:f>
        <x:v>902184.4548048641</x:v>
      </x:c>
      <x:c r="C47" s="35" t="n">
        <x:f>'ALL'!I47</x:f>
        <x:v>26005.700459349162</x:v>
      </x:c>
      <x:c r="D47" s="35" t="n">
        <x:f>'ALL'!K47</x:f>
        <x:v>3477.5866978427607</x:v>
      </x:c>
      <x:c r="E47" s="35" t="n">
        <x:f>'ALL'!L47</x:f>
        <x:v>6955.173395685521</x:v>
      </x:c>
      <x:c r="F47" s="35" t="n">
        <x:f>B47-E47</x:f>
        <x:v>895229.2814091786</x:v>
      </x:c>
      <x:c r="G47" s="35" t="str">
        <x:f>'ALL'!M47</x:f>
        <x:v>PASS</x:v>
      </x:c>
      <x:c r="H47" s="35" t="str">
        <x:f>'ALL'!N47</x:f>
        <x:v>survey-041</x:v>
      </x:c>
      <x:c r="I47" s="32"/>
      <x:c r="J47" s="32"/>
      <x:c r="K47" s="32"/>
      <x:c r="L47" s="32"/>
      <x:c r="M47" s="32"/>
      <x:c r="N47" s="32"/>
    </x:row>
    <x:row r="48">
      <x:c r="A48" s="35" t="n">
        <x:f>'ALL'!A48</x:f>
        <x:v>3623.3087808</x:v>
      </x:c>
      <x:c r="B48" s="35" t="n">
        <x:f>'ALL'!F48</x:f>
        <x:v>919150.4032984045</x:v>
      </x:c>
      <x:c r="C48" s="35" t="n">
        <x:f>'ALL'!I48</x:f>
        <x:v>26006.63104530587</x:v>
      </x:c>
      <x:c r="D48" s="35" t="n">
        <x:f>'ALL'!K48</x:f>
        <x:v>3735.52973462342</x:v>
      </x:c>
      <x:c r="E48" s="35" t="n">
        <x:f>'ALL'!L48</x:f>
        <x:v>7471.05946924684</x:v>
      </x:c>
      <x:c r="F48" s="35" t="n">
        <x:f>B48-E48</x:f>
        <x:v>911679.3438291576</x:v>
      </x:c>
      <x:c r="G48" s="35" t="str">
        <x:f>'ALL'!M48</x:f>
        <x:v>PASS</x:v>
      </x:c>
      <x:c r="H48" s="35" t="str">
        <x:f>'ALL'!N48</x:f>
        <x:v>survey-042</x:v>
      </x:c>
      <x:c r="I48" s="32"/>
      <x:c r="J48" s="32"/>
      <x:c r="K48" s="32"/>
      <x:c r="L48" s="32"/>
      <x:c r="M48" s="32"/>
      <x:c r="N48" s="32"/>
    </x:row>
    <x:row r="49">
      <x:c r="A49" s="35" t="n">
        <x:f>'ALL'!A49</x:f>
        <x:v>3700.3805088</x:v>
      </x:c>
      <x:c r="B49" s="35" t="n">
        <x:f>'ALL'!F49</x:f>
        <x:v>936201.9429977234</x:v>
      </x:c>
      <x:c r="C49" s="35" t="n">
        <x:f>'ALL'!I49</x:f>
        <x:v>26007.776719990547</x:v>
      </x:c>
      <x:c r="D49" s="35" t="n">
        <x:f>'ALL'!K49</x:f>
        <x:v>4034.182554764465</x:v>
      </x:c>
      <x:c r="E49" s="35" t="n">
        <x:f>'ALL'!L49</x:f>
        <x:v>8068.36510952893</x:v>
      </x:c>
      <x:c r="F49" s="35" t="n">
        <x:f>B49-E49</x:f>
        <x:v>928133.5778881945</x:v>
      </x:c>
      <x:c r="G49" s="35" t="str">
        <x:f>'ALL'!M49</x:f>
        <x:v>PASS</x:v>
      </x:c>
      <x:c r="H49" s="35" t="str">
        <x:f>'ALL'!N49</x:f>
        <x:v>survey-043</x:v>
      </x:c>
      <x:c r="I49" s="32"/>
      <x:c r="J49" s="32"/>
      <x:c r="K49" s="32"/>
      <x:c r="L49" s="32"/>
      <x:c r="M49" s="32"/>
      <x:c r="N49" s="32"/>
    </x:row>
    <x:row r="50">
      <x:c r="A50" s="35" t="n">
        <x:f>'ALL'!A50</x:f>
        <x:v>3777.4683912</x:v>
      </x:c>
      <x:c r="B50" s="35" t="n">
        <x:f>'ALL'!F50</x:f>
        <x:v>953247.3732166202</x:v>
      </x:c>
      <x:c r="C50" s="35" t="n">
        <x:f>'ALL'!I50</x:f>
        <x:v>26009.0081570259</x:v>
      </x:c>
      <x:c r="D50" s="35" t="n">
        <x:f>'ALL'!K50</x:f>
        <x:v>4341.399783443597</x:v>
      </x:c>
      <x:c r="E50" s="35" t="n">
        <x:f>'ALL'!L50</x:f>
        <x:v>8682.799566887194</x:v>
      </x:c>
      <x:c r="F50" s="35" t="n">
        <x:f>B50-E50</x:f>
        <x:v>944564.573649733</x:v>
      </x:c>
      <x:c r="G50" s="35" t="str">
        <x:f>'ALL'!M50</x:f>
        <x:v>PASS</x:v>
      </x:c>
      <x:c r="H50" s="35" t="str">
        <x:f>'ALL'!N50</x:f>
        <x:v>survey-044</x:v>
      </x:c>
      <x:c r="I50" s="32"/>
      <x:c r="J50" s="32"/>
      <x:c r="K50" s="32"/>
      <x:c r="L50" s="32"/>
      <x:c r="M50" s="32"/>
      <x:c r="N50" s="32"/>
    </x:row>
    <x:row r="51">
      <x:c r="A51" s="35" t="n">
        <x:f>'ALL'!A51</x:f>
        <x:v>3854.1542424</x:v>
      </x:c>
      <x:c r="B51" s="35" t="n">
        <x:f>'ALL'!F51</x:f>
        <x:v>970194.0804175219</x:v>
      </x:c>
      <x:c r="C51" s="35" t="n">
        <x:f>'ALL'!I51</x:f>
        <x:v>26010.209224543964</x:v>
      </x:c>
      <x:c r="D51" s="35" t="n">
        <x:f>'ALL'!K51</x:f>
        <x:v>4633.867599663519</x:v>
      </x:c>
      <x:c r="E51" s="35" t="n">
        <x:f>'ALL'!L51</x:f>
        <x:v>9267.735199327039</x:v>
      </x:c>
      <x:c r="F51" s="35" t="n">
        <x:f>B51-E51</x:f>
        <x:v>960926.3452181949</x:v>
      </x:c>
      <x:c r="G51" s="35" t="str">
        <x:f>'ALL'!M51</x:f>
        <x:v>PASS</x:v>
      </x:c>
      <x:c r="H51" s="35" t="str">
        <x:f>'ALL'!N51</x:f>
        <x:v>survey-045</x:v>
      </x:c>
      <x:c r="I51" s="32"/>
      <x:c r="J51" s="32"/>
      <x:c r="K51" s="32"/>
      <x:c r="L51" s="32"/>
      <x:c r="M51" s="32"/>
      <x:c r="N51" s="32"/>
    </x:row>
    <x:row r="52">
      <x:c r="A52" s="35" t="n">
        <x:f>'ALL'!A52</x:f>
        <x:v>3930.2240928</x:v>
      </x:c>
      <x:c r="B52" s="35" t="n">
        <x:f>'ALL'!F52</x:f>
        <x:v>986995.911058625</x:v>
      </x:c>
      <x:c r="C52" s="35" t="n">
        <x:f>'ALL'!I52</x:f>
        <x:v>26011.238128073786</x:v>
      </x:c>
      <x:c r="D52" s="35" t="n">
        <x:f>'ALL'!K52</x:f>
        <x:v>4881.413205013298</x:v>
      </x:c>
      <x:c r="E52" s="35" t="n">
        <x:f>'ALL'!L52</x:f>
        <x:v>9762.826410026595</x:v>
      </x:c>
      <x:c r="F52" s="35" t="n">
        <x:f>B52-E52</x:f>
        <x:v>977233.0846485983</x:v>
      </x:c>
      <x:c r="G52" s="35" t="str">
        <x:f>'ALL'!M52</x:f>
        <x:v>PASS</x:v>
      </x:c>
      <x:c r="H52" s="35" t="str">
        <x:f>'ALL'!N52</x:f>
        <x:v>survey-046</x:v>
      </x:c>
      <x:c r="I52" s="32"/>
      <x:c r="J52" s="32"/>
      <x:c r="K52" s="32"/>
      <x:c r="L52" s="32"/>
      <x:c r="M52" s="32"/>
      <x:c r="N52" s="32"/>
    </x:row>
    <x:row r="53">
      <x:c r="A53" s="35" t="n">
        <x:f>'ALL'!A53</x:f>
        <x:v>4005.779136</x:v>
      </x:c>
      <x:c r="B53" s="35" t="n">
        <x:f>'ALL'!F53</x:f>
        <x:v>1003676.8408510318</x:v>
      </x:c>
      <x:c r="C53" s="35" t="n">
        <x:f>'ALL'!I53</x:f>
        <x:v>26012.075643901448</x:v>
      </x:c>
      <x:c r="D53" s="35" t="n">
        <x:f>'ALL'!K53</x:f>
        <x:v>5077.246908811857</x:v>
      </x:c>
      <x:c r="E53" s="35" t="n">
        <x:f>'ALL'!L53</x:f>
        <x:v>10154.493817623714</x:v>
      </x:c>
      <x:c r="F53" s="35" t="n">
        <x:f>B53-E53</x:f>
        <x:v>993522.3470334081</x:v>
      </x:c>
      <x:c r="G53" s="35" t="str">
        <x:f>'ALL'!M53</x:f>
        <x:v>PASS</x:v>
      </x:c>
      <x:c r="H53" s="35" t="str">
        <x:f>'ALL'!N53</x:f>
        <x:v>survey-047</x:v>
      </x:c>
      <x:c r="I53" s="32"/>
      <x:c r="J53" s="32"/>
      <x:c r="K53" s="32"/>
      <x:c r="L53" s="32"/>
      <x:c r="M53" s="32"/>
      <x:c r="N53" s="32"/>
    </x:row>
    <x:row r="54">
      <x:c r="A54" s="35" t="n">
        <x:f>'ALL'!A54</x:f>
        <x:v>4081.1817792</x:v>
      </x:c>
      <x:c r="B54" s="35" t="n">
        <x:f>'ALL'!F54</x:f>
        <x:v>1020318.5401385546</x:v>
      </x:c>
      <x:c r="C54" s="35" t="n">
        <x:f>'ALL'!I54</x:f>
        <x:v>26012.760436684606</x:v>
      </x:c>
      <x:c r="D54" s="35" t="n">
        <x:f>'ALL'!K54</x:f>
        <x:v>5224.495357305971</x:v>
      </x:c>
      <x:c r="E54" s="35" t="n">
        <x:f>'ALL'!L54</x:f>
        <x:v>10448.990714611942</x:v>
      </x:c>
      <x:c r="F54" s="35" t="n">
        <x:f>B54-E54</x:f>
        <x:v>1009869.5494239427</x:v>
      </x:c>
      <x:c r="G54" s="35" t="str">
        <x:f>'ALL'!M54</x:f>
        <x:v>PASS</x:v>
      </x:c>
      <x:c r="H54" s="35" t="str">
        <x:f>'ALL'!N54</x:f>
        <x:v>survey-048</x:v>
      </x:c>
      <x:c r="I54" s="32"/>
      <x:c r="J54" s="32"/>
      <x:c r="K54" s="32"/>
      <x:c r="L54" s="32"/>
      <x:c r="M54" s="32"/>
      <x:c r="N54" s="32"/>
    </x:row>
    <x:row r="55">
      <x:c r="A55" s="35" t="n">
        <x:f>'ALL'!A55</x:f>
        <x:v>4156.8727632</x:v>
      </x:c>
      <x:c r="B55" s="35" t="n">
        <x:f>'ALL'!F55</x:f>
        <x:v>1037019.7969557836</x:v>
      </x:c>
      <x:c r="C55" s="35" t="n">
        <x:f>'ALL'!I55</x:f>
        <x:v>26013.327465101727</x:v>
      </x:c>
      <x:c r="D55" s="35" t="n">
        <x:f>'ALL'!K55</x:f>
        <x:v>5329.133078724494</x:v>
      </x:c>
      <x:c r="E55" s="35" t="n">
        <x:f>'ALL'!L55</x:f>
        <x:v>10658.266157448988</x:v>
      </x:c>
      <x:c r="F55" s="35" t="n">
        <x:f>B55-E55</x:f>
        <x:v>1026361.5307983346</x:v>
      </x:c>
      <x:c r="G55" s="35" t="str">
        <x:f>'ALL'!M55</x:f>
        <x:v>PASS</x:v>
      </x:c>
      <x:c r="H55" s="35" t="str">
        <x:f>'ALL'!N55</x:f>
        <x:v>survey-049</x:v>
      </x:c>
      <x:c r="I55" s="32"/>
      <x:c r="J55" s="32"/>
      <x:c r="K55" s="32"/>
      <x:c r="L55" s="32"/>
      <x:c r="M55" s="32"/>
      <x:c r="N55" s="32"/>
    </x:row>
    <x:row r="56">
      <x:c r="A56" s="35" t="n">
        <x:f>'ALL'!A56</x:f>
        <x:v>4233.1456104</x:v>
      </x:c>
      <x:c r="B56" s="35" t="n">
        <x:f>'ALL'!F56</x:f>
        <x:v>1053846.4739392952</x:v>
      </x:c>
      <x:c r="C56" s="35" t="n">
        <x:f>'ALL'!I56</x:f>
        <x:v>26013.806887728948</x:v>
      </x:c>
      <x:c r="D56" s="35" t="n">
        <x:f>'ALL'!K56</x:f>
        <x:v>5403.408250563843</x:v>
      </x:c>
      <x:c r="E56" s="35" t="n">
        <x:f>'ALL'!L56</x:f>
        <x:v>10806.816501127685</x:v>
      </x:c>
      <x:c r="F56" s="35" t="n">
        <x:f>B56-E56</x:f>
        <x:v>1043039.6574381675</x:v>
      </x:c>
      <x:c r="G56" s="35" t="str">
        <x:f>'ALL'!M56</x:f>
        <x:v>PASS</x:v>
      </x:c>
      <x:c r="H56" s="35" t="str">
        <x:f>'ALL'!N56</x:f>
        <x:v>survey-050</x:v>
      </x:c>
      <x:c r="I56" s="32"/>
      <x:c r="J56" s="32"/>
      <x:c r="K56" s="32"/>
      <x:c r="L56" s="32"/>
      <x:c r="M56" s="32"/>
      <x:c r="N56" s="32"/>
    </x:row>
    <x:row r="57">
      <x:c r="A57" s="35" t="n">
        <x:f>'ALL'!A57</x:f>
        <x:v>4309.9975776</x:v>
      </x:c>
      <x:c r="B57" s="35" t="n">
        <x:f>'ALL'!F57</x:f>
        <x:v>1070799.1602705836</x:v>
      </x:c>
      <x:c r="C57" s="35" t="n">
        <x:f>'ALL'!I57</x:f>
        <x:v>26014.1341296423</x:v>
      </x:c>
      <x:c r="D57" s="35" t="n">
        <x:f>'ALL'!K57</x:f>
        <x:v>5446.429733762008</x:v>
      </x:c>
      <x:c r="E57" s="35" t="n">
        <x:f>'ALL'!L57</x:f>
        <x:v>10892.859467524017</x:v>
      </x:c>
      <x:c r="F57" s="35" t="n">
        <x:f>B57-E57</x:f>
        <x:v>1059906.3008030595</x:v>
      </x:c>
      <x:c r="G57" s="35" t="str">
        <x:f>'ALL'!M57</x:f>
        <x:v>PASS</x:v>
      </x:c>
      <x:c r="H57" s="35" t="str">
        <x:f>'ALL'!N57</x:f>
        <x:v>survey-051</x:v>
      </x:c>
      <x:c r="I57" s="32"/>
      <x:c r="J57" s="32"/>
      <x:c r="K57" s="32"/>
      <x:c r="L57" s="32"/>
      <x:c r="M57" s="32"/>
      <x:c r="N57" s="32"/>
    </x:row>
    <x:row r="58">
      <x:c r="A58" s="35" t="n">
        <x:f>'ALL'!A58</x:f>
        <x:v>4387.1302656</x:v>
      </x:c>
      <x:c r="B58" s="35" t="n">
        <x:f>'ALL'!F58</x:f>
        <x:v>1087812.9940658004</x:v>
      </x:c>
      <x:c r="C58" s="35" t="n">
        <x:f>'ALL'!I58</x:f>
        <x:v>26014.28436234635</x:v>
      </x:c>
      <x:c r="D58" s="35" t="n">
        <x:f>'ALL'!K58</x:f>
        <x:v>5465.325847757959</x:v>
      </x:c>
      <x:c r="E58" s="35" t="n">
        <x:f>'ALL'!L58</x:f>
        <x:v>10930.651695515919</x:v>
      </x:c>
      <x:c r="F58" s="35" t="n">
        <x:f>B58-E58</x:f>
        <x:v>1076882.3423702845</x:v>
      </x:c>
      <x:c r="G58" s="35" t="str">
        <x:f>'ALL'!M58</x:f>
        <x:v>PASS</x:v>
      </x:c>
      <x:c r="H58" s="35" t="str">
        <x:f>'ALL'!N58</x:f>
        <x:v>survey-052</x:v>
      </x:c>
      <x:c r="I58" s="32"/>
      <x:c r="J58" s="32"/>
      <x:c r="K58" s="32"/>
      <x:c r="L58" s="32"/>
      <x:c r="M58" s="32"/>
      <x:c r="N58" s="32"/>
    </x:row>
    <x:row r="59">
      <x:c r="A59" s="35" t="n">
        <x:f>'ALL'!A59</x:f>
        <x:v>4464.1026288</x:v>
      </x:c>
      <x:c r="B59" s="35" t="n">
        <x:f>'ALL'!F59</x:f>
        <x:v>1104791.564922813</x:v>
      </x:c>
      <x:c r="C59" s="35" t="n">
        <x:f>'ALL'!I59</x:f>
        <x:v>26014.241805131667</x:v>
      </x:c>
      <x:c r="D59" s="35" t="n">
        <x:f>'ALL'!K59</x:f>
        <x:v>5462.8587766814835</x:v>
      </x:c>
      <x:c r="E59" s="35" t="n">
        <x:f>'ALL'!L59</x:f>
        <x:v>10925.717553362967</x:v>
      </x:c>
      <x:c r="F59" s="35" t="n">
        <x:f>B59-E59</x:f>
        <x:v>1093865.8473694501</x:v>
      </x:c>
      <x:c r="G59" s="35" t="str">
        <x:f>'ALL'!M59</x:f>
        <x:v>PASS</x:v>
      </x:c>
      <x:c r="H59" s="35" t="str">
        <x:f>'ALL'!N59</x:f>
        <x:v>survey-053</x:v>
      </x:c>
      <x:c r="I59" s="32"/>
      <x:c r="J59" s="32"/>
      <x:c r="K59" s="32"/>
      <x:c r="L59" s="32"/>
      <x:c r="M59" s="32"/>
      <x:c r="N59" s="32"/>
    </x:row>
    <x:row r="60">
      <x:c r="A60" s="35" t="n">
        <x:f>'ALL'!A60</x:f>
        <x:v>4540.555308</x:v>
      </x:c>
      <x:c r="B60" s="35" t="n">
        <x:f>'ALL'!F60</x:f>
        <x:v>1121656.1618409925</x:v>
      </x:c>
      <x:c r="C60" s="35" t="n">
        <x:f>'ALL'!I60</x:f>
        <x:v>26014.0620840039</x:v>
      </x:c>
      <x:c r="D60" s="35" t="n">
        <x:f>'ALL'!K60</x:f>
        <x:v>5446.698722331982</x:v>
      </x:c>
      <x:c r="E60" s="35" t="n">
        <x:f>'ALL'!L60</x:f>
        <x:v>10893.397444663964</x:v>
      </x:c>
      <x:c r="F60" s="35" t="n">
        <x:f>B60-E60</x:f>
        <x:v>1110762.7643963285</x:v>
      </x:c>
      <x:c r="G60" s="35" t="str">
        <x:f>'ALL'!M60</x:f>
        <x:v>PASS</x:v>
      </x:c>
      <x:c r="H60" s="35" t="str">
        <x:f>'ALL'!N60</x:f>
        <x:v>survey-054</x:v>
      </x:c>
      <x:c r="I60" s="32"/>
      <x:c r="J60" s="32"/>
      <x:c r="K60" s="32"/>
      <x:c r="L60" s="32"/>
      <x:c r="M60" s="32"/>
      <x:c r="N60" s="32"/>
    </x:row>
    <x:row r="61">
      <x:c r="A61" s="35" t="n">
        <x:f>'ALL'!A61</x:f>
        <x:v>4616.3935104</x:v>
      </x:c>
      <x:c r="B61" s="35" t="n">
        <x:f>'ALL'!F61</x:f>
        <x:v>1138386.296912006</x:v>
      </x:c>
      <x:c r="C61" s="35" t="n">
        <x:f>'ALL'!I61</x:f>
        <x:v>26013.81129384275</x:v>
      </x:c>
      <x:c r="D61" s="35" t="n">
        <x:f>'ALL'!K61</x:f>
        <x:v>5419.734744567189</x:v>
      </x:c>
      <x:c r="E61" s="35" t="n">
        <x:f>'ALL'!L61</x:f>
        <x:v>10839.469489134379</x:v>
      </x:c>
      <x:c r="F61" s="35" t="n">
        <x:f>B61-E61</x:f>
        <x:v>1127546.8274228717</x:v>
      </x:c>
      <x:c r="G61" s="35" t="str">
        <x:f>'ALL'!M61</x:f>
        <x:v>PASS</x:v>
      </x:c>
      <x:c r="H61" s="35" t="str">
        <x:f>'ALL'!N61</x:f>
        <x:v>survey-055</x:v>
      </x:c>
      <x:c r="I61" s="32"/>
      <x:c r="J61" s="32"/>
      <x:c r="K61" s="32"/>
      <x:c r="L61" s="32"/>
      <x:c r="M61" s="32"/>
      <x:c r="N61" s="32"/>
    </x:row>
    <x:row r="62">
      <x:c r="A62" s="35" t="n">
        <x:f>'ALL'!A62</x:f>
        <x:v>4691.8360824</x:v>
      </x:c>
      <x:c r="B62" s="35" t="n">
        <x:f>'ALL'!F62</x:f>
        <x:v>1155030.372613192</x:v>
      </x:c>
      <x:c r="C62" s="35" t="n">
        <x:f>'ALL'!I62</x:f>
        <x:v>26013.584572259704</x:v>
      </x:c>
      <x:c r="D62" s="35" t="n">
        <x:f>'ALL'!K62</x:f>
        <x:v>5389.141729174255</x:v>
      </x:c>
      <x:c r="E62" s="35" t="n">
        <x:f>'ALL'!L62</x:f>
        <x:v>10778.28345834851</x:v>
      </x:c>
      <x:c r="F62" s="35" t="n">
        <x:f>B62-E62</x:f>
        <x:v>1144252.0891548435</x:v>
      </x:c>
      <x:c r="G62" s="35" t="str">
        <x:f>'ALL'!M62</x:f>
        <x:v>PASS</x:v>
      </x:c>
      <x:c r="H62" s="35" t="str">
        <x:f>'ALL'!N62</x:f>
        <x:v>survey-056</x:v>
      </x:c>
      <x:c r="I62" s="32"/>
      <x:c r="J62" s="32"/>
      <x:c r="K62" s="32"/>
      <x:c r="L62" s="32"/>
      <x:c r="M62" s="32"/>
      <x:c r="N62" s="32"/>
    </x:row>
    <x:row r="63">
      <x:c r="A63" s="35" t="n">
        <x:f>'ALL'!A63</x:f>
        <x:v>4767.3027336000005</x:v>
      </x:c>
      <x:c r="B63" s="35" t="n">
        <x:f>'ALL'!F63</x:f>
        <x:v>1171680.8264845596</x:v>
      </x:c>
      <x:c r="C63" s="35" t="n">
        <x:f>'ALL'!I63</x:f>
        <x:v>26013.45354669791</x:v>
      </x:c>
      <x:c r="D63" s="35" t="n">
        <x:f>'ALL'!K63</x:f>
        <x:v>5362.233481314568</x:v>
      </x:c>
      <x:c r="E63" s="35" t="n">
        <x:f>'ALL'!L63</x:f>
        <x:v>10724.466962629136</x:v>
      </x:c>
      <x:c r="F63" s="35" t="n">
        <x:f>B63-E63</x:f>
        <x:v>1160956.3595219303</x:v>
      </x:c>
      <x:c r="G63" s="35" t="str">
        <x:f>'ALL'!M63</x:f>
        <x:v>PASS</x:v>
      </x:c>
      <x:c r="H63" s="35" t="str">
        <x:f>'ALL'!N63</x:f>
        <x:v>survey-057</x:v>
      </x:c>
      <x:c r="I63" s="32"/>
      <x:c r="J63" s="32"/>
      <x:c r="K63" s="32"/>
      <x:c r="L63" s="32"/>
      <x:c r="M63" s="32"/>
      <x:c r="N63" s="32"/>
    </x:row>
    <x:row r="64">
      <x:c r="A64" s="35" t="n">
        <x:f>'ALL'!A64</x:f>
        <x:v>4843.2018960000005</x:v>
      </x:c>
      <x:c r="B64" s="35" t="n">
        <x:f>'ALL'!F64</x:f>
        <x:v>1188427.2943145775</x:v>
      </x:c>
      <x:c r="C64" s="35" t="n">
        <x:f>'ALL'!I64</x:f>
        <x:v>26013.456025984033</x:v>
      </x:c>
      <x:c r="D64" s="35" t="n">
        <x:f>'ALL'!K64</x:f>
        <x:v>5347.425972648599</x:v>
      </x:c>
      <x:c r="E64" s="35" t="n">
        <x:f>'ALL'!L64</x:f>
        <x:v>10694.851945297198</x:v>
      </x:c>
      <x:c r="F64" s="35" t="n">
        <x:f>B64-E64</x:f>
        <x:v>1177732.4423692804</x:v>
      </x:c>
      <x:c r="G64" s="35" t="str">
        <x:f>'ALL'!M64</x:f>
        <x:v>PASS</x:v>
      </x:c>
      <x:c r="H64" s="35" t="str">
        <x:f>'ALL'!N64</x:f>
        <x:v>survey-058</x:v>
      </x:c>
      <x:c r="I64" s="32"/>
      <x:c r="J64" s="32"/>
      <x:c r="K64" s="32"/>
      <x:c r="L64" s="32"/>
      <x:c r="M64" s="32"/>
      <x:c r="N64" s="32"/>
    </x:row>
    <x:row r="65">
      <x:c r="A65" s="35" t="n">
        <x:f>'ALL'!A65</x:f>
        <x:v>4919.7207168</x:v>
      </x:c>
      <x:c r="B65" s="35" t="n">
        <x:f>'ALL'!F65</x:f>
        <x:v>1205310.4574943804</x:v>
      </x:c>
      <x:c r="C65" s="35" t="n">
        <x:f>'ALL'!I65</x:f>
        <x:v>26013.569275678037</x:v>
      </x:c>
      <x:c r="D65" s="35" t="n">
        <x:f>'ALL'!K65</x:f>
        <x:v>5348.094378791932</x:v>
      </x:c>
      <x:c r="E65" s="35" t="n">
        <x:f>'ALL'!L65</x:f>
        <x:v>10696.188757583865</x:v>
      </x:c>
      <x:c r="F65" s="35" t="n">
        <x:f>B65-E65</x:f>
        <x:v>1194614.2687367965</x:v>
      </x:c>
      <x:c r="G65" s="35" t="str">
        <x:f>'ALL'!M65</x:f>
        <x:v>PASS</x:v>
      </x:c>
      <x:c r="H65" s="35" t="str">
        <x:f>'ALL'!N65</x:f>
        <x:v>survey-059</x:v>
      </x:c>
      <x:c r="I65" s="32"/>
      <x:c r="J65" s="32"/>
      <x:c r="K65" s="32"/>
      <x:c r="L65" s="32"/>
      <x:c r="M65" s="32"/>
      <x:c r="N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 t="str">
        <x:f>"MD "&amp;'Unit Map'!$H$8</x:f>
        <x:v>MD m</x:v>
      </x:c>
      <x:c r="B68" s="32" t="str">
        <x:f>"Axial load "&amp;'Unit Map'!$H$14</x:f>
        <x:v>Axial load N</x:v>
      </x:c>
      <x:c r="C68" s="32" t="str">
        <x:f>"Sinusoidal limit "&amp;'Unit Map'!$H$14</x:f>
        <x:v>Sinusoidal limit N</x:v>
      </x:c>
      <x:c r="D68" s="32" t="str">
        <x:f>"Helical limit "&amp;'Unit Map'!$H$14</x:f>
        <x:v>Helical limit N</x:v>
      </x:c>
      <x:c r="E68" s="32"/>
      <x:c r="F68" s="32" t="str">
        <x:f>"MD "&amp;'Unit Map'!$H$8</x:f>
        <x:v>MD m</x:v>
      </x:c>
      <x:c r="G68" s="32" t="str">
        <x:f>"Torque "&amp;'Unit Map'!$H$16</x:f>
        <x:v>Torque N-m</x:v>
      </x:c>
      <x:c r="H68" s="32"/>
      <x:c r="I68" s="32"/>
      <x:c r="J68" s="32"/>
      <x:c r="K68" s="32"/>
      <x:c r="L68" s="32"/>
      <x:c r="M68" s="32"/>
      <x:c r="N68" s="32"/>
    </x:row>
    <x:row r="69">
      <x:c r="A69" s="32" t="n">
        <x:f>A6</x:f>
        <x:v>0</x:v>
      </x:c>
      <x:c r="B69" s="32" t="n">
        <x:f>B6</x:f>
        <x:v>120000</x:v>
      </x:c>
      <x:c r="C69" s="32" t="n">
        <x:f>D6</x:f>
        <x:v>0</x:v>
      </x:c>
      <x:c r="D69" s="32" t="n">
        <x:f>E6</x:f>
        <x:v>0</x:v>
      </x:c>
      <x:c r="E69" s="32"/>
      <x:c r="F69" s="32" t="n">
        <x:f>A6</x:f>
        <x:v>0</x:v>
      </x:c>
      <x:c r="G69" s="32" t="n">
        <x:f>C6</x:f>
        <x:v>26000</x:v>
      </x:c>
      <x:c r="H69" s="32"/>
      <x:c r="I69" s="32"/>
      <x:c r="J69" s="32"/>
      <x:c r="K69" s="32"/>
      <x:c r="L69" s="32"/>
      <x:c r="M69" s="32"/>
      <x:c r="N69" s="32"/>
    </x:row>
    <x:row r="70">
      <x:c r="A70" s="32" t="n">
        <x:f>A7</x:f>
        <x:v>155.10875760000002</x:v>
      </x:c>
      <x:c r="B70" s="32" t="n">
        <x:f>B7</x:f>
        <x:v>154369.6247643189</x:v>
      </x:c>
      <x:c r="C70" s="32" t="n">
        <x:f>D7</x:f>
        <x:v>3045.9878423456744</x:v>
      </x:c>
      <x:c r="D70" s="32" t="n">
        <x:f>E7</x:f>
        <x:v>6091.975684691349</x:v>
      </x:c>
      <x:c r="E70" s="32"/>
      <x:c r="F70" s="32" t="n">
        <x:f>A7</x:f>
        <x:v>155.10875760000002</x:v>
      </x:c>
      <x:c r="G70" s="32" t="n">
        <x:f>C7</x:f>
        <x:v>26008.922425328856</x:v>
      </x:c>
      <x:c r="H70" s="32"/>
      <x:c r="I70" s="32"/>
      <x:c r="J70" s="32"/>
      <x:c r="K70" s="32"/>
      <x:c r="L70" s="32"/>
      <x:c r="M70" s="32"/>
      <x:c r="N70" s="32"/>
    </x:row>
    <x:row r="71">
      <x:c r="A71" s="32" t="n">
        <x:f>A8</x:f>
        <x:v>307.974492</x:v>
      </x:c>
      <x:c r="B71" s="32" t="n">
        <x:f>B8</x:f>
        <x:v>188295.53791614895</x:v>
      </x:c>
      <x:c r="C71" s="32" t="n">
        <x:f>D8</x:f>
        <x:v>1461.161274893059</x:v>
      </x:c>
      <x:c r="D71" s="32" t="n">
        <x:f>E8</x:f>
        <x:v>2922.322549786118</x:v>
      </x:c>
      <x:c r="E71" s="32"/>
      <x:c r="F71" s="32" t="n">
        <x:f>A8</x:f>
        <x:v>307.974492</x:v>
      </x:c>
      <x:c r="G71" s="32" t="n">
        <x:f>C8</x:f>
        <x:v>26002.02346979533</x:v>
      </x:c>
      <x:c r="H71" s="32"/>
      <x:c r="I71" s="32"/>
      <x:c r="J71" s="32"/>
      <x:c r="K71" s="32"/>
      <x:c r="L71" s="32"/>
      <x:c r="M71" s="32"/>
      <x:c r="N71" s="32"/>
    </x:row>
    <x:row r="72">
      <x:c r="A72" s="32" t="n">
        <x:f>A9</x:f>
        <x:v>460.2227016</x:v>
      </x:c>
      <x:c r="B72" s="32" t="n">
        <x:f>B9</x:f>
        <x:v>222078.4629496525</x:v>
      </x:c>
      <x:c r="C72" s="32" t="n">
        <x:f>D9</x:f>
        <x:v>1712.910460216405</x:v>
      </x:c>
      <x:c r="D72" s="32" t="n">
        <x:f>E9</x:f>
        <x:v>3425.82092043281</x:v>
      </x:c>
      <x:c r="E72" s="32"/>
      <x:c r="F72" s="32" t="n">
        <x:f>A9</x:f>
        <x:v>460.2227016</x:v>
      </x:c>
      <x:c r="G72" s="32" t="n">
        <x:f>C9</x:f>
        <x:v>26002.769566444822</x:v>
      </x:c>
      <x:c r="H72" s="32"/>
      <x:c r="I72" s="32"/>
      <x:c r="J72" s="32"/>
      <x:c r="K72" s="32"/>
      <x:c r="L72" s="32"/>
      <x:c r="M72" s="32"/>
      <x:c r="N72" s="32"/>
    </x:row>
    <x:row r="73">
      <x:c r="A73" s="32" t="n">
        <x:f>A10</x:f>
        <x:v>611.9649432</x:v>
      </x:c>
      <x:c r="B73" s="32" t="n">
        <x:f>B10</x:f>
        <x:v>255741.63319933537</x:v>
      </x:c>
      <x:c r="C73" s="32" t="n">
        <x:f>D10</x:f>
        <x:v>1986.0243471491665</x:v>
      </x:c>
      <x:c r="D73" s="32" t="n">
        <x:f>E10</x:f>
        <x:v>3972.048694298333</x:v>
      </x:c>
      <x:c r="E73" s="32"/>
      <x:c r="F73" s="32" t="n">
        <x:f>A10</x:f>
        <x:v>611.9649432</x:v>
      </x:c>
      <x:c r="G73" s="32" t="n">
        <x:f>C10</x:f>
        <x:v>26003.710785950836</x:v>
      </x:c>
      <x:c r="H73" s="32"/>
      <x:c r="I73" s="32"/>
      <x:c r="J73" s="32"/>
      <x:c r="K73" s="32"/>
      <x:c r="L73" s="32"/>
      <x:c r="M73" s="32"/>
      <x:c r="N73" s="32"/>
    </x:row>
    <x:row r="74">
      <x:c r="A74" s="32" t="n">
        <x:f>A11</x:f>
        <x:v>763.5706344</x:v>
      </x:c>
      <x:c r="B74" s="32" t="n">
        <x:f>B11</x:f>
        <x:v>289363.3695426456</x:v>
      </x:c>
      <x:c r="C74" s="32" t="n">
        <x:f>D11</x:f>
        <x:v>2334.434457092405</x:v>
      </x:c>
      <x:c r="D74" s="32" t="n">
        <x:f>E11</x:f>
        <x:v>4668.86891418481</x:v>
      </x:c>
      <x:c r="E74" s="32"/>
      <x:c r="F74" s="32" t="n">
        <x:f>A11</x:f>
        <x:v>763.5706344</x:v>
      </x:c>
      <x:c r="G74" s="32" t="n">
        <x:f>C11</x:f>
        <x:v>26005.12234878211</x:v>
      </x:c>
      <x:c r="H74" s="32"/>
      <x:c r="I74" s="32"/>
      <x:c r="J74" s="32"/>
      <x:c r="K74" s="32"/>
      <x:c r="L74" s="32"/>
      <x:c r="M74" s="32"/>
      <x:c r="N74" s="32"/>
    </x:row>
    <x:row r="75">
      <x:c r="A75" s="32" t="n">
        <x:f>A12</x:f>
        <x:v>915.4786872000001</x:v>
      </x:c>
      <x:c r="B75" s="32" t="n">
        <x:f>B12</x:f>
        <x:v>323083.07275547064</x:v>
      </x:c>
      <x:c r="C75" s="32" t="n">
        <x:f>D12</x:f>
        <x:v>1131.943624491696</x:v>
      </x:c>
      <x:c r="D75" s="32" t="n">
        <x:f>E12</x:f>
        <x:v>2263.887248983392</x:v>
      </x:c>
      <x:c r="E75" s="32"/>
      <x:c r="F75" s="32" t="n">
        <x:f>A12</x:f>
        <x:v>915.4786872000001</x:v>
      </x:c>
      <x:c r="G75" s="32" t="n">
        <x:f>C12</x:f>
        <x:v>26001.206759326556</x:v>
      </x:c>
      <x:c r="H75" s="32"/>
      <x:c r="I75" s="32"/>
      <x:c r="J75" s="32"/>
      <x:c r="K75" s="32"/>
      <x:c r="L75" s="32"/>
      <x:c r="M75" s="32"/>
      <x:c r="N75" s="32"/>
    </x:row>
    <x:row r="76">
      <x:c r="A76" s="32" t="n">
        <x:f>A13</x:f>
        <x:v>1067.9740896</x:v>
      </x:c>
      <x:c r="B76" s="32" t="n">
        <x:f>B13</x:f>
        <x:v>356915.17598741263</x:v>
      </x:c>
      <x:c r="C76" s="32" t="n">
        <x:f>D13</x:f>
        <x:v>1922.4980265136417</x:v>
      </x:c>
      <x:c r="D76" s="32" t="n">
        <x:f>E13</x:f>
        <x:v>3844.9960530272833</x:v>
      </x:c>
      <x:c r="E76" s="32"/>
      <x:c r="F76" s="32" t="n">
        <x:f>A13</x:f>
        <x:v>1067.9740896</x:v>
      </x:c>
      <x:c r="G76" s="32" t="n">
        <x:f>C13</x:f>
        <x:v>26003.49444997194</x:v>
      </x:c>
      <x:c r="H76" s="32"/>
      <x:c r="I76" s="32"/>
      <x:c r="J76" s="32"/>
      <x:c r="K76" s="32"/>
      <x:c r="L76" s="32"/>
      <x:c r="M76" s="32"/>
      <x:c r="N76" s="32"/>
    </x:row>
    <x:row r="77">
      <x:c r="A77" s="32" t="n">
        <x:f>A14</x:f>
        <x:v>1221.042516</x:v>
      </x:c>
      <x:c r="B77" s="32" t="n">
        <x:f>B14</x:f>
        <x:v>390887.50027428183</x:v>
      </x:c>
      <x:c r="C77" s="32" t="n">
        <x:f>D14</x:f>
        <x:v>1394.2772985072377</x:v>
      </x:c>
      <x:c r="D77" s="32" t="n">
        <x:f>E14</x:f>
        <x:v>2788.5545970144753</x:v>
      </x:c>
      <x:c r="E77" s="32"/>
      <x:c r="F77" s="32" t="n">
        <x:f>A14</x:f>
        <x:v>1221.042516</x:v>
      </x:c>
      <x:c r="G77" s="32" t="n">
        <x:f>C14</x:f>
        <x:v>26001.844905823713</x:v>
      </x:c>
      <x:c r="H77" s="32"/>
      <x:c r="I77" s="32"/>
      <x:c r="J77" s="32"/>
      <x:c r="K77" s="32"/>
      <x:c r="L77" s="32"/>
      <x:c r="M77" s="32"/>
      <x:c r="N77" s="32"/>
    </x:row>
    <x:row r="78">
      <x:c r="A78" s="32" t="n">
        <x:f>A15</x:f>
        <x:v>1374.3773376000001</x:v>
      </x:c>
      <x:c r="B78" s="32" t="n">
        <x:f>B15</x:f>
        <x:v>424896.5556028249</x:v>
      </x:c>
      <x:c r="C78" s="32" t="n">
        <x:f>D15</x:f>
        <x:v>2221.60215796265</x:v>
      </x:c>
      <x:c r="D78" s="32" t="n">
        <x:f>E15</x:f>
        <x:v>4443.2043159253</x:v>
      </x:c>
      <x:c r="E78" s="32"/>
      <x:c r="F78" s="32" t="n">
        <x:f>A15</x:f>
        <x:v>1374.3773376000001</x:v>
      </x:c>
      <x:c r="G78" s="32" t="n">
        <x:f>C15</x:f>
        <x:v>26004.692060908415</x:v>
      </x:c>
      <x:c r="H78" s="32"/>
      <x:c r="I78" s="32"/>
      <x:c r="J78" s="32"/>
      <x:c r="K78" s="32"/>
      <x:c r="L78" s="32"/>
      <x:c r="M78" s="32"/>
      <x:c r="N78" s="32"/>
    </x:row>
    <x:row r="79">
      <x:c r="A79" s="32" t="n">
        <x:f>A16</x:f>
        <x:v>1527.5362896000001</x:v>
      </x:c>
      <x:c r="B79" s="32" t="n">
        <x:f>B16</x:f>
        <x:v>458900.33700830623</x:v>
      </x:c>
      <x:c r="C79" s="32" t="n">
        <x:f>D16</x:f>
        <x:v>651.098429003259</x:v>
      </x:c>
      <x:c r="D79" s="32" t="n">
        <x:f>E16</x:f>
        <x:v>1302.196858006518</x:v>
      </x:c>
      <x:c r="E79" s="32"/>
      <x:c r="F79" s="32" t="n">
        <x:f>A16</x:f>
        <x:v>1527.5362896000001</x:v>
      </x:c>
      <x:c r="G79" s="32" t="n">
        <x:f>C16</x:f>
        <x:v>26000.402555674227</x:v>
      </x:c>
      <x:c r="H79" s="32"/>
      <x:c r="I79" s="32"/>
      <x:c r="J79" s="32"/>
      <x:c r="K79" s="32"/>
      <x:c r="L79" s="32"/>
      <x:c r="M79" s="32"/>
      <x:c r="N79" s="32"/>
    </x:row>
    <x:row r="80">
      <x:c r="A80" s="32" t="n">
        <x:f>A17</x:f>
        <x:v>1565.8667184</x:v>
      </x:c>
      <x:c r="B80" s="32" t="n">
        <x:f>B17</x:f>
        <x:v>467010.8206480392</x:v>
      </x:c>
      <x:c r="C80" s="32" t="n">
        <x:f>D17</x:f>
        <x:v>14625.870276492271</x:v>
      </x:c>
      <x:c r="D80" s="32" t="n">
        <x:f>E17</x:f>
        <x:v>29251.740552984542</x:v>
      </x:c>
      <x:c r="E80" s="32"/>
      <x:c r="F80" s="32" t="n">
        <x:f>A17</x:f>
        <x:v>1565.8667184</x:v>
      </x:c>
      <x:c r="G80" s="32" t="n">
        <x:f>C17</x:f>
        <x:v>26050.836703813504</x:v>
      </x:c>
      <x:c r="H80" s="32"/>
      <x:c r="I80" s="32"/>
      <x:c r="J80" s="32"/>
      <x:c r="K80" s="32"/>
      <x:c r="L80" s="32"/>
      <x:c r="M80" s="32"/>
      <x:c r="N80" s="32"/>
    </x:row>
    <x:row r="81">
      <x:c r="A81" s="32" t="n">
        <x:f>A18</x:f>
        <x:v>1603.5857184000001</x:v>
      </x:c>
      <x:c r="B81" s="32" t="n">
        <x:f>B18</x:f>
        <x:v>475023.9437135505</x:v>
      </x:c>
      <x:c r="C81" s="32" t="n">
        <x:f>D18</x:f>
        <x:v>14018.927722546516</x:v>
      </x:c>
      <x:c r="D81" s="32" t="n">
        <x:f>E18</x:f>
        <x:v>28037.85544509303</x:v>
      </x:c>
      <x:c r="E81" s="32"/>
      <x:c r="F81" s="32" t="n">
        <x:f>A18</x:f>
        <x:v>1603.5857184000001</x:v>
      </x:c>
      <x:c r="G81" s="32" t="n">
        <x:f>C18</x:f>
        <x:v>26045.960001615174</x:v>
      </x:c>
      <x:c r="H81" s="32"/>
      <x:c r="I81" s="32"/>
      <x:c r="J81" s="32"/>
      <x:c r="K81" s="32"/>
      <x:c r="L81" s="32"/>
      <x:c r="M81" s="32"/>
      <x:c r="N81" s="32"/>
    </x:row>
    <x:row r="82">
      <x:c r="A82" s="32" t="n">
        <x:f>A19</x:f>
        <x:v>1640.9209752000002</x:v>
      </x:c>
      <x:c r="B82" s="32" t="n">
        <x:f>B19</x:f>
        <x:v>482983.18016497383</x:v>
      </x:c>
      <x:c r="C82" s="32" t="n">
        <x:f>D19</x:f>
        <x:v>13467.273080777122</x:v>
      </x:c>
      <x:c r="D82" s="32" t="n">
        <x:f>E19</x:f>
        <x:v>26934.546161554244</x:v>
      </x:c>
      <x:c r="E82" s="32"/>
      <x:c r="F82" s="32" t="n">
        <x:f>A19</x:f>
        <x:v>1640.9209752000002</x:v>
      </x:c>
      <x:c r="G82" s="32" t="n">
        <x:f>C19</x:f>
        <x:v>26041.982543597504</x:v>
      </x:c>
      <x:c r="H82" s="32"/>
      <x:c r="I82" s="32"/>
      <x:c r="J82" s="32"/>
      <x:c r="K82" s="32"/>
      <x:c r="L82" s="32"/>
      <x:c r="M82" s="32"/>
      <x:c r="N82" s="32"/>
    </x:row>
    <x:row r="83">
      <x:c r="A83" s="32" t="n">
        <x:f>A20</x:f>
        <x:v>1678.2970752</x:v>
      </x:c>
      <x:c r="B83" s="32" t="n">
        <x:f>B20</x:f>
        <x:v>490967.14040348405</x:v>
      </x:c>
      <x:c r="C83" s="32" t="n">
        <x:f>D20</x:f>
        <x:v>13137.332179016305</x:v>
      </x:c>
      <x:c r="D83" s="32" t="n">
        <x:f>E20</x:f>
        <x:v>26274.66435803261</x:v>
      </x:c>
      <x:c r="E83" s="32"/>
      <x:c r="F83" s="32" t="n">
        <x:f>A20</x:f>
        <x:v>1678.2970752</x:v>
      </x:c>
      <x:c r="G83" s="32" t="n">
        <x:f>C20</x:f>
        <x:v>26039.994347635806</x:v>
      </x:c>
      <x:c r="H83" s="32"/>
      <x:c r="I83" s="32"/>
      <x:c r="J83" s="32"/>
      <x:c r="K83" s="32"/>
      <x:c r="L83" s="32"/>
      <x:c r="M83" s="32"/>
      <x:c r="N83" s="32"/>
    </x:row>
    <x:row r="84">
      <x:c r="A84" s="32" t="n">
        <x:f>A21</x:f>
        <x:v>1716.1166592000002</x:v>
      </x:c>
      <x:c r="B84" s="32" t="n">
        <x:f>B21</x:f>
        <x:v>499038.4189947745</x:v>
      </x:c>
      <x:c r="C84" s="32" t="n">
        <x:f>D21</x:f>
        <x:v>13289.302478170144</x:v>
      </x:c>
      <x:c r="D84" s="32" t="n">
        <x:f>E21</x:f>
        <x:v>26578.60495634029</x:v>
      </x:c>
      <x:c r="E84" s="32"/>
      <x:c r="F84" s="32" t="n">
        <x:f>A21</x:f>
        <x:v>1716.1166592000002</x:v>
      </x:c>
      <x:c r="G84" s="32" t="n">
        <x:f>C21</x:f>
        <x:v>26041.410587523715</x:v>
      </x:c>
      <x:c r="H84" s="32"/>
      <x:c r="I84" s="32"/>
      <x:c r="J84" s="32"/>
      <x:c r="K84" s="32"/>
      <x:c r="L84" s="32"/>
      <x:c r="M84" s="32"/>
      <x:c r="N84" s="32"/>
    </x:row>
    <x:row r="85">
      <x:c r="A85" s="32" t="n">
        <x:f>A22</x:f>
        <x:v>1754.5571208000001</x:v>
      </x:c>
      <x:c r="B85" s="32" t="n">
        <x:f>B22</x:f>
        <x:v>507214.75489862217</x:v>
      </x:c>
      <x:c r="C85" s="32" t="n">
        <x:f>D22</x:f>
        <x:v>13828.652103940169</x:v>
      </x:c>
      <x:c r="D85" s="32" t="n">
        <x:f>E22</x:f>
        <x:v>27657.304207880337</x:v>
      </x:c>
      <x:c r="E85" s="32"/>
      <x:c r="F85" s="32" t="n">
        <x:f>A22</x:f>
        <x:v>1754.5571208000001</x:v>
      </x:c>
      <x:c r="G85" s="32" t="n">
        <x:f>C22</x:f>
        <x:v>26045.576247796333</x:v>
      </x:c>
      <x:c r="H85" s="32"/>
      <x:c r="I85" s="32"/>
      <x:c r="J85" s="32"/>
      <x:c r="K85" s="32"/>
      <x:c r="L85" s="32"/>
      <x:c r="M85" s="32"/>
      <x:c r="N85" s="32"/>
    </x:row>
    <x:row r="86">
      <x:c r="A86" s="32" t="n">
        <x:f>A23</x:f>
        <x:v>1793.4788616</x:v>
      </x:c>
      <x:c r="B86" s="32" t="n">
        <x:f>B23</x:f>
        <x:v>515462.2266916272</x:v>
      </x:c>
      <x:c r="C86" s="32" t="n">
        <x:f>D23</x:f>
        <x:v>14410.724855994376</x:v>
      </x:c>
      <x:c r="D86" s="32" t="n">
        <x:f>E23</x:f>
        <x:v>28821.449711988753</x:v>
      </x:c>
      <x:c r="E86" s="32"/>
      <x:c r="F86" s="32" t="n">
        <x:f>A23</x:f>
        <x:v>1793.4788616</x:v>
      </x:c>
      <x:c r="G86" s="32" t="n">
        <x:f>C23</x:f>
        <x:v>26050.113435935953</x:v>
      </x:c>
      <x:c r="H86" s="32"/>
      <x:c r="I86" s="32"/>
      <x:c r="J86" s="32"/>
      <x:c r="K86" s="32"/>
      <x:c r="L86" s="32"/>
      <x:c r="M86" s="32"/>
      <x:c r="N86" s="32"/>
    </x:row>
    <x:row r="87">
      <x:c r="A87" s="32" t="n">
        <x:f>A24</x:f>
        <x:v>1832.4975288000003</x:v>
      </x:c>
      <x:c r="B87" s="32" t="n">
        <x:f>B24</x:f>
        <x:v>523714.4049053724</x:v>
      </x:c>
      <x:c r="C87" s="32" t="n">
        <x:f>D24</x:f>
        <x:v>14696.276085690224</x:v>
      </x:c>
      <x:c r="D87" s="32" t="n">
        <x:f>E24</x:f>
        <x:v>29392.55217138045</x:v>
      </x:c>
      <x:c r="E87" s="32"/>
      <x:c r="F87" s="32" t="n">
        <x:f>A24</x:f>
        <x:v>1832.4975288000003</x:v>
      </x:c>
      <x:c r="G87" s="32" t="n">
        <x:f>C24</x:f>
        <x:v>26052.248918632355</x:v>
      </x:c>
      <x:c r="H87" s="32"/>
      <x:c r="I87" s="32"/>
      <x:c r="J87" s="32"/>
      <x:c r="K87" s="32"/>
      <x:c r="L87" s="32"/>
      <x:c r="M87" s="32"/>
      <x:c r="N87" s="32"/>
    </x:row>
    <x:row r="88">
      <x:c r="A88" s="32" t="n">
        <x:f>A25</x:f>
        <x:v>1871.1787824</x:v>
      </x:c>
      <x:c r="B88" s="32" t="n">
        <x:f>B25</x:f>
        <x:v>531904.7691480203</x:v>
      </x:c>
      <x:c r="C88" s="32" t="n">
        <x:f>D25</x:f>
        <x:v>14523.257963276968</x:v>
      </x:c>
      <x:c r="D88" s="32" t="n">
        <x:f>E25</x:f>
        <x:v>29046.515926553937</x:v>
      </x:c>
      <x:c r="E88" s="32"/>
      <x:c r="F88" s="32" t="n">
        <x:f>A25</x:f>
        <x:v>1871.1787824</x:v>
      </x:c>
      <x:c r="G88" s="32" t="n">
        <x:f>C25</x:f>
        <x:v>26050.584669281336</x:v>
      </x:c>
      <x:c r="H88" s="32"/>
      <x:c r="I88" s="32"/>
      <x:c r="J88" s="32"/>
      <x:c r="K88" s="32"/>
      <x:c r="L88" s="32"/>
      <x:c r="M88" s="32"/>
      <x:c r="N88" s="32"/>
    </x:row>
    <x:row r="89">
      <x:c r="A89" s="32" t="n">
        <x:f>A26</x:f>
        <x:v>1947.3607992000002</x:v>
      </x:c>
      <x:c r="B89" s="32" t="n">
        <x:f>B26</x:f>
        <x:v>548553.5110684601</x:v>
      </x:c>
      <x:c r="C89" s="32" t="n">
        <x:f>D26</x:f>
        <x:v>8464.771745150709</x:v>
      </x:c>
      <x:c r="D89" s="32" t="n">
        <x:f>E26</x:f>
        <x:v>16929.543490301417</x:v>
      </x:c>
      <x:c r="E89" s="32"/>
      <x:c r="F89" s="32" t="n">
        <x:f>A26</x:f>
        <x:v>1947.3607992000002</x:v>
      </x:c>
      <x:c r="G89" s="32" t="n">
        <x:f>C26</x:f>
        <x:v>26033.84334186215</x:v>
      </x:c>
      <x:c r="H89" s="32"/>
      <x:c r="I89" s="32"/>
      <x:c r="J89" s="32"/>
      <x:c r="K89" s="32"/>
      <x:c r="L89" s="32"/>
      <x:c r="M89" s="32"/>
      <x:c r="N89" s="32"/>
    </x:row>
    <x:row r="90">
      <x:c r="A90" s="32" t="n">
        <x:f>A27</x:f>
        <x:v>2022.9868608</x:v>
      </x:c>
      <x:c r="B90" s="32" t="n">
        <x:f>B27</x:f>
        <x:v>565177.7735507294</x:v>
      </x:c>
      <x:c r="C90" s="32" t="n">
        <x:f>D27</x:f>
        <x:v>6736.03129578184</x:v>
      </x:c>
      <x:c r="D90" s="32" t="n">
        <x:f>E27</x:f>
        <x:v>13472.06259156368</x:v>
      </x:c>
      <x:c r="E90" s="32"/>
      <x:c r="F90" s="32" t="n">
        <x:f>A27</x:f>
        <x:v>2022.9868608</x:v>
      </x:c>
      <x:c r="G90" s="32" t="n">
        <x:f>C27</x:f>
        <x:v>26021.275018591994</x:v>
      </x:c>
      <x:c r="H90" s="32"/>
      <x:c r="I90" s="32"/>
      <x:c r="J90" s="32"/>
      <x:c r="K90" s="32"/>
      <x:c r="L90" s="32"/>
      <x:c r="M90" s="32"/>
      <x:c r="N90" s="32"/>
    </x:row>
    <x:row r="91">
      <x:c r="A91" s="32" t="n">
        <x:f>A28</x:f>
        <x:v>2098.3837128</x:v>
      </x:c>
      <x:c r="B91" s="32" t="n">
        <x:f>B28</x:f>
        <x:v>581757.977354576</x:v>
      </x:c>
      <x:c r="C91" s="32" t="n">
        <x:f>D28</x:f>
        <x:v>6607.2154035717995</x:v>
      </x:c>
      <x:c r="D91" s="32" t="n">
        <x:f>E28</x:f>
        <x:v>13214.430807143599</x:v>
      </x:c>
      <x:c r="E91" s="32"/>
      <x:c r="F91" s="32" t="n">
        <x:f>A28</x:f>
        <x:v>2098.3837128</x:v>
      </x:c>
      <x:c r="G91" s="32" t="n">
        <x:f>C28</x:f>
        <x:v>26020.407058820667</x:v>
      </x:c>
      <x:c r="H91" s="32"/>
      <x:c r="I91" s="32"/>
      <x:c r="J91" s="32"/>
      <x:c r="K91" s="32"/>
      <x:c r="L91" s="32"/>
      <x:c r="M91" s="32"/>
      <x:c r="N91" s="32"/>
    </x:row>
    <x:row r="92">
      <x:c r="A92" s="32" t="n">
        <x:f>A29</x:f>
        <x:v>2173.9945344000002</x:v>
      </x:c>
      <x:c r="B92" s="32" t="n">
        <x:f>B29</x:f>
        <x:v>598394.2715607802</x:v>
      </x:c>
      <x:c r="C92" s="32" t="n">
        <x:f>D29</x:f>
        <x:v>6419.267007502434</x:v>
      </x:c>
      <x:c r="D92" s="32" t="n">
        <x:f>E29</x:f>
        <x:v>12838.534015004869</x:v>
      </x:c>
      <x:c r="E92" s="32"/>
      <x:c r="F92" s="32" t="n">
        <x:f>A29</x:f>
        <x:v>2173.9945344000002</x:v>
      </x:c>
      <x:c r="G92" s="32" t="n">
        <x:f>C29</x:f>
        <x:v>26019.31724151856</x:v>
      </x:c>
      <x:c r="H92" s="32"/>
      <x:c r="I92" s="32"/>
      <x:c r="J92" s="32"/>
      <x:c r="K92" s="32"/>
      <x:c r="L92" s="32"/>
      <x:c r="M92" s="32"/>
      <x:c r="N92" s="32"/>
    </x:row>
    <x:row r="93">
      <x:c r="A93" s="32" t="n">
        <x:f>A30</x:f>
        <x:v>2250.1543008</x:v>
      </x:c>
      <x:c r="B93" s="32" t="n">
        <x:f>B30</x:f>
        <x:v>615162.8034411283</x:v>
      </x:c>
      <x:c r="C93" s="32" t="n">
        <x:f>D30</x:f>
        <x:v>6174.609456279386</x:v>
      </x:c>
      <x:c r="D93" s="32" t="n">
        <x:f>E30</x:f>
        <x:v>12349.218912558772</x:v>
      </x:c>
      <x:c r="E93" s="32"/>
      <x:c r="F93" s="32" t="n">
        <x:f>A30</x:f>
        <x:v>2250.1543008</x:v>
      </x:c>
      <x:c r="G93" s="32" t="n">
        <x:f>C30</x:f>
        <x:v>26018.002584678557</x:v>
      </x:c>
      <x:c r="H93" s="32"/>
      <x:c r="I93" s="32"/>
      <x:c r="J93" s="32"/>
      <x:c r="K93" s="32"/>
      <x:c r="L93" s="32"/>
      <x:c r="M93" s="32"/>
      <x:c r="N93" s="32"/>
    </x:row>
    <x:row r="94">
      <x:c r="A94" s="32" t="n">
        <x:f>A31</x:f>
        <x:v>2326.9172664000002</x:v>
      </x:c>
      <x:c r="B94" s="32" t="n">
        <x:f>B31</x:f>
        <x:v>632077.6149666572</x:v>
      </x:c>
      <x:c r="C94" s="32" t="n">
        <x:f>D31</x:f>
        <x:v>5876.344539699765</x:v>
      </x:c>
      <x:c r="D94" s="32" t="n">
        <x:f>E31</x:f>
        <x:v>11752.68907939953</x:v>
      </x:c>
      <x:c r="E94" s="32"/>
      <x:c r="F94" s="32" t="n">
        <x:f>A31</x:f>
        <x:v>2326.9172664000002</x:v>
      </x:c>
      <x:c r="G94" s="32" t="n">
        <x:f>C31</x:f>
        <x:v>26016.43450087289</x:v>
      </x:c>
      <x:c r="H94" s="32"/>
      <x:c r="I94" s="32"/>
      <x:c r="J94" s="32"/>
      <x:c r="K94" s="32"/>
      <x:c r="L94" s="32"/>
      <x:c r="M94" s="32"/>
      <x:c r="N94" s="32"/>
    </x:row>
    <x:row r="95">
      <x:c r="A95" s="32" t="n">
        <x:f>A32</x:f>
        <x:v>2404.030752</x:v>
      </x:c>
      <x:c r="B95" s="32" t="n">
        <x:f>B32</x:f>
        <x:v>649084.5607830377</x:v>
      </x:c>
      <x:c r="C95" s="32" t="n">
        <x:f>D32</x:f>
        <x:v>5529.406533740687</x:v>
      </x:c>
      <x:c r="D95" s="32" t="n">
        <x:f>E32</x:f>
        <x:v>11058.813067481375</x:v>
      </x:c>
      <x:c r="E95" s="32"/>
      <x:c r="F95" s="32" t="n">
        <x:f>A32</x:f>
        <x:v>2404.030752</x:v>
      </x:c>
      <x:c r="G95" s="32" t="n">
        <x:f>C32</x:f>
        <x:v>26014.617653010104</x:v>
      </x:c>
      <x:c r="H95" s="32"/>
      <x:c r="I95" s="32"/>
      <x:c r="J95" s="32"/>
      <x:c r="K95" s="32"/>
      <x:c r="L95" s="32"/>
      <x:c r="M95" s="32"/>
      <x:c r="N95" s="32"/>
    </x:row>
    <x:row r="96">
      <x:c r="A96" s="32" t="n">
        <x:f>A33</x:f>
        <x:v>2481.0637704</x:v>
      </x:c>
      <x:c r="B96" s="32" t="n">
        <x:f>B33</x:f>
        <x:v>666089.5530951733</x:v>
      </x:c>
      <x:c r="C96" s="32" t="n">
        <x:f>D33</x:f>
        <x:v>5135.638179379317</x:v>
      </x:c>
      <x:c r="D96" s="32" t="n">
        <x:f>E33</x:f>
        <x:v>10271.276358758634</x:v>
      </x:c>
      <x:c r="E96" s="32"/>
      <x:c r="F96" s="32" t="n">
        <x:f>A33</x:f>
        <x:v>2481.0637704</x:v>
      </x:c>
      <x:c r="G96" s="32" t="n">
        <x:f>C33</x:f>
        <x:v>26012.596677903195</x:v>
      </x:c>
      <x:c r="H96" s="32"/>
      <x:c r="I96" s="32"/>
      <x:c r="J96" s="32"/>
      <x:c r="K96" s="32"/>
      <x:c r="L96" s="32"/>
      <x:c r="M96" s="32"/>
      <x:c r="N96" s="32"/>
    </x:row>
    <x:row r="97">
      <x:c r="A97" s="32" t="n">
        <x:f>A34</x:f>
        <x:v>2557.6252632</x:v>
      </x:c>
      <x:c r="B97" s="32" t="n">
        <x:f>B34</x:f>
        <x:v>683006.0673463177</x:v>
      </x:c>
      <x:c r="C97" s="32" t="n">
        <x:f>D34</x:f>
        <x:v>4711.485253484027</x:v>
      </x:c>
      <x:c r="D97" s="32" t="n">
        <x:f>E34</x:f>
        <x:v>9422.970506968055</x:v>
      </x:c>
      <x:c r="E97" s="32"/>
      <x:c r="F97" s="32" t="n">
        <x:f>A34</x:f>
        <x:v>2557.6252632</x:v>
      </x:c>
      <x:c r="G97" s="32" t="n">
        <x:f>C34</x:f>
        <x:v>26010.536984392053</x:v>
      </x:c>
      <x:c r="H97" s="32"/>
      <x:c r="I97" s="32"/>
      <x:c r="J97" s="32"/>
      <x:c r="K97" s="32"/>
      <x:c r="L97" s="32"/>
      <x:c r="M97" s="32"/>
      <x:c r="N97" s="32"/>
    </x:row>
    <x:row r="98">
      <x:c r="A98" s="32" t="n">
        <x:f>A35</x:f>
        <x:v>2633.5658784</x:v>
      </x:c>
      <x:c r="B98" s="32" t="n">
        <x:f>B35</x:f>
        <x:v>699800.3995342111</x:v>
      </x:c>
      <x:c r="C98" s="32" t="n">
        <x:f>D35</x:f>
        <x:v>4260.430722586636</x:v>
      </x:c>
      <x:c r="D98" s="32" t="n">
        <x:f>E35</x:f>
        <x:v>8520.861445173272</x:v>
      </x:c>
      <x:c r="E98" s="32"/>
      <x:c r="F98" s="32" t="n">
        <x:f>A35</x:f>
        <x:v>2633.5658784</x:v>
      </x:c>
      <x:c r="G98" s="32" t="n">
        <x:f>C35</x:f>
        <x:v>26008.54616745755</x:v>
      </x:c>
      <x:c r="H98" s="32"/>
      <x:c r="I98" s="32"/>
      <x:c r="J98" s="32"/>
      <x:c r="K98" s="32"/>
      <x:c r="L98" s="32"/>
      <x:c r="M98" s="32"/>
      <x:c r="N98" s="32"/>
    </x:row>
    <x:row r="99">
      <x:c r="A99" s="32" t="n">
        <x:f>A36</x:f>
        <x:v>2709.0514272</x:v>
      </x:c>
      <x:c r="B99" s="32" t="n">
        <x:f>B36</x:f>
        <x:v>716507.5171333092</x:v>
      </x:c>
      <x:c r="C99" s="32" t="n">
        <x:f>D36</x:f>
        <x:v>3809.012087543358</x:v>
      </x:c>
      <x:c r="D99" s="32" t="n">
        <x:f>E36</x:f>
        <x:v>7618.024175086716</x:v>
      </x:c>
      <x:c r="E99" s="32"/>
      <x:c r="F99" s="32" t="n">
        <x:f>A36</x:f>
        <x:v>2709.0514272</x:v>
      </x:c>
      <x:c r="G99" s="32" t="n">
        <x:f>C36</x:f>
        <x:v>26006.790140961944</x:v>
      </x:c>
      <x:c r="H99" s="32"/>
      <x:c r="I99" s="32"/>
      <x:c r="J99" s="32"/>
      <x:c r="K99" s="32"/>
      <x:c r="L99" s="32"/>
      <x:c r="M99" s="32"/>
      <x:c r="N99" s="32"/>
    </x:row>
    <x:row r="100">
      <x:c r="A100" s="32" t="n">
        <x:f>A37</x:f>
        <x:v>2784.480588</x:v>
      </x:c>
      <x:c r="B100" s="32" t="n">
        <x:f>B37</x:f>
        <x:v>733213.5635852496</x:v>
      </x:c>
      <x:c r="C100" s="32" t="n">
        <x:f>D37</x:f>
        <x:v>3377.9059561717727</x:v>
      </x:c>
      <x:c r="D100" s="32" t="n">
        <x:f>E37</x:f>
        <x:v>6755.811912343545</x:v>
      </x:c>
      <x:c r="E100" s="32"/>
      <x:c r="F100" s="32" t="n">
        <x:f>A37</x:f>
        <x:v>2784.480588</x:v>
      </x:c>
      <x:c r="G100" s="32" t="n">
        <x:f>C37</x:f>
        <x:v>26005.336108556217</x:v>
      </x:c>
      <x:c r="H100" s="32"/>
      <x:c r="I100" s="32"/>
      <x:c r="J100" s="32"/>
      <x:c r="K100" s="32"/>
      <x:c r="L100" s="32"/>
      <x:c r="M100" s="32"/>
      <x:c r="N100" s="32"/>
    </x:row>
    <x:row r="101">
      <x:c r="A101" s="32" t="n">
        <x:f>A38</x:f>
        <x:v>2860.2800807999997</x:v>
      </x:c>
      <x:c r="B101" s="32" t="n">
        <x:f>B38</x:f>
        <x:v>750010.9735344269</x:v>
      </x:c>
      <x:c r="C101" s="32" t="n">
        <x:f>D38</x:f>
        <x:v>2980.8684489930993</x:v>
      </x:c>
      <x:c r="D101" s="32" t="n">
        <x:f>E38</x:f>
        <x:v>5961.7368979861985</x:v>
      </x:c>
      <x:c r="E101" s="32"/>
      <x:c r="F101" s="32" t="n">
        <x:f>A38</x:f>
        <x:v>2860.2800807999997</x:v>
      </x:c>
      <x:c r="G101" s="32" t="n">
        <x:f>C38</x:f>
        <x:v>26004.17582405631</x:v>
      </x:c>
      <x:c r="H101" s="32"/>
      <x:c r="I101" s="32"/>
      <x:c r="J101" s="32"/>
      <x:c r="K101" s="32"/>
      <x:c r="L101" s="32"/>
      <x:c r="M101" s="32"/>
      <x:c r="N101" s="32"/>
    </x:row>
    <x:row r="102">
      <x:c r="A102" s="32" t="n">
        <x:f>A39</x:f>
        <x:v>2936.688564</x:v>
      </x:c>
      <x:c r="B102" s="32" t="n">
        <x:f>B39</x:f>
        <x:v>766951.240161732</x:v>
      </x:c>
      <x:c r="C102" s="32" t="n">
        <x:f>D39</x:f>
        <x:v>2601.355278029806</x:v>
      </x:c>
      <x:c r="D102" s="32" t="n">
        <x:f>E39</x:f>
        <x:v>5202.710556059612</x:v>
      </x:c>
      <x:c r="E102" s="32"/>
      <x:c r="F102" s="32" t="n">
        <x:f>A39</x:f>
        <x:v>2936.688564</x:v>
      </x:c>
      <x:c r="G102" s="32" t="n">
        <x:f>C39</x:f>
        <x:v>26003.2057613572</x:v>
      </x:c>
      <x:c r="H102" s="32"/>
      <x:c r="I102" s="32"/>
      <x:c r="J102" s="32"/>
      <x:c r="K102" s="32"/>
      <x:c r="L102" s="32"/>
      <x:c r="M102" s="32"/>
      <x:c r="N102" s="32"/>
    </x:row>
    <x:row r="103">
      <x:c r="A103" s="32" t="n">
        <x:f>A40</x:f>
        <x:v>3013.6334952</x:v>
      </x:c>
      <x:c r="B103" s="32" t="n">
        <x:f>B40</x:f>
        <x:v>784017.5061779759</x:v>
      </x:c>
      <x:c r="C103" s="32" t="n">
        <x:f>D40</x:f>
        <x:v>2210.464287905019</x:v>
      </x:c>
      <x:c r="D103" s="32" t="n">
        <x:f>E40</x:f>
        <x:v>4420.928575810038</x:v>
      </x:c>
      <x:c r="E103" s="32"/>
      <x:c r="F103" s="32" t="n">
        <x:f>A40</x:f>
        <x:v>3013.6334952</x:v>
      </x:c>
      <x:c r="G103" s="32" t="n">
        <x:f>C40</x:f>
        <x:v>26002.330973268596</x:v>
      </x:c>
      <x:c r="H103" s="32"/>
      <x:c r="I103" s="32"/>
      <x:c r="J103" s="32"/>
      <x:c r="K103" s="32"/>
      <x:c r="L103" s="32"/>
      <x:c r="M103" s="32"/>
      <x:c r="N103" s="32"/>
    </x:row>
    <x:row r="104">
      <x:c r="A104" s="32" t="n">
        <x:f>A41</x:f>
        <x:v>3090.7698408</x:v>
      </x:c>
      <x:c r="B104" s="32" t="n">
        <x:f>B41</x:f>
        <x:v>801132.0373323669</x:v>
      </x:c>
      <x:c r="C104" s="32" t="n">
        <x:f>D41</x:f>
        <x:v>1828.4835133349245</x:v>
      </x:c>
      <x:c r="D104" s="32" t="n">
        <x:f>E41</x:f>
        <x:v>3656.967026669849</x:v>
      </x:c>
      <x:c r="E104" s="32"/>
      <x:c r="F104" s="32" t="n">
        <x:f>A41</x:f>
        <x:v>3090.7698408</x:v>
      </x:c>
      <x:c r="G104" s="32" t="n">
        <x:f>C41</x:f>
        <x:v>26001.59893728332</x:v>
      </x:c>
      <x:c r="H104" s="32"/>
      <x:c r="I104" s="32"/>
      <x:c r="J104" s="32"/>
      <x:c r="K104" s="32"/>
      <x:c r="L104" s="32"/>
      <x:c r="M104" s="32"/>
      <x:c r="N104" s="32"/>
    </x:row>
    <x:row r="105">
      <x:c r="A105" s="32" t="n">
        <x:f>A42</x:f>
        <x:v>3167.6544215999998</x:v>
      </x:c>
      <x:c r="B105" s="32" t="n">
        <x:f>B42</x:f>
        <x:v>818190.9258303377</x:v>
      </x:c>
      <x:c r="C105" s="32" t="n">
        <x:f>D42</x:f>
        <x:v>1812.5797754308658</x:v>
      </x:c>
      <x:c r="D105" s="32" t="n">
        <x:f>E42</x:f>
        <x:v>3625.1595508617315</x:v>
      </x:c>
      <x:c r="E105" s="32"/>
      <x:c r="F105" s="32" t="n">
        <x:f>A42</x:f>
        <x:v>3167.6544215999998</x:v>
      </x:c>
      <x:c r="G105" s="32" t="n">
        <x:f>C42</x:f>
        <x:v>26001.566115479778</x:v>
      </x:c>
      <x:c r="H105" s="32"/>
      <x:c r="I105" s="32"/>
      <x:c r="J105" s="32"/>
      <x:c r="K105" s="32"/>
      <x:c r="L105" s="32"/>
      <x:c r="M105" s="32"/>
      <x:c r="N105" s="32"/>
    </x:row>
    <x:row r="106">
      <x:c r="A106" s="32" t="n">
        <x:f>A43</x:f>
        <x:v>3243.9723792</x:v>
      </x:c>
      <x:c r="B106" s="32" t="n">
        <x:f>B43</x:f>
        <x:v>835118.0075327385</x:v>
      </x:c>
      <x:c r="C106" s="32" t="n">
        <x:f>D43</x:f>
        <x:v>2217.891733412791</x:v>
      </x:c>
      <x:c r="D106" s="32" t="n">
        <x:f>E43</x:f>
        <x:v>4435.783466825582</x:v>
      </x:c>
      <x:c r="E106" s="32"/>
      <x:c r="F106" s="32" t="n">
        <x:f>A43</x:f>
        <x:v>3243.9723792</x:v>
      </x:c>
      <x:c r="G106" s="32" t="n">
        <x:f>C43</x:f>
        <x:v>26002.327542905805</x:v>
      </x:c>
      <x:c r="H106" s="32"/>
      <x:c r="I106" s="32"/>
      <x:c r="J106" s="32"/>
      <x:c r="K106" s="32"/>
      <x:c r="L106" s="32"/>
      <x:c r="M106" s="32"/>
      <x:c r="N106" s="32"/>
    </x:row>
    <x:row r="107">
      <x:c r="A107" s="32" t="n">
        <x:f>A44</x:f>
        <x:v>3319.6978056000003</x:v>
      </x:c>
      <x:c r="B107" s="32" t="n">
        <x:f>B44</x:f>
        <x:v>851906.0400679975</x:v>
      </x:c>
      <x:c r="C107" s="32" t="n">
        <x:f>D44</x:f>
        <x:v>2642.4110592528173</x:v>
      </x:c>
      <x:c r="D107" s="32" t="n">
        <x:f>E44</x:f>
        <x:v>5284.8221185056345</x:v>
      </x:c>
      <x:c r="E107" s="32"/>
      <x:c r="F107" s="32" t="n">
        <x:f>A44</x:f>
        <x:v>3319.6978056000003</x:v>
      </x:c>
      <x:c r="G107" s="32" t="n">
        <x:f>C44</x:f>
        <x:v>26003.27817969412</x:v>
      </x:c>
      <x:c r="H107" s="32"/>
      <x:c r="I107" s="32"/>
      <x:c r="J107" s="32"/>
      <x:c r="K107" s="32"/>
      <x:c r="L107" s="32"/>
      <x:c r="M107" s="32"/>
      <x:c r="N107" s="32"/>
    </x:row>
    <x:row r="108">
      <x:c r="A108" s="32" t="n">
        <x:f>A45</x:f>
        <x:v>3395.1068496000003</x:v>
      </x:c>
      <x:c r="B108" s="32" t="n">
        <x:f>B45</x:f>
        <x:v>868616.94718898</x:v>
      </x:c>
      <x:c r="C108" s="32" t="n">
        <x:f>D45</x:f>
        <x:v>2979.8716159706937</x:v>
      </x:c>
      <x:c r="D108" s="32" t="n">
        <x:f>E45</x:f>
        <x:v>5959.743231941387</x:v>
      </x:c>
      <x:c r="E108" s="32"/>
      <x:c r="F108" s="32" t="n">
        <x:f>A45</x:f>
        <x:v>3395.1068496000003</x:v>
      </x:c>
      <x:c r="G108" s="32" t="n">
        <x:f>C45</x:f>
        <x:v>26004.15153605139</x:v>
      </x:c>
      <x:c r="H108" s="32"/>
      <x:c r="I108" s="32"/>
      <x:c r="J108" s="32"/>
      <x:c r="K108" s="32"/>
      <x:c r="L108" s="32"/>
      <x:c r="M108" s="32"/>
      <x:c r="N108" s="32"/>
    </x:row>
    <x:row r="109">
      <x:c r="A109" s="32" t="n">
        <x:f>A46</x:f>
        <x:v>3470.6368992</x:v>
      </x:c>
      <x:c r="B109" s="32" t="n">
        <x:f>B46</x:f>
        <x:v>885348.6982656334</x:v>
      </x:c>
      <x:c r="C109" s="32" t="n">
        <x:f>D46</x:f>
        <x:v>3240.2265772593487</x:v>
      </x:c>
      <x:c r="D109" s="32" t="n">
        <x:f>E46</x:f>
        <x:v>6480.453154518697</x:v>
      </x:c>
      <x:c r="E109" s="32"/>
      <x:c r="F109" s="32" t="n">
        <x:f>A46</x:f>
        <x:v>3470.6368992</x:v>
      </x:c>
      <x:c r="G109" s="32" t="n">
        <x:f>C46</x:f>
        <x:v>26004.916553862808</x:v>
      </x:c>
      <x:c r="H109" s="32"/>
      <x:c r="I109" s="32"/>
      <x:c r="J109" s="32"/>
      <x:c r="K109" s="32"/>
      <x:c r="L109" s="32"/>
      <x:c r="M109" s="32"/>
      <x:c r="N109" s="32"/>
    </x:row>
    <x:row r="110">
      <x:c r="A110" s="32" t="n">
        <x:f>A47</x:f>
        <x:v>3546.6631632</x:v>
      </x:c>
      <x:c r="B110" s="32" t="n">
        <x:f>B47</x:f>
        <x:v>902184.4548048641</x:v>
      </x:c>
      <x:c r="C110" s="32" t="n">
        <x:f>D47</x:f>
        <x:v>3477.5866978427607</x:v>
      </x:c>
      <x:c r="D110" s="32" t="n">
        <x:f>E47</x:f>
        <x:v>6955.173395685521</x:v>
      </x:c>
      <x:c r="E110" s="32"/>
      <x:c r="F110" s="32" t="n">
        <x:f>A47</x:f>
        <x:v>3546.6631632</x:v>
      </x:c>
      <x:c r="G110" s="32" t="n">
        <x:f>C47</x:f>
        <x:v>26005.700459349162</x:v>
      </x:c>
      <x:c r="H110" s="32"/>
      <x:c r="I110" s="32"/>
      <x:c r="J110" s="32"/>
      <x:c r="K110" s="32"/>
      <x:c r="L110" s="32"/>
      <x:c r="M110" s="32"/>
      <x:c r="N110" s="32"/>
    </x:row>
    <x:row r="111">
      <x:c r="A111" s="32" t="n">
        <x:f>A48</x:f>
        <x:v>3623.3087808</x:v>
      </x:c>
      <x:c r="B111" s="32" t="n">
        <x:f>B48</x:f>
        <x:v>919150.4032984045</x:v>
      </x:c>
      <x:c r="C111" s="32" t="n">
        <x:f>D48</x:f>
        <x:v>3735.52973462342</x:v>
      </x:c>
      <x:c r="D111" s="32" t="n">
        <x:f>E48</x:f>
        <x:v>7471.05946924684</x:v>
      </x:c>
      <x:c r="E111" s="32"/>
      <x:c r="F111" s="32" t="n">
        <x:f>A48</x:f>
        <x:v>3623.3087808</x:v>
      </x:c>
      <x:c r="G111" s="32" t="n">
        <x:f>C48</x:f>
        <x:v>26006.63104530587</x:v>
      </x:c>
      <x:c r="H111" s="32"/>
      <x:c r="I111" s="32"/>
      <x:c r="J111" s="32"/>
      <x:c r="K111" s="32"/>
      <x:c r="L111" s="32"/>
      <x:c r="M111" s="32"/>
      <x:c r="N111" s="32"/>
    </x:row>
    <x:row r="112">
      <x:c r="A112" s="32" t="n">
        <x:f>A49</x:f>
        <x:v>3700.3805088</x:v>
      </x:c>
      <x:c r="B112" s="32" t="n">
        <x:f>B49</x:f>
        <x:v>936201.9429977234</x:v>
      </x:c>
      <x:c r="C112" s="32" t="n">
        <x:f>D49</x:f>
        <x:v>4034.182554764465</x:v>
      </x:c>
      <x:c r="D112" s="32" t="n">
        <x:f>E49</x:f>
        <x:v>8068.36510952893</x:v>
      </x:c>
      <x:c r="E112" s="32"/>
      <x:c r="F112" s="32" t="n">
        <x:f>A49</x:f>
        <x:v>3700.3805088</x:v>
      </x:c>
      <x:c r="G112" s="32" t="n">
        <x:f>C49</x:f>
        <x:v>26007.776719990547</x:v>
      </x:c>
      <x:c r="H112" s="32"/>
      <x:c r="I112" s="32"/>
      <x:c r="J112" s="32"/>
      <x:c r="K112" s="32"/>
      <x:c r="L112" s="32"/>
      <x:c r="M112" s="32"/>
      <x:c r="N112" s="32"/>
    </x:row>
    <x:row r="113">
      <x:c r="A113" s="32" t="n">
        <x:f>A50</x:f>
        <x:v>3777.4683912</x:v>
      </x:c>
      <x:c r="B113" s="32" t="n">
        <x:f>B50</x:f>
        <x:v>953247.3732166202</x:v>
      </x:c>
      <x:c r="C113" s="32" t="n">
        <x:f>D50</x:f>
        <x:v>4341.399783443597</x:v>
      </x:c>
      <x:c r="D113" s="32" t="n">
        <x:f>E50</x:f>
        <x:v>8682.799566887194</x:v>
      </x:c>
      <x:c r="E113" s="32"/>
      <x:c r="F113" s="32" t="n">
        <x:f>A50</x:f>
        <x:v>3777.4683912</x:v>
      </x:c>
      <x:c r="G113" s="32" t="n">
        <x:f>C50</x:f>
        <x:v>26009.0081570259</x:v>
      </x:c>
      <x:c r="H113" s="32"/>
      <x:c r="I113" s="32"/>
      <x:c r="J113" s="32"/>
      <x:c r="K113" s="32"/>
      <x:c r="L113" s="32"/>
      <x:c r="M113" s="32"/>
      <x:c r="N113" s="32"/>
    </x:row>
    <x:row r="114">
      <x:c r="A114" s="32" t="n">
        <x:f>A51</x:f>
        <x:v>3854.1542424</x:v>
      </x:c>
      <x:c r="B114" s="32" t="n">
        <x:f>B51</x:f>
        <x:v>970194.0804175219</x:v>
      </x:c>
      <x:c r="C114" s="32" t="n">
        <x:f>D51</x:f>
        <x:v>4633.867599663519</x:v>
      </x:c>
      <x:c r="D114" s="32" t="n">
        <x:f>E51</x:f>
        <x:v>9267.735199327039</x:v>
      </x:c>
      <x:c r="E114" s="32"/>
      <x:c r="F114" s="32" t="n">
        <x:f>A51</x:f>
        <x:v>3854.1542424</x:v>
      </x:c>
      <x:c r="G114" s="32" t="n">
        <x:f>C51</x:f>
        <x:v>26010.209224543964</x:v>
      </x:c>
      <x:c r="H114" s="32"/>
      <x:c r="I114" s="32"/>
      <x:c r="J114" s="32"/>
      <x:c r="K114" s="32"/>
      <x:c r="L114" s="32"/>
      <x:c r="M114" s="32"/>
      <x:c r="N114" s="32"/>
    </x:row>
    <x:row r="115">
      <x:c r="A115" s="32" t="n">
        <x:f>A52</x:f>
        <x:v>3930.2240928</x:v>
      </x:c>
      <x:c r="B115" s="32" t="n">
        <x:f>B52</x:f>
        <x:v>986995.911058625</x:v>
      </x:c>
      <x:c r="C115" s="32" t="n">
        <x:f>D52</x:f>
        <x:v>4881.413205013298</x:v>
      </x:c>
      <x:c r="D115" s="32" t="n">
        <x:f>E52</x:f>
        <x:v>9762.826410026595</x:v>
      </x:c>
      <x:c r="E115" s="32"/>
      <x:c r="F115" s="32" t="n">
        <x:f>A52</x:f>
        <x:v>3930.2240928</x:v>
      </x:c>
      <x:c r="G115" s="32" t="n">
        <x:f>C52</x:f>
        <x:v>26011.238128073786</x:v>
      </x:c>
      <x:c r="H115" s="32"/>
      <x:c r="I115" s="32"/>
      <x:c r="J115" s="32"/>
      <x:c r="K115" s="32"/>
      <x:c r="L115" s="32"/>
      <x:c r="M115" s="32"/>
      <x:c r="N115" s="32"/>
    </x:row>
    <x:row r="116">
      <x:c r="A116" s="32" t="n">
        <x:f>A53</x:f>
        <x:v>4005.779136</x:v>
      </x:c>
      <x:c r="B116" s="32" t="n">
        <x:f>B53</x:f>
        <x:v>1003676.8408510318</x:v>
      </x:c>
      <x:c r="C116" s="32" t="n">
        <x:f>D53</x:f>
        <x:v>5077.246908811857</x:v>
      </x:c>
      <x:c r="D116" s="32" t="n">
        <x:f>E53</x:f>
        <x:v>10154.493817623714</x:v>
      </x:c>
      <x:c r="E116" s="32"/>
      <x:c r="F116" s="32" t="n">
        <x:f>A53</x:f>
        <x:v>4005.779136</x:v>
      </x:c>
      <x:c r="G116" s="32" t="n">
        <x:f>C53</x:f>
        <x:v>26012.075643901448</x:v>
      </x:c>
      <x:c r="H116" s="32"/>
      <x:c r="I116" s="32"/>
      <x:c r="J116" s="32"/>
      <x:c r="K116" s="32"/>
      <x:c r="L116" s="32"/>
      <x:c r="M116" s="32"/>
      <x:c r="N116" s="32"/>
    </x:row>
    <x:row r="117">
      <x:c r="A117" s="32" t="n">
        <x:f>A54</x:f>
        <x:v>4081.1817792</x:v>
      </x:c>
      <x:c r="B117" s="32" t="n">
        <x:f>B54</x:f>
        <x:v>1020318.5401385546</x:v>
      </x:c>
      <x:c r="C117" s="32" t="n">
        <x:f>D54</x:f>
        <x:v>5224.495357305971</x:v>
      </x:c>
      <x:c r="D117" s="32" t="n">
        <x:f>E54</x:f>
        <x:v>10448.990714611942</x:v>
      </x:c>
      <x:c r="E117" s="32"/>
      <x:c r="F117" s="32" t="n">
        <x:f>A54</x:f>
        <x:v>4081.1817792</x:v>
      </x:c>
      <x:c r="G117" s="32" t="n">
        <x:f>C54</x:f>
        <x:v>26012.760436684606</x:v>
      </x:c>
      <x:c r="H117" s="32"/>
      <x:c r="I117" s="32"/>
      <x:c r="J117" s="32"/>
      <x:c r="K117" s="32"/>
      <x:c r="L117" s="32"/>
      <x:c r="M117" s="32"/>
      <x:c r="N117" s="32"/>
    </x:row>
    <x:row r="118">
      <x:c r="A118" s="32" t="n">
        <x:f>A55</x:f>
        <x:v>4156.8727632</x:v>
      </x:c>
      <x:c r="B118" s="32" t="n">
        <x:f>B55</x:f>
        <x:v>1037019.7969557836</x:v>
      </x:c>
      <x:c r="C118" s="32" t="n">
        <x:f>D55</x:f>
        <x:v>5329.133078724494</x:v>
      </x:c>
      <x:c r="D118" s="32" t="n">
        <x:f>E55</x:f>
        <x:v>10658.266157448988</x:v>
      </x:c>
      <x:c r="E118" s="32"/>
      <x:c r="F118" s="32" t="n">
        <x:f>A55</x:f>
        <x:v>4156.8727632</x:v>
      </x:c>
      <x:c r="G118" s="32" t="n">
        <x:f>C55</x:f>
        <x:v>26013.327465101727</x:v>
      </x:c>
      <x:c r="H118" s="32"/>
      <x:c r="I118" s="32"/>
      <x:c r="J118" s="32"/>
      <x:c r="K118" s="32"/>
      <x:c r="L118" s="32"/>
      <x:c r="M118" s="32"/>
      <x:c r="N118" s="32"/>
    </x:row>
    <x:row r="119">
      <x:c r="A119" s="32" t="n">
        <x:f>A56</x:f>
        <x:v>4233.1456104</x:v>
      </x:c>
      <x:c r="B119" s="32" t="n">
        <x:f>B56</x:f>
        <x:v>1053846.4739392952</x:v>
      </x:c>
      <x:c r="C119" s="32" t="n">
        <x:f>D56</x:f>
        <x:v>5403.408250563843</x:v>
      </x:c>
      <x:c r="D119" s="32" t="n">
        <x:f>E56</x:f>
        <x:v>10806.816501127685</x:v>
      </x:c>
      <x:c r="E119" s="32"/>
      <x:c r="F119" s="32" t="n">
        <x:f>A56</x:f>
        <x:v>4233.1456104</x:v>
      </x:c>
      <x:c r="G119" s="32" t="n">
        <x:f>C56</x:f>
        <x:v>26013.806887728948</x:v>
      </x:c>
      <x:c r="H119" s="32"/>
      <x:c r="I119" s="32"/>
      <x:c r="J119" s="32"/>
      <x:c r="K119" s="32"/>
      <x:c r="L119" s="32"/>
      <x:c r="M119" s="32"/>
      <x:c r="N119" s="32"/>
    </x:row>
    <x:row r="120">
      <x:c r="A120" s="32" t="n">
        <x:f>A57</x:f>
        <x:v>4309.9975776</x:v>
      </x:c>
      <x:c r="B120" s="32" t="n">
        <x:f>B57</x:f>
        <x:v>1070799.1602705836</x:v>
      </x:c>
      <x:c r="C120" s="32" t="n">
        <x:f>D57</x:f>
        <x:v>5446.429733762008</x:v>
      </x:c>
      <x:c r="D120" s="32" t="n">
        <x:f>E57</x:f>
        <x:v>10892.859467524017</x:v>
      </x:c>
      <x:c r="E120" s="32"/>
      <x:c r="F120" s="32" t="n">
        <x:f>A57</x:f>
        <x:v>4309.9975776</x:v>
      </x:c>
      <x:c r="G120" s="32" t="n">
        <x:f>C57</x:f>
        <x:v>26014.1341296423</x:v>
      </x:c>
      <x:c r="H120" s="32"/>
      <x:c r="I120" s="32"/>
      <x:c r="J120" s="32"/>
      <x:c r="K120" s="32"/>
      <x:c r="L120" s="32"/>
      <x:c r="M120" s="32"/>
      <x:c r="N120" s="32"/>
    </x:row>
    <x:row r="121">
      <x:c r="A121" s="32" t="n">
        <x:f>A58</x:f>
        <x:v>4387.1302656</x:v>
      </x:c>
      <x:c r="B121" s="32" t="n">
        <x:f>B58</x:f>
        <x:v>1087812.9940658004</x:v>
      </x:c>
      <x:c r="C121" s="32" t="n">
        <x:f>D58</x:f>
        <x:v>5465.325847757959</x:v>
      </x:c>
      <x:c r="D121" s="32" t="n">
        <x:f>E58</x:f>
        <x:v>10930.651695515919</x:v>
      </x:c>
      <x:c r="E121" s="32"/>
      <x:c r="F121" s="32" t="n">
        <x:f>A58</x:f>
        <x:v>4387.1302656</x:v>
      </x:c>
      <x:c r="G121" s="32" t="n">
        <x:f>C58</x:f>
        <x:v>26014.28436234635</x:v>
      </x:c>
      <x:c r="H121" s="32"/>
      <x:c r="I121" s="32"/>
      <x:c r="J121" s="32"/>
      <x:c r="K121" s="32"/>
      <x:c r="L121" s="32"/>
      <x:c r="M121" s="32"/>
      <x:c r="N121" s="32"/>
    </x:row>
    <x:row r="122">
      <x:c r="A122" s="32" t="n">
        <x:f>A59</x:f>
        <x:v>4464.1026288</x:v>
      </x:c>
      <x:c r="B122" s="32" t="n">
        <x:f>B59</x:f>
        <x:v>1104791.564922813</x:v>
      </x:c>
      <x:c r="C122" s="32" t="n">
        <x:f>D59</x:f>
        <x:v>5462.8587766814835</x:v>
      </x:c>
      <x:c r="D122" s="32" t="n">
        <x:f>E59</x:f>
        <x:v>10925.717553362967</x:v>
      </x:c>
      <x:c r="E122" s="32"/>
      <x:c r="F122" s="32" t="n">
        <x:f>A59</x:f>
        <x:v>4464.1026288</x:v>
      </x:c>
      <x:c r="G122" s="32" t="n">
        <x:f>C59</x:f>
        <x:v>26014.241805131667</x:v>
      </x:c>
      <x:c r="H122" s="32"/>
      <x:c r="I122" s="32"/>
      <x:c r="J122" s="32"/>
      <x:c r="K122" s="32"/>
      <x:c r="L122" s="32"/>
      <x:c r="M122" s="32"/>
      <x:c r="N122" s="32"/>
    </x:row>
    <x:row r="123">
      <x:c r="A123" s="32" t="n">
        <x:f>A60</x:f>
        <x:v>4540.555308</x:v>
      </x:c>
      <x:c r="B123" s="32" t="n">
        <x:f>B60</x:f>
        <x:v>1121656.1618409925</x:v>
      </x:c>
      <x:c r="C123" s="32" t="n">
        <x:f>D60</x:f>
        <x:v>5446.698722331982</x:v>
      </x:c>
      <x:c r="D123" s="32" t="n">
        <x:f>E60</x:f>
        <x:v>10893.397444663964</x:v>
      </x:c>
      <x:c r="E123" s="32"/>
      <x:c r="F123" s="32" t="n">
        <x:f>A60</x:f>
        <x:v>4540.555308</x:v>
      </x:c>
      <x:c r="G123" s="32" t="n">
        <x:f>C60</x:f>
        <x:v>26014.0620840039</x:v>
      </x:c>
      <x:c r="H123" s="32"/>
      <x:c r="I123" s="32"/>
      <x:c r="J123" s="32"/>
      <x:c r="K123" s="32"/>
      <x:c r="L123" s="32"/>
      <x:c r="M123" s="32"/>
      <x:c r="N123" s="32"/>
    </x:row>
    <x:row r="124">
      <x:c r="A124" s="32" t="n">
        <x:f>A61</x:f>
        <x:v>4616.3935104</x:v>
      </x:c>
      <x:c r="B124" s="32" t="n">
        <x:f>B61</x:f>
        <x:v>1138386.296912006</x:v>
      </x:c>
      <x:c r="C124" s="32" t="n">
        <x:f>D61</x:f>
        <x:v>5419.734744567189</x:v>
      </x:c>
      <x:c r="D124" s="32" t="n">
        <x:f>E61</x:f>
        <x:v>10839.469489134379</x:v>
      </x:c>
      <x:c r="E124" s="32"/>
      <x:c r="F124" s="32" t="n">
        <x:f>A61</x:f>
        <x:v>4616.3935104</x:v>
      </x:c>
      <x:c r="G124" s="32" t="n">
        <x:f>C61</x:f>
        <x:v>26013.81129384275</x:v>
      </x:c>
      <x:c r="H124" s="32"/>
      <x:c r="I124" s="32"/>
      <x:c r="J124" s="32"/>
      <x:c r="K124" s="32"/>
      <x:c r="L124" s="32"/>
      <x:c r="M124" s="32"/>
      <x:c r="N124" s="32"/>
    </x:row>
    <x:row r="125">
      <x:c r="A125" s="32" t="n">
        <x:f>A62</x:f>
        <x:v>4691.8360824</x:v>
      </x:c>
      <x:c r="B125" s="32" t="n">
        <x:f>B62</x:f>
        <x:v>1155030.372613192</x:v>
      </x:c>
      <x:c r="C125" s="32" t="n">
        <x:f>D62</x:f>
        <x:v>5389.141729174255</x:v>
      </x:c>
      <x:c r="D125" s="32" t="n">
        <x:f>E62</x:f>
        <x:v>10778.28345834851</x:v>
      </x:c>
      <x:c r="E125" s="32"/>
      <x:c r="F125" s="32" t="n">
        <x:f>A62</x:f>
        <x:v>4691.8360824</x:v>
      </x:c>
      <x:c r="G125" s="32" t="n">
        <x:f>C62</x:f>
        <x:v>26013.584572259704</x:v>
      </x:c>
      <x:c r="H125" s="32"/>
      <x:c r="I125" s="32"/>
      <x:c r="J125" s="32"/>
      <x:c r="K125" s="32"/>
      <x:c r="L125" s="32"/>
      <x:c r="M125" s="32"/>
      <x:c r="N125" s="32"/>
    </x:row>
    <x:row r="126">
      <x:c r="A126" s="32" t="n">
        <x:f>A63</x:f>
        <x:v>4767.3027336000005</x:v>
      </x:c>
      <x:c r="B126" s="32" t="n">
        <x:f>B63</x:f>
        <x:v>1171680.8264845596</x:v>
      </x:c>
      <x:c r="C126" s="32" t="n">
        <x:f>D63</x:f>
        <x:v>5362.233481314568</x:v>
      </x:c>
      <x:c r="D126" s="32" t="n">
        <x:f>E63</x:f>
        <x:v>10724.466962629136</x:v>
      </x:c>
      <x:c r="E126" s="32"/>
      <x:c r="F126" s="32" t="n">
        <x:f>A63</x:f>
        <x:v>4767.3027336000005</x:v>
      </x:c>
      <x:c r="G126" s="32" t="n">
        <x:f>C63</x:f>
        <x:v>26013.45354669791</x:v>
      </x:c>
      <x:c r="H126" s="32"/>
      <x:c r="I126" s="32"/>
      <x:c r="J126" s="32"/>
      <x:c r="K126" s="32"/>
      <x:c r="L126" s="32"/>
      <x:c r="M126" s="32"/>
      <x:c r="N126" s="32"/>
    </x:row>
    <x:row r="127">
      <x:c r="A127" s="32" t="n">
        <x:f>A64</x:f>
        <x:v>4843.2018960000005</x:v>
      </x:c>
      <x:c r="B127" s="32" t="n">
        <x:f>B64</x:f>
        <x:v>1188427.2943145775</x:v>
      </x:c>
      <x:c r="C127" s="32" t="n">
        <x:f>D64</x:f>
        <x:v>5347.425972648599</x:v>
      </x:c>
      <x:c r="D127" s="32" t="n">
        <x:f>E64</x:f>
        <x:v>10694.851945297198</x:v>
      </x:c>
      <x:c r="E127" s="32"/>
      <x:c r="F127" s="32" t="n">
        <x:f>A64</x:f>
        <x:v>4843.2018960000005</x:v>
      </x:c>
      <x:c r="G127" s="32" t="n">
        <x:f>C64</x:f>
        <x:v>26013.456025984033</x:v>
      </x:c>
      <x:c r="H127" s="32"/>
      <x:c r="I127" s="32"/>
      <x:c r="J127" s="32"/>
      <x:c r="K127" s="32"/>
      <x:c r="L127" s="32"/>
      <x:c r="M127" s="32"/>
      <x:c r="N127" s="32"/>
    </x:row>
    <x:row r="128">
      <x:c r="A128" s="32" t="n">
        <x:f>A65</x:f>
        <x:v>4919.7207168</x:v>
      </x:c>
      <x:c r="B128" s="32" t="n">
        <x:f>B65</x:f>
        <x:v>1205310.4574943804</x:v>
      </x:c>
      <x:c r="C128" s="32" t="n">
        <x:f>D65</x:f>
        <x:v>5348.094378791932</x:v>
      </x:c>
      <x:c r="D128" s="32" t="n">
        <x:f>E65</x:f>
        <x:v>10696.188757583865</x:v>
      </x:c>
      <x:c r="E128" s="32"/>
      <x:c r="F128" s="32" t="n">
        <x:f>A65</x:f>
        <x:v>4919.7207168</x:v>
      </x:c>
      <x:c r="G128" s="32" t="n">
        <x:f>C65</x:f>
        <x:v>26013.569275678037</x:v>
      </x:c>
      <x:c r="H128" s="32"/>
      <x:c r="I128" s="32"/>
      <x:c r="J128" s="32"/>
      <x:c r="K128" s="32"/>
      <x:c r="L128" s="32"/>
      <x:c r="M128" s="32"/>
      <x:c r="N128" s="32"/>
    </x:row>
  </x:sheetData>
  <x:mergeCells>
    <x:mergeCell ref="A1:N1"/>
    <x:mergeCell ref="A3:H3"/>
  </x:mergeCells>
  <x:pageMargins left="0.7" right="0.7" top="0.75" bottom="0.75" header="0.3" footer="0.3"/>
  <x:drawing xmlns:r="http://schemas.openxmlformats.org/officeDocument/2006/relationships" r:id="rId1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DRLG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DRLG operation depth profile</x:v>
      </x:c>
      <x:c r="B3" s="33" t="str">
        <x:v>DRLG operation depth profile</x:v>
      </x:c>
      <x:c r="C3" s="33" t="str">
        <x:v>DRLG operation depth profile</x:v>
      </x:c>
      <x:c r="D3" s="33" t="str">
        <x:v>DRLG operation depth profile</x:v>
      </x:c>
      <x:c r="E3" s="33" t="str">
        <x:v>DRLG operation depth profile</x:v>
      </x:c>
      <x:c r="F3" s="33" t="str">
        <x:v>DRLG operation depth profile</x:v>
      </x:c>
      <x:c r="G3" s="33" t="str">
        <x:v>DRLG operation depth profile</x:v>
      </x:c>
      <x:c r="H3" s="33" t="str">
        <x:v>DRLG operation depth profile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f>"MD "&amp;'Unit Map'!$H$8</x:f>
        <x:v>MD m</x:v>
      </x:c>
      <x:c r="B5" s="34" t="str">
        <x:f>"Axial load "&amp;'Unit Map'!$H$14</x:f>
        <x:v>Axial load N</x:v>
      </x:c>
      <x:c r="C5" s="34" t="str">
        <x:f>"Torque "&amp;'Unit Map'!$H$16</x:f>
        <x:v>Torque N-m</x:v>
      </x:c>
      <x:c r="D5" s="34" t="str">
        <x:f>"Sinusoidal limit "&amp;'Unit Map'!$H$14</x:f>
        <x:v>Sinusoidal limit N</x:v>
      </x:c>
      <x:c r="E5" s="34" t="str">
        <x:f>"Helical limit "&amp;'Unit Map'!$H$14</x:f>
        <x:v>Helical limit N</x:v>
      </x:c>
      <x:c r="F5" s="34" t="str">
        <x:f>"Axial margin "&amp;'Unit Map'!$H$14</x:f>
        <x:v>Axial margin N</x:v>
      </x:c>
      <x:c r="G5" s="34" t="str">
        <x:v>Buckling status</x:v>
      </x:c>
      <x:c r="H5" s="34" t="str">
        <x:v>Record ID</x:v>
      </x:c>
      <x:c r="I5" s="32"/>
      <x:c r="J5" s="32"/>
      <x:c r="K5" s="32"/>
      <x:c r="L5" s="32"/>
      <x:c r="M5" s="32"/>
      <x:c r="N5" s="32"/>
    </x:row>
    <x:row r="6">
      <x:c r="A6" s="35" t="n">
        <x:f>'ALL'!A6</x:f>
        <x:v>0</x:v>
      </x:c>
      <x:c r="B6" s="35" t="n">
        <x:f>'ALL'!F6</x:f>
        <x:v>120000</x:v>
      </x:c>
      <x:c r="C6" s="35" t="n">
        <x:f>'ALL'!J6</x:f>
        <x:v>28600.000000000004</x:v>
      </x:c>
      <x:c r="D6" s="35" t="n">
        <x:f>'ALL'!K6</x:f>
        <x:v>0</x:v>
      </x:c>
      <x:c r="E6" s="35" t="n">
        <x:f>'ALL'!L6</x:f>
        <x:v>0</x:v>
      </x:c>
      <x:c r="F6" s="35" t="n">
        <x:f>B6-E6</x:f>
        <x:v>120000</x:v>
      </x:c>
      <x:c r="G6" s="35" t="str">
        <x:f>'ALL'!M6</x:f>
        <x:v>PASS</x:v>
      </x:c>
      <x:c r="H6" s="35" t="str">
        <x:f>'ALL'!N6</x:f>
        <x:v>survey-000</x:v>
      </x:c>
      <x:c r="I6" s="32"/>
      <x:c r="J6" s="32"/>
      <x:c r="K6" s="32"/>
      <x:c r="L6" s="32"/>
      <x:c r="M6" s="32"/>
      <x:c r="N6" s="32"/>
    </x:row>
    <x:row r="7">
      <x:c r="A7" s="35" t="n">
        <x:f>'ALL'!A7</x:f>
        <x:v>155.10875760000002</x:v>
      </x:c>
      <x:c r="B7" s="35" t="n">
        <x:f>'ALL'!F7</x:f>
        <x:v>154369.6247643189</x:v>
      </x:c>
      <x:c r="C7" s="35" t="n">
        <x:f>'ALL'!J7</x:f>
        <x:v>28609.814667861745</x:v>
      </x:c>
      <x:c r="D7" s="35" t="n">
        <x:f>'ALL'!K7</x:f>
        <x:v>3045.9878423456744</x:v>
      </x:c>
      <x:c r="E7" s="35" t="n">
        <x:f>'ALL'!L7</x:f>
        <x:v>6091.975684691349</x:v>
      </x:c>
      <x:c r="F7" s="35" t="n">
        <x:f>B7-E7</x:f>
        <x:v>148277.64907962756</x:v>
      </x:c>
      <x:c r="G7" s="35" t="str">
        <x:f>'ALL'!M7</x:f>
        <x:v>PASS</x:v>
      </x:c>
      <x:c r="H7" s="35" t="str">
        <x:f>'ALL'!N7</x:f>
        <x:v>survey-001</x:v>
      </x:c>
      <x:c r="I7" s="32"/>
      <x:c r="J7" s="32"/>
      <x:c r="K7" s="32"/>
      <x:c r="L7" s="32"/>
      <x:c r="M7" s="32"/>
      <x:c r="N7" s="32"/>
    </x:row>
    <x:row r="8">
      <x:c r="A8" s="35" t="n">
        <x:f>'ALL'!A8</x:f>
        <x:v>307.974492</x:v>
      </x:c>
      <x:c r="B8" s="35" t="n">
        <x:f>'ALL'!F8</x:f>
        <x:v>188295.53791614895</x:v>
      </x:c>
      <x:c r="C8" s="35" t="n">
        <x:f>'ALL'!J8</x:f>
        <x:v>28602.225816774866</x:v>
      </x:c>
      <x:c r="D8" s="35" t="n">
        <x:f>'ALL'!K8</x:f>
        <x:v>1461.161274893059</x:v>
      </x:c>
      <x:c r="E8" s="35" t="n">
        <x:f>'ALL'!L8</x:f>
        <x:v>2922.322549786118</x:v>
      </x:c>
      <x:c r="F8" s="35" t="n">
        <x:f>B8-E8</x:f>
        <x:v>185373.21536636283</x:v>
      </x:c>
      <x:c r="G8" s="35" t="str">
        <x:f>'ALL'!M8</x:f>
        <x:v>PASS</x:v>
      </x:c>
      <x:c r="H8" s="35" t="str">
        <x:f>'ALL'!N8</x:f>
        <x:v>survey-002</x:v>
      </x:c>
      <x:c r="I8" s="32"/>
      <x:c r="J8" s="32"/>
      <x:c r="K8" s="32"/>
      <x:c r="L8" s="32"/>
      <x:c r="M8" s="32"/>
      <x:c r="N8" s="32"/>
    </x:row>
    <x:row r="9">
      <x:c r="A9" s="35" t="n">
        <x:f>'ALL'!A9</x:f>
        <x:v>460.2227016</x:v>
      </x:c>
      <x:c r="B9" s="35" t="n">
        <x:f>'ALL'!F9</x:f>
        <x:v>222078.4629496525</x:v>
      </x:c>
      <x:c r="C9" s="35" t="n">
        <x:f>'ALL'!J9</x:f>
        <x:v>28603.046523089306</x:v>
      </x:c>
      <x:c r="D9" s="35" t="n">
        <x:f>'ALL'!K9</x:f>
        <x:v>1712.910460216405</x:v>
      </x:c>
      <x:c r="E9" s="35" t="n">
        <x:f>'ALL'!L9</x:f>
        <x:v>3425.82092043281</x:v>
      </x:c>
      <x:c r="F9" s="35" t="n">
        <x:f>B9-E9</x:f>
        <x:v>218652.64202921969</x:v>
      </x:c>
      <x:c r="G9" s="35" t="str">
        <x:f>'ALL'!M9</x:f>
        <x:v>PASS</x:v>
      </x:c>
      <x:c r="H9" s="35" t="str">
        <x:f>'ALL'!N9</x:f>
        <x:v>survey-003</x:v>
      </x:c>
      <x:c r="I9" s="32"/>
      <x:c r="J9" s="32"/>
      <x:c r="K9" s="32"/>
      <x:c r="L9" s="32"/>
      <x:c r="M9" s="32"/>
      <x:c r="N9" s="32"/>
    </x:row>
    <x:row r="10">
      <x:c r="A10" s="35" t="n">
        <x:f>'ALL'!A10</x:f>
        <x:v>611.9649432</x:v>
      </x:c>
      <x:c r="B10" s="35" t="n">
        <x:f>'ALL'!F10</x:f>
        <x:v>255741.63319933537</x:v>
      </x:c>
      <x:c r="C10" s="35" t="n">
        <x:f>'ALL'!J10</x:f>
        <x:v>28604.081864545922</x:v>
      </x:c>
      <x:c r="D10" s="35" t="n">
        <x:f>'ALL'!K10</x:f>
        <x:v>1986.0243471491665</x:v>
      </x:c>
      <x:c r="E10" s="35" t="n">
        <x:f>'ALL'!L10</x:f>
        <x:v>3972.048694298333</x:v>
      </x:c>
      <x:c r="F10" s="35" t="n">
        <x:f>B10-E10</x:f>
        <x:v>251769.58450503703</x:v>
      </x:c>
      <x:c r="G10" s="35" t="str">
        <x:f>'ALL'!M10</x:f>
        <x:v>PASS</x:v>
      </x:c>
      <x:c r="H10" s="35" t="str">
        <x:f>'ALL'!N10</x:f>
        <x:v>survey-004</x:v>
      </x:c>
      <x:c r="I10" s="32"/>
      <x:c r="J10" s="32"/>
      <x:c r="K10" s="32"/>
      <x:c r="L10" s="32"/>
      <x:c r="M10" s="32"/>
      <x:c r="N10" s="32"/>
    </x:row>
    <x:row r="11">
      <x:c r="A11" s="35" t="n">
        <x:f>'ALL'!A11</x:f>
        <x:v>763.5706344</x:v>
      </x:c>
      <x:c r="B11" s="35" t="n">
        <x:f>'ALL'!F11</x:f>
        <x:v>289363.3695426456</x:v>
      </x:c>
      <x:c r="C11" s="35" t="n">
        <x:f>'ALL'!J11</x:f>
        <x:v>28605.634583660325</x:v>
      </x:c>
      <x:c r="D11" s="35" t="n">
        <x:f>'ALL'!K11</x:f>
        <x:v>2334.434457092405</x:v>
      </x:c>
      <x:c r="E11" s="35" t="n">
        <x:f>'ALL'!L11</x:f>
        <x:v>4668.86891418481</x:v>
      </x:c>
      <x:c r="F11" s="35" t="n">
        <x:f>B11-E11</x:f>
        <x:v>284694.5006284608</x:v>
      </x:c>
      <x:c r="G11" s="35" t="str">
        <x:f>'ALL'!M11</x:f>
        <x:v>PASS</x:v>
      </x:c>
      <x:c r="H11" s="35" t="str">
        <x:f>'ALL'!N11</x:f>
        <x:v>survey-005</x:v>
      </x:c>
      <x:c r="I11" s="32"/>
      <x:c r="J11" s="32"/>
      <x:c r="K11" s="32"/>
      <x:c r="L11" s="32"/>
      <x:c r="M11" s="32"/>
      <x:c r="N11" s="32"/>
    </x:row>
    <x:row r="12">
      <x:c r="A12" s="35" t="n">
        <x:f>'ALL'!A12</x:f>
        <x:v>915.4786872000001</x:v>
      </x:c>
      <x:c r="B12" s="35" t="n">
        <x:f>'ALL'!F12</x:f>
        <x:v>323083.07275547064</x:v>
      </x:c>
      <x:c r="C12" s="35" t="n">
        <x:f>'ALL'!J12</x:f>
        <x:v>28601.327435259216</x:v>
      </x:c>
      <x:c r="D12" s="35" t="n">
        <x:f>'ALL'!K12</x:f>
        <x:v>1131.943624491696</x:v>
      </x:c>
      <x:c r="E12" s="35" t="n">
        <x:f>'ALL'!L12</x:f>
        <x:v>2263.887248983392</x:v>
      </x:c>
      <x:c r="F12" s="35" t="n">
        <x:f>B12-E12</x:f>
        <x:v>320819.18550648727</x:v>
      </x:c>
      <x:c r="G12" s="35" t="str">
        <x:f>'ALL'!M12</x:f>
        <x:v>PASS</x:v>
      </x:c>
      <x:c r="H12" s="35" t="str">
        <x:f>'ALL'!N12</x:f>
        <x:v>survey-006</x:v>
      </x:c>
      <x:c r="I12" s="32"/>
      <x:c r="J12" s="32"/>
      <x:c r="K12" s="32"/>
      <x:c r="L12" s="32"/>
      <x:c r="M12" s="32"/>
      <x:c r="N12" s="32"/>
    </x:row>
    <x:row r="13">
      <x:c r="A13" s="35" t="n">
        <x:f>'ALL'!A13</x:f>
        <x:v>1067.9740896</x:v>
      </x:c>
      <x:c r="B13" s="35" t="n">
        <x:f>'ALL'!F13</x:f>
        <x:v>356915.17598741263</x:v>
      </x:c>
      <x:c r="C13" s="35" t="n">
        <x:f>'ALL'!J13</x:f>
        <x:v>28603.843894969134</x:v>
      </x:c>
      <x:c r="D13" s="35" t="n">
        <x:f>'ALL'!K13</x:f>
        <x:v>1922.4980265136417</x:v>
      </x:c>
      <x:c r="E13" s="35" t="n">
        <x:f>'ALL'!L13</x:f>
        <x:v>3844.9960530272833</x:v>
      </x:c>
      <x:c r="F13" s="35" t="n">
        <x:f>B13-E13</x:f>
        <x:v>353070.17993438535</x:v>
      </x:c>
      <x:c r="G13" s="35" t="str">
        <x:f>'ALL'!M13</x:f>
        <x:v>PASS</x:v>
      </x:c>
      <x:c r="H13" s="35" t="str">
        <x:f>'ALL'!N13</x:f>
        <x:v>survey-007</x:v>
      </x:c>
      <x:c r="I13" s="32"/>
      <x:c r="J13" s="32"/>
      <x:c r="K13" s="32"/>
      <x:c r="L13" s="32"/>
      <x:c r="M13" s="32"/>
      <x:c r="N13" s="32"/>
    </x:row>
    <x:row r="14">
      <x:c r="A14" s="35" t="n">
        <x:f>'ALL'!A14</x:f>
        <x:v>1221.042516</x:v>
      </x:c>
      <x:c r="B14" s="35" t="n">
        <x:f>'ALL'!F14</x:f>
        <x:v>390887.50027428183</x:v>
      </x:c>
      <x:c r="C14" s="35" t="n">
        <x:f>'ALL'!J14</x:f>
        <x:v>28602.029396406087</x:v>
      </x:c>
      <x:c r="D14" s="35" t="n">
        <x:f>'ALL'!K14</x:f>
        <x:v>1394.2772985072377</x:v>
      </x:c>
      <x:c r="E14" s="35" t="n">
        <x:f>'ALL'!L14</x:f>
        <x:v>2788.5545970144753</x:v>
      </x:c>
      <x:c r="F14" s="35" t="n">
        <x:f>B14-E14</x:f>
        <x:v>388098.94567726733</x:v>
      </x:c>
      <x:c r="G14" s="35" t="str">
        <x:f>'ALL'!M14</x:f>
        <x:v>PASS</x:v>
      </x:c>
      <x:c r="H14" s="35" t="str">
        <x:f>'ALL'!N14</x:f>
        <x:v>survey-008</x:v>
      </x:c>
      <x:c r="I14" s="32"/>
      <x:c r="J14" s="32"/>
      <x:c r="K14" s="32"/>
      <x:c r="L14" s="32"/>
      <x:c r="M14" s="32"/>
      <x:c r="N14" s="32"/>
    </x:row>
    <x:row r="15">
      <x:c r="A15" s="35" t="n">
        <x:f>'ALL'!A15</x:f>
        <x:v>1374.3773376000001</x:v>
      </x:c>
      <x:c r="B15" s="35" t="n">
        <x:f>'ALL'!F15</x:f>
        <x:v>424896.5556028249</x:v>
      </x:c>
      <x:c r="C15" s="35" t="n">
        <x:f>'ALL'!J15</x:f>
        <x:v>28605.16126699926</x:v>
      </x:c>
      <x:c r="D15" s="35" t="n">
        <x:f>'ALL'!K15</x:f>
        <x:v>2221.60215796265</x:v>
      </x:c>
      <x:c r="E15" s="35" t="n">
        <x:f>'ALL'!L15</x:f>
        <x:v>4443.2043159253</x:v>
      </x:c>
      <x:c r="F15" s="35" t="n">
        <x:f>B15-E15</x:f>
        <x:v>420453.3512868996</x:v>
      </x:c>
      <x:c r="G15" s="35" t="str">
        <x:f>'ALL'!M15</x:f>
        <x:v>PASS</x:v>
      </x:c>
      <x:c r="H15" s="35" t="str">
        <x:f>'ALL'!N15</x:f>
        <x:v>survey-009</x:v>
      </x:c>
      <x:c r="I15" s="32"/>
      <x:c r="J15" s="32"/>
      <x:c r="K15" s="32"/>
      <x:c r="L15" s="32"/>
      <x:c r="M15" s="32"/>
      <x:c r="N15" s="32"/>
    </x:row>
    <x:row r="16">
      <x:c r="A16" s="35" t="n">
        <x:f>'ALL'!A16</x:f>
        <x:v>1527.5362896000001</x:v>
      </x:c>
      <x:c r="B16" s="35" t="n">
        <x:f>'ALL'!F16</x:f>
        <x:v>458900.33700830623</x:v>
      </x:c>
      <x:c r="C16" s="35" t="n">
        <x:f>'ALL'!J16</x:f>
        <x:v>28600.442811241654</x:v>
      </x:c>
      <x:c r="D16" s="35" t="n">
        <x:f>'ALL'!K16</x:f>
        <x:v>651.098429003259</x:v>
      </x:c>
      <x:c r="E16" s="35" t="n">
        <x:f>'ALL'!L16</x:f>
        <x:v>1302.196858006518</x:v>
      </x:c>
      <x:c r="F16" s="35" t="n">
        <x:f>B16-E16</x:f>
        <x:v>457598.1401502997</x:v>
      </x:c>
      <x:c r="G16" s="35" t="str">
        <x:f>'ALL'!M16</x:f>
        <x:v>PASS</x:v>
      </x:c>
      <x:c r="H16" s="35" t="str">
        <x:f>'ALL'!N16</x:f>
        <x:v>survey-010</x:v>
      </x:c>
      <x:c r="I16" s="32"/>
      <x:c r="J16" s="32"/>
      <x:c r="K16" s="32"/>
      <x:c r="L16" s="32"/>
      <x:c r="M16" s="32"/>
      <x:c r="N16" s="32"/>
    </x:row>
    <x:row r="17">
      <x:c r="A17" s="35" t="n">
        <x:f>'ALL'!A17</x:f>
        <x:v>1565.8667184</x:v>
      </x:c>
      <x:c r="B17" s="35" t="n">
        <x:f>'ALL'!F17</x:f>
        <x:v>467010.8206480392</x:v>
      </x:c>
      <x:c r="C17" s="35" t="n">
        <x:f>'ALL'!J17</x:f>
        <x:v>28655.920374194855</x:v>
      </x:c>
      <x:c r="D17" s="35" t="n">
        <x:f>'ALL'!K17</x:f>
        <x:v>14625.870276492271</x:v>
      </x:c>
      <x:c r="E17" s="35" t="n">
        <x:f>'ALL'!L17</x:f>
        <x:v>29251.740552984542</x:v>
      </x:c>
      <x:c r="F17" s="35" t="n">
        <x:f>B17-E17</x:f>
        <x:v>437759.0800950547</x:v>
      </x:c>
      <x:c r="G17" s="35" t="str">
        <x:f>'ALL'!M17</x:f>
        <x:v>PASS</x:v>
      </x:c>
      <x:c r="H17" s="35" t="str">
        <x:f>'ALL'!N17</x:f>
        <x:v>survey-011</x:v>
      </x:c>
      <x:c r="I17" s="32"/>
      <x:c r="J17" s="32"/>
      <x:c r="K17" s="32"/>
      <x:c r="L17" s="32"/>
      <x:c r="M17" s="32"/>
      <x:c r="N17" s="32"/>
    </x:row>
    <x:row r="18">
      <x:c r="A18" s="35" t="n">
        <x:f>'ALL'!A18</x:f>
        <x:v>1603.5857184000001</x:v>
      </x:c>
      <x:c r="B18" s="35" t="n">
        <x:f>'ALL'!F18</x:f>
        <x:v>475023.9437135505</x:v>
      </x:c>
      <x:c r="C18" s="35" t="n">
        <x:f>'ALL'!J18</x:f>
        <x:v>28650.556001776695</x:v>
      </x:c>
      <x:c r="D18" s="35" t="n">
        <x:f>'ALL'!K18</x:f>
        <x:v>14018.927722546516</x:v>
      </x:c>
      <x:c r="E18" s="35" t="n">
        <x:f>'ALL'!L18</x:f>
        <x:v>28037.85544509303</x:v>
      </x:c>
      <x:c r="F18" s="35" t="n">
        <x:f>B18-E18</x:f>
        <x:v>446986.0882684575</x:v>
      </x:c>
      <x:c r="G18" s="35" t="str">
        <x:f>'ALL'!M18</x:f>
        <x:v>PASS</x:v>
      </x:c>
      <x:c r="H18" s="35" t="str">
        <x:f>'ALL'!N18</x:f>
        <x:v>survey-012</x:v>
      </x:c>
      <x:c r="I18" s="32"/>
      <x:c r="J18" s="32"/>
      <x:c r="K18" s="32"/>
      <x:c r="L18" s="32"/>
      <x:c r="M18" s="32"/>
      <x:c r="N18" s="32"/>
    </x:row>
    <x:row r="19">
      <x:c r="A19" s="35" t="n">
        <x:f>'ALL'!A19</x:f>
        <x:v>1640.9209752000002</x:v>
      </x:c>
      <x:c r="B19" s="35" t="n">
        <x:f>'ALL'!F19</x:f>
        <x:v>482983.18016497383</x:v>
      </x:c>
      <x:c r="C19" s="35" t="n">
        <x:f>'ALL'!J19</x:f>
        <x:v>28646.180797957255</x:v>
      </x:c>
      <x:c r="D19" s="35" t="n">
        <x:f>'ALL'!K19</x:f>
        <x:v>13467.273080777122</x:v>
      </x:c>
      <x:c r="E19" s="35" t="n">
        <x:f>'ALL'!L19</x:f>
        <x:v>26934.546161554244</x:v>
      </x:c>
      <x:c r="F19" s="35" t="n">
        <x:f>B19-E19</x:f>
        <x:v>456048.6340034196</x:v>
      </x:c>
      <x:c r="G19" s="35" t="str">
        <x:f>'ALL'!M19</x:f>
        <x:v>PASS</x:v>
      </x:c>
      <x:c r="H19" s="35" t="str">
        <x:f>'ALL'!N19</x:f>
        <x:v>survey-013</x:v>
      </x:c>
      <x:c r="I19" s="32"/>
      <x:c r="J19" s="32"/>
      <x:c r="K19" s="32"/>
      <x:c r="L19" s="32"/>
      <x:c r="M19" s="32"/>
      <x:c r="N19" s="32"/>
    </x:row>
    <x:row r="20">
      <x:c r="A20" s="35" t="n">
        <x:f>'ALL'!A20</x:f>
        <x:v>1678.2970752</x:v>
      </x:c>
      <x:c r="B20" s="35" t="n">
        <x:f>'ALL'!F20</x:f>
        <x:v>490967.14040348405</x:v>
      </x:c>
      <x:c r="C20" s="35" t="n">
        <x:f>'ALL'!J20</x:f>
        <x:v>28643.99378239939</x:v>
      </x:c>
      <x:c r="D20" s="35" t="n">
        <x:f>'ALL'!K20</x:f>
        <x:v>13137.332179016305</x:v>
      </x:c>
      <x:c r="E20" s="35" t="n">
        <x:f>'ALL'!L20</x:f>
        <x:v>26274.66435803261</x:v>
      </x:c>
      <x:c r="F20" s="35" t="n">
        <x:f>B20-E20</x:f>
        <x:v>464692.4760454514</x:v>
      </x:c>
      <x:c r="G20" s="35" t="str">
        <x:f>'ALL'!M20</x:f>
        <x:v>PASS</x:v>
      </x:c>
      <x:c r="H20" s="35" t="str">
        <x:f>'ALL'!N20</x:f>
        <x:v>survey-014</x:v>
      </x:c>
      <x:c r="I20" s="32"/>
      <x:c r="J20" s="32"/>
      <x:c r="K20" s="32"/>
      <x:c r="L20" s="32"/>
      <x:c r="M20" s="32"/>
      <x:c r="N20" s="32"/>
    </x:row>
    <x:row r="21">
      <x:c r="A21" s="35" t="n">
        <x:f>'ALL'!A21</x:f>
        <x:v>1716.1166592000002</x:v>
      </x:c>
      <x:c r="B21" s="35" t="n">
        <x:f>'ALL'!F21</x:f>
        <x:v>499038.4189947745</x:v>
      </x:c>
      <x:c r="C21" s="35" t="n">
        <x:f>'ALL'!J21</x:f>
        <x:v>28645.55164627609</x:v>
      </x:c>
      <x:c r="D21" s="35" t="n">
        <x:f>'ALL'!K21</x:f>
        <x:v>13289.302478170144</x:v>
      </x:c>
      <x:c r="E21" s="35" t="n">
        <x:f>'ALL'!L21</x:f>
        <x:v>26578.60495634029</x:v>
      </x:c>
      <x:c r="F21" s="35" t="n">
        <x:f>B21-E21</x:f>
        <x:v>472459.81403843424</x:v>
      </x:c>
      <x:c r="G21" s="35" t="str">
        <x:f>'ALL'!M21</x:f>
        <x:v>PASS</x:v>
      </x:c>
      <x:c r="H21" s="35" t="str">
        <x:f>'ALL'!N21</x:f>
        <x:v>survey-015</x:v>
      </x:c>
      <x:c r="I21" s="32"/>
      <x:c r="J21" s="32"/>
      <x:c r="K21" s="32"/>
      <x:c r="L21" s="32"/>
      <x:c r="M21" s="32"/>
      <x:c r="N21" s="32"/>
    </x:row>
    <x:row r="22">
      <x:c r="A22" s="35" t="n">
        <x:f>'ALL'!A22</x:f>
        <x:v>1754.5571208000001</x:v>
      </x:c>
      <x:c r="B22" s="35" t="n">
        <x:f>'ALL'!F22</x:f>
        <x:v>507214.75489862217</x:v>
      </x:c>
      <x:c r="C22" s="35" t="n">
        <x:f>'ALL'!J22</x:f>
        <x:v>28650.133872575967</x:v>
      </x:c>
      <x:c r="D22" s="35" t="n">
        <x:f>'ALL'!K22</x:f>
        <x:v>13828.652103940169</x:v>
      </x:c>
      <x:c r="E22" s="35" t="n">
        <x:f>'ALL'!L22</x:f>
        <x:v>27657.304207880337</x:v>
      </x:c>
      <x:c r="F22" s="35" t="n">
        <x:f>B22-E22</x:f>
        <x:v>479557.4506907418</x:v>
      </x:c>
      <x:c r="G22" s="35" t="str">
        <x:f>'ALL'!M22</x:f>
        <x:v>PASS</x:v>
      </x:c>
      <x:c r="H22" s="35" t="str">
        <x:f>'ALL'!N22</x:f>
        <x:v>survey-016</x:v>
      </x:c>
      <x:c r="I22" s="32"/>
      <x:c r="J22" s="32"/>
      <x:c r="K22" s="32"/>
      <x:c r="L22" s="32"/>
      <x:c r="M22" s="32"/>
      <x:c r="N22" s="32"/>
    </x:row>
    <x:row r="23">
      <x:c r="A23" s="35" t="n">
        <x:f>'ALL'!A23</x:f>
        <x:v>1793.4788616</x:v>
      </x:c>
      <x:c r="B23" s="35" t="n">
        <x:f>'ALL'!F23</x:f>
        <x:v>515462.2266916272</x:v>
      </x:c>
      <x:c r="C23" s="35" t="n">
        <x:f>'ALL'!J23</x:f>
        <x:v>28655.12477952955</x:v>
      </x:c>
      <x:c r="D23" s="35" t="n">
        <x:f>'ALL'!K23</x:f>
        <x:v>14410.724855994376</x:v>
      </x:c>
      <x:c r="E23" s="35" t="n">
        <x:f>'ALL'!L23</x:f>
        <x:v>28821.449711988753</x:v>
      </x:c>
      <x:c r="F23" s="35" t="n">
        <x:f>B23-E23</x:f>
        <x:v>486640.77697963844</x:v>
      </x:c>
      <x:c r="G23" s="35" t="str">
        <x:f>'ALL'!M23</x:f>
        <x:v>PASS</x:v>
      </x:c>
      <x:c r="H23" s="35" t="str">
        <x:f>'ALL'!N23</x:f>
        <x:v>survey-017</x:v>
      </x:c>
      <x:c r="I23" s="32"/>
      <x:c r="J23" s="32"/>
      <x:c r="K23" s="32"/>
      <x:c r="L23" s="32"/>
      <x:c r="M23" s="32"/>
      <x:c r="N23" s="32"/>
    </x:row>
    <x:row r="24">
      <x:c r="A24" s="35" t="n">
        <x:f>'ALL'!A24</x:f>
        <x:v>1832.4975288000003</x:v>
      </x:c>
      <x:c r="B24" s="35" t="n">
        <x:f>'ALL'!F24</x:f>
        <x:v>523714.4049053724</x:v>
      </x:c>
      <x:c r="C24" s="35" t="n">
        <x:f>'ALL'!J24</x:f>
        <x:v>28657.473810495594</x:v>
      </x:c>
      <x:c r="D24" s="35" t="n">
        <x:f>'ALL'!K24</x:f>
        <x:v>14696.276085690224</x:v>
      </x:c>
      <x:c r="E24" s="35" t="n">
        <x:f>'ALL'!L24</x:f>
        <x:v>29392.55217138045</x:v>
      </x:c>
      <x:c r="F24" s="35" t="n">
        <x:f>B24-E24</x:f>
        <x:v>494321.852733992</x:v>
      </x:c>
      <x:c r="G24" s="35" t="str">
        <x:f>'ALL'!M24</x:f>
        <x:v>PASS</x:v>
      </x:c>
      <x:c r="H24" s="35" t="str">
        <x:f>'ALL'!N24</x:f>
        <x:v>survey-018</x:v>
      </x:c>
      <x:c r="I24" s="32"/>
      <x:c r="J24" s="32"/>
      <x:c r="K24" s="32"/>
      <x:c r="L24" s="32"/>
      <x:c r="M24" s="32"/>
      <x:c r="N24" s="32"/>
    </x:row>
    <x:row r="25">
      <x:c r="A25" s="35" t="n">
        <x:f>'ALL'!A25</x:f>
        <x:v>1871.1787824</x:v>
      </x:c>
      <x:c r="B25" s="35" t="n">
        <x:f>'ALL'!F25</x:f>
        <x:v>531904.7691480203</x:v>
      </x:c>
      <x:c r="C25" s="35" t="n">
        <x:f>'ALL'!J25</x:f>
        <x:v>28655.64313620947</x:v>
      </x:c>
      <x:c r="D25" s="35" t="n">
        <x:f>'ALL'!K25</x:f>
        <x:v>14523.257963276968</x:v>
      </x:c>
      <x:c r="E25" s="35" t="n">
        <x:f>'ALL'!L25</x:f>
        <x:v>29046.515926553937</x:v>
      </x:c>
      <x:c r="F25" s="35" t="n">
        <x:f>B25-E25</x:f>
        <x:v>502858.2532214664</x:v>
      </x:c>
      <x:c r="G25" s="35" t="str">
        <x:f>'ALL'!M25</x:f>
        <x:v>PASS</x:v>
      </x:c>
      <x:c r="H25" s="35" t="str">
        <x:f>'ALL'!N25</x:f>
        <x:v>survey-019</x:v>
      </x:c>
      <x:c r="I25" s="32"/>
      <x:c r="J25" s="32"/>
      <x:c r="K25" s="32"/>
      <x:c r="L25" s="32"/>
      <x:c r="M25" s="32"/>
      <x:c r="N25" s="32"/>
    </x:row>
    <x:row r="26">
      <x:c r="A26" s="35" t="n">
        <x:f>'ALL'!A26</x:f>
        <x:v>1947.3607992000002</x:v>
      </x:c>
      <x:c r="B26" s="35" t="n">
        <x:f>'ALL'!F26</x:f>
        <x:v>548553.5110684601</x:v>
      </x:c>
      <x:c r="C26" s="35" t="n">
        <x:f>'ALL'!J26</x:f>
        <x:v>28637.227676048366</x:v>
      </x:c>
      <x:c r="D26" s="35" t="n">
        <x:f>'ALL'!K26</x:f>
        <x:v>8464.771745150709</x:v>
      </x:c>
      <x:c r="E26" s="35" t="n">
        <x:f>'ALL'!L26</x:f>
        <x:v>16929.543490301417</x:v>
      </x:c>
      <x:c r="F26" s="35" t="n">
        <x:f>B26-E26</x:f>
        <x:v>531623.9675781586</x:v>
      </x:c>
      <x:c r="G26" s="35" t="str">
        <x:f>'ALL'!M26</x:f>
        <x:v>PASS</x:v>
      </x:c>
      <x:c r="H26" s="35" t="str">
        <x:f>'ALL'!N26</x:f>
        <x:v>survey-020</x:v>
      </x:c>
      <x:c r="I26" s="32"/>
      <x:c r="J26" s="32"/>
      <x:c r="K26" s="32"/>
      <x:c r="L26" s="32"/>
      <x:c r="M26" s="32"/>
      <x:c r="N26" s="32"/>
    </x:row>
    <x:row r="27">
      <x:c r="A27" s="35" t="n">
        <x:f>'ALL'!A27</x:f>
        <x:v>2022.9868608</x:v>
      </x:c>
      <x:c r="B27" s="35" t="n">
        <x:f>'ALL'!F27</x:f>
        <x:v>565177.7735507294</x:v>
      </x:c>
      <x:c r="C27" s="35" t="n">
        <x:f>'ALL'!J27</x:f>
        <x:v>28623.402520451196</x:v>
      </x:c>
      <x:c r="D27" s="35" t="n">
        <x:f>'ALL'!K27</x:f>
        <x:v>6736.03129578184</x:v>
      </x:c>
      <x:c r="E27" s="35" t="n">
        <x:f>'ALL'!L27</x:f>
        <x:v>13472.06259156368</x:v>
      </x:c>
      <x:c r="F27" s="35" t="n">
        <x:f>B27-E27</x:f>
        <x:v>551705.7109591657</x:v>
      </x:c>
      <x:c r="G27" s="35" t="str">
        <x:f>'ALL'!M27</x:f>
        <x:v>PASS</x:v>
      </x:c>
      <x:c r="H27" s="35" t="str">
        <x:f>'ALL'!N27</x:f>
        <x:v>survey-021</x:v>
      </x:c>
      <x:c r="I27" s="32"/>
      <x:c r="J27" s="32"/>
      <x:c r="K27" s="32"/>
      <x:c r="L27" s="32"/>
      <x:c r="M27" s="32"/>
      <x:c r="N27" s="32"/>
    </x:row>
    <x:row r="28">
      <x:c r="A28" s="35" t="n">
        <x:f>'ALL'!A28</x:f>
        <x:v>2098.3837128</x:v>
      </x:c>
      <x:c r="B28" s="35" t="n">
        <x:f>'ALL'!F28</x:f>
        <x:v>581757.977354576</x:v>
      </x:c>
      <x:c r="C28" s="35" t="n">
        <x:f>'ALL'!J28</x:f>
        <x:v>28622.447764702734</x:v>
      </x:c>
      <x:c r="D28" s="35" t="n">
        <x:f>'ALL'!K28</x:f>
        <x:v>6607.2154035717995</x:v>
      </x:c>
      <x:c r="E28" s="35" t="n">
        <x:f>'ALL'!L28</x:f>
        <x:v>13214.430807143599</x:v>
      </x:c>
      <x:c r="F28" s="35" t="n">
        <x:f>B28-E28</x:f>
        <x:v>568543.5465474324</x:v>
      </x:c>
      <x:c r="G28" s="35" t="str">
        <x:f>'ALL'!M28</x:f>
        <x:v>PASS</x:v>
      </x:c>
      <x:c r="H28" s="35" t="str">
        <x:f>'ALL'!N28</x:f>
        <x:v>survey-022</x:v>
      </x:c>
      <x:c r="I28" s="32"/>
      <x:c r="J28" s="32"/>
      <x:c r="K28" s="32"/>
      <x:c r="L28" s="32"/>
      <x:c r="M28" s="32"/>
      <x:c r="N28" s="32"/>
    </x:row>
    <x:row r="29">
      <x:c r="A29" s="35" t="n">
        <x:f>'ALL'!A29</x:f>
        <x:v>2173.9945344000002</x:v>
      </x:c>
      <x:c r="B29" s="35" t="n">
        <x:f>'ALL'!F29</x:f>
        <x:v>598394.2715607802</x:v>
      </x:c>
      <x:c r="C29" s="35" t="n">
        <x:f>'ALL'!J29</x:f>
        <x:v>28621.24896567042</x:v>
      </x:c>
      <x:c r="D29" s="35" t="n">
        <x:f>'ALL'!K29</x:f>
        <x:v>6419.267007502434</x:v>
      </x:c>
      <x:c r="E29" s="35" t="n">
        <x:f>'ALL'!L29</x:f>
        <x:v>12838.534015004869</x:v>
      </x:c>
      <x:c r="F29" s="35" t="n">
        <x:f>B29-E29</x:f>
        <x:v>585555.7375457754</x:v>
      </x:c>
      <x:c r="G29" s="35" t="str">
        <x:f>'ALL'!M29</x:f>
        <x:v>PASS</x:v>
      </x:c>
      <x:c r="H29" s="35" t="str">
        <x:f>'ALL'!N29</x:f>
        <x:v>survey-023</x:v>
      </x:c>
      <x:c r="I29" s="32"/>
      <x:c r="J29" s="32"/>
      <x:c r="K29" s="32"/>
      <x:c r="L29" s="32"/>
      <x:c r="M29" s="32"/>
      <x:c r="N29" s="32"/>
    </x:row>
    <x:row r="30">
      <x:c r="A30" s="35" t="n">
        <x:f>'ALL'!A30</x:f>
        <x:v>2250.1543008</x:v>
      </x:c>
      <x:c r="B30" s="35" t="n">
        <x:f>'ALL'!F30</x:f>
        <x:v>615162.8034411283</x:v>
      </x:c>
      <x:c r="C30" s="35" t="n">
        <x:f>'ALL'!J30</x:f>
        <x:v>28619.802843146415</x:v>
      </x:c>
      <x:c r="D30" s="35" t="n">
        <x:f>'ALL'!K30</x:f>
        <x:v>6174.609456279386</x:v>
      </x:c>
      <x:c r="E30" s="35" t="n">
        <x:f>'ALL'!L30</x:f>
        <x:v>12349.218912558772</x:v>
      </x:c>
      <x:c r="F30" s="35" t="n">
        <x:f>B30-E30</x:f>
        <x:v>602813.5845285696</x:v>
      </x:c>
      <x:c r="G30" s="35" t="str">
        <x:f>'ALL'!M30</x:f>
        <x:v>PASS</x:v>
      </x:c>
      <x:c r="H30" s="35" t="str">
        <x:f>'ALL'!N30</x:f>
        <x:v>survey-024</x:v>
      </x:c>
      <x:c r="I30" s="32"/>
      <x:c r="J30" s="32"/>
      <x:c r="K30" s="32"/>
      <x:c r="L30" s="32"/>
      <x:c r="M30" s="32"/>
      <x:c r="N30" s="32"/>
    </x:row>
    <x:row r="31">
      <x:c r="A31" s="35" t="n">
        <x:f>'ALL'!A31</x:f>
        <x:v>2326.9172664000002</x:v>
      </x:c>
      <x:c r="B31" s="35" t="n">
        <x:f>'ALL'!F31</x:f>
        <x:v>632077.6149666572</x:v>
      </x:c>
      <x:c r="C31" s="35" t="n">
        <x:f>'ALL'!J31</x:f>
        <x:v>28618.07795096018</x:v>
      </x:c>
      <x:c r="D31" s="35" t="n">
        <x:f>'ALL'!K31</x:f>
        <x:v>5876.344539699765</x:v>
      </x:c>
      <x:c r="E31" s="35" t="n">
        <x:f>'ALL'!L31</x:f>
        <x:v>11752.68907939953</x:v>
      </x:c>
      <x:c r="F31" s="35" t="n">
        <x:f>B31-E31</x:f>
        <x:v>620324.9258872577</x:v>
      </x:c>
      <x:c r="G31" s="35" t="str">
        <x:f>'ALL'!M31</x:f>
        <x:v>PASS</x:v>
      </x:c>
      <x:c r="H31" s="35" t="str">
        <x:f>'ALL'!N31</x:f>
        <x:v>survey-025</x:v>
      </x:c>
      <x:c r="I31" s="32"/>
      <x:c r="J31" s="32"/>
      <x:c r="K31" s="32"/>
      <x:c r="L31" s="32"/>
      <x:c r="M31" s="32"/>
      <x:c r="N31" s="32"/>
    </x:row>
    <x:row r="32">
      <x:c r="A32" s="35" t="n">
        <x:f>'ALL'!A32</x:f>
        <x:v>2404.030752</x:v>
      </x:c>
      <x:c r="B32" s="35" t="n">
        <x:f>'ALL'!F32</x:f>
        <x:v>649084.5607830377</x:v>
      </x:c>
      <x:c r="C32" s="35" t="n">
        <x:f>'ALL'!J32</x:f>
        <x:v>28616.079418311117</x:v>
      </x:c>
      <x:c r="D32" s="35" t="n">
        <x:f>'ALL'!K32</x:f>
        <x:v>5529.406533740687</x:v>
      </x:c>
      <x:c r="E32" s="35" t="n">
        <x:f>'ALL'!L32</x:f>
        <x:v>11058.813067481375</x:v>
      </x:c>
      <x:c r="F32" s="35" t="n">
        <x:f>B32-E32</x:f>
        <x:v>638025.7477155563</x:v>
      </x:c>
      <x:c r="G32" s="35" t="str">
        <x:f>'ALL'!M32</x:f>
        <x:v>PASS</x:v>
      </x:c>
      <x:c r="H32" s="35" t="str">
        <x:f>'ALL'!N32</x:f>
        <x:v>survey-026</x:v>
      </x:c>
      <x:c r="I32" s="32"/>
      <x:c r="J32" s="32"/>
      <x:c r="K32" s="32"/>
      <x:c r="L32" s="32"/>
      <x:c r="M32" s="32"/>
      <x:c r="N32" s="32"/>
    </x:row>
    <x:row r="33">
      <x:c r="A33" s="35" t="n">
        <x:f>'ALL'!A33</x:f>
        <x:v>2481.0637704</x:v>
      </x:c>
      <x:c r="B33" s="35" t="n">
        <x:f>'ALL'!F33</x:f>
        <x:v>666089.5530951733</x:v>
      </x:c>
      <x:c r="C33" s="35" t="n">
        <x:f>'ALL'!J33</x:f>
        <x:v>28613.856345693515</x:v>
      </x:c>
      <x:c r="D33" s="35" t="n">
        <x:f>'ALL'!K33</x:f>
        <x:v>5135.638179379317</x:v>
      </x:c>
      <x:c r="E33" s="35" t="n">
        <x:f>'ALL'!L33</x:f>
        <x:v>10271.276358758634</x:v>
      </x:c>
      <x:c r="F33" s="35" t="n">
        <x:f>B33-E33</x:f>
        <x:v>655818.2767364146</x:v>
      </x:c>
      <x:c r="G33" s="35" t="str">
        <x:f>'ALL'!M33</x:f>
        <x:v>PASS</x:v>
      </x:c>
      <x:c r="H33" s="35" t="str">
        <x:f>'ALL'!N33</x:f>
        <x:v>survey-027</x:v>
      </x:c>
      <x:c r="I33" s="32"/>
      <x:c r="J33" s="32"/>
      <x:c r="K33" s="32"/>
      <x:c r="L33" s="32"/>
      <x:c r="M33" s="32"/>
      <x:c r="N33" s="32"/>
    </x:row>
    <x:row r="34">
      <x:c r="A34" s="35" t="n">
        <x:f>'ALL'!A34</x:f>
        <x:v>2557.6252632</x:v>
      </x:c>
      <x:c r="B34" s="35" t="n">
        <x:f>'ALL'!F34</x:f>
        <x:v>683006.0673463177</x:v>
      </x:c>
      <x:c r="C34" s="35" t="n">
        <x:f>'ALL'!J34</x:f>
        <x:v>28611.59068283126</x:v>
      </x:c>
      <x:c r="D34" s="35" t="n">
        <x:f>'ALL'!K34</x:f>
        <x:v>4711.485253484027</x:v>
      </x:c>
      <x:c r="E34" s="35" t="n">
        <x:f>'ALL'!L34</x:f>
        <x:v>9422.970506968055</x:v>
      </x:c>
      <x:c r="F34" s="35" t="n">
        <x:f>B34-E34</x:f>
        <x:v>673583.0968393496</x:v>
      </x:c>
      <x:c r="G34" s="35" t="str">
        <x:f>'ALL'!M34</x:f>
        <x:v>PASS</x:v>
      </x:c>
      <x:c r="H34" s="35" t="str">
        <x:f>'ALL'!N34</x:f>
        <x:v>survey-028</x:v>
      </x:c>
      <x:c r="I34" s="32"/>
      <x:c r="J34" s="32"/>
      <x:c r="K34" s="32"/>
      <x:c r="L34" s="32"/>
      <x:c r="M34" s="32"/>
      <x:c r="N34" s="32"/>
    </x:row>
    <x:row r="35">
      <x:c r="A35" s="35" t="n">
        <x:f>'ALL'!A35</x:f>
        <x:v>2633.5658784</x:v>
      </x:c>
      <x:c r="B35" s="35" t="n">
        <x:f>'ALL'!F35</x:f>
        <x:v>699800.3995342111</x:v>
      </x:c>
      <x:c r="C35" s="35" t="n">
        <x:f>'ALL'!J35</x:f>
        <x:v>28609.400784203306</x:v>
      </x:c>
      <x:c r="D35" s="35" t="n">
        <x:f>'ALL'!K35</x:f>
        <x:v>4260.430722586636</x:v>
      </x:c>
      <x:c r="E35" s="35" t="n">
        <x:f>'ALL'!L35</x:f>
        <x:v>8520.861445173272</x:v>
      </x:c>
      <x:c r="F35" s="35" t="n">
        <x:f>B35-E35</x:f>
        <x:v>691279.5380890379</x:v>
      </x:c>
      <x:c r="G35" s="35" t="str">
        <x:f>'ALL'!M35</x:f>
        <x:v>PASS</x:v>
      </x:c>
      <x:c r="H35" s="35" t="str">
        <x:f>'ALL'!N35</x:f>
        <x:v>survey-029</x:v>
      </x:c>
      <x:c r="I35" s="32"/>
      <x:c r="J35" s="32"/>
      <x:c r="K35" s="32"/>
      <x:c r="L35" s="32"/>
      <x:c r="M35" s="32"/>
      <x:c r="N35" s="32"/>
    </x:row>
    <x:row r="36">
      <x:c r="A36" s="35" t="n">
        <x:f>'ALL'!A36</x:f>
        <x:v>2709.0514272</x:v>
      </x:c>
      <x:c r="B36" s="35" t="n">
        <x:f>'ALL'!F36</x:f>
        <x:v>716507.5171333092</x:v>
      </x:c>
      <x:c r="C36" s="35" t="n">
        <x:f>'ALL'!J36</x:f>
        <x:v>28607.46915505814</x:v>
      </x:c>
      <x:c r="D36" s="35" t="n">
        <x:f>'ALL'!K36</x:f>
        <x:v>3809.012087543358</x:v>
      </x:c>
      <x:c r="E36" s="35" t="n">
        <x:f>'ALL'!L36</x:f>
        <x:v>7618.024175086716</x:v>
      </x:c>
      <x:c r="F36" s="35" t="n">
        <x:f>B36-E36</x:f>
        <x:v>708889.4929582224</x:v>
      </x:c>
      <x:c r="G36" s="35" t="str">
        <x:f>'ALL'!M36</x:f>
        <x:v>PASS</x:v>
      </x:c>
      <x:c r="H36" s="35" t="str">
        <x:f>'ALL'!N36</x:f>
        <x:v>survey-030</x:v>
      </x:c>
      <x:c r="I36" s="32"/>
      <x:c r="J36" s="32"/>
      <x:c r="K36" s="32"/>
      <x:c r="L36" s="32"/>
      <x:c r="M36" s="32"/>
      <x:c r="N36" s="32"/>
    </x:row>
    <x:row r="37">
      <x:c r="A37" s="35" t="n">
        <x:f>'ALL'!A37</x:f>
        <x:v>2784.480588</x:v>
      </x:c>
      <x:c r="B37" s="35" t="n">
        <x:f>'ALL'!F37</x:f>
        <x:v>733213.5635852496</x:v>
      </x:c>
      <x:c r="C37" s="35" t="n">
        <x:f>'ALL'!J37</x:f>
        <x:v>28605.869719411843</x:v>
      </x:c>
      <x:c r="D37" s="35" t="n">
        <x:f>'ALL'!K37</x:f>
        <x:v>3377.9059561717727</x:v>
      </x:c>
      <x:c r="E37" s="35" t="n">
        <x:f>'ALL'!L37</x:f>
        <x:v>6755.811912343545</x:v>
      </x:c>
      <x:c r="F37" s="35" t="n">
        <x:f>B37-E37</x:f>
        <x:v>726457.7516729061</x:v>
      </x:c>
      <x:c r="G37" s="35" t="str">
        <x:f>'ALL'!M37</x:f>
        <x:v>PASS</x:v>
      </x:c>
      <x:c r="H37" s="35" t="str">
        <x:f>'ALL'!N37</x:f>
        <x:v>survey-031</x:v>
      </x:c>
      <x:c r="I37" s="32"/>
      <x:c r="J37" s="32"/>
      <x:c r="K37" s="32"/>
      <x:c r="L37" s="32"/>
      <x:c r="M37" s="32"/>
      <x:c r="N37" s="32"/>
    </x:row>
    <x:row r="38">
      <x:c r="A38" s="35" t="n">
        <x:f>'ALL'!A38</x:f>
        <x:v>2860.2800807999997</x:v>
      </x:c>
      <x:c r="B38" s="35" t="n">
        <x:f>'ALL'!F38</x:f>
        <x:v>750010.9735344269</x:v>
      </x:c>
      <x:c r="C38" s="35" t="n">
        <x:f>'ALL'!J38</x:f>
        <x:v>28604.593406461943</x:v>
      </x:c>
      <x:c r="D38" s="35" t="n">
        <x:f>'ALL'!K38</x:f>
        <x:v>2980.8684489930993</x:v>
      </x:c>
      <x:c r="E38" s="35" t="n">
        <x:f>'ALL'!L38</x:f>
        <x:v>5961.7368979861985</x:v>
      </x:c>
      <x:c r="F38" s="35" t="n">
        <x:f>B38-E38</x:f>
        <x:v>744049.2366364407</x:v>
      </x:c>
      <x:c r="G38" s="35" t="str">
        <x:f>'ALL'!M38</x:f>
        <x:v>PASS</x:v>
      </x:c>
      <x:c r="H38" s="35" t="str">
        <x:f>'ALL'!N38</x:f>
        <x:v>survey-032</x:v>
      </x:c>
      <x:c r="I38" s="32"/>
      <x:c r="J38" s="32"/>
      <x:c r="K38" s="32"/>
      <x:c r="L38" s="32"/>
      <x:c r="M38" s="32"/>
      <x:c r="N38" s="32"/>
    </x:row>
    <x:row r="39">
      <x:c r="A39" s="35" t="n">
        <x:f>'ALL'!A39</x:f>
        <x:v>2936.688564</x:v>
      </x:c>
      <x:c r="B39" s="35" t="n">
        <x:f>'ALL'!F39</x:f>
        <x:v>766951.240161732</x:v>
      </x:c>
      <x:c r="C39" s="35" t="n">
        <x:f>'ALL'!J39</x:f>
        <x:v>28603.526337492924</x:v>
      </x:c>
      <x:c r="D39" s="35" t="n">
        <x:f>'ALL'!K39</x:f>
        <x:v>2601.355278029806</x:v>
      </x:c>
      <x:c r="E39" s="35" t="n">
        <x:f>'ALL'!L39</x:f>
        <x:v>5202.710556059612</x:v>
      </x:c>
      <x:c r="F39" s="35" t="n">
        <x:f>B39-E39</x:f>
        <x:v>761748.5296056723</x:v>
      </x:c>
      <x:c r="G39" s="35" t="str">
        <x:f>'ALL'!M39</x:f>
        <x:v>PASS</x:v>
      </x:c>
      <x:c r="H39" s="35" t="str">
        <x:f>'ALL'!N39</x:f>
        <x:v>survey-033</x:v>
      </x:c>
      <x:c r="I39" s="32"/>
      <x:c r="J39" s="32"/>
      <x:c r="K39" s="32"/>
      <x:c r="L39" s="32"/>
      <x:c r="M39" s="32"/>
      <x:c r="N39" s="32"/>
    </x:row>
    <x:row r="40">
      <x:c r="A40" s="35" t="n">
        <x:f>'ALL'!A40</x:f>
        <x:v>3013.6334952</x:v>
      </x:c>
      <x:c r="B40" s="35" t="n">
        <x:f>'ALL'!F40</x:f>
        <x:v>784017.5061779759</x:v>
      </x:c>
      <x:c r="C40" s="35" t="n">
        <x:f>'ALL'!J40</x:f>
        <x:v>28602.564070595457</x:v>
      </x:c>
      <x:c r="D40" s="35" t="n">
        <x:f>'ALL'!K40</x:f>
        <x:v>2210.464287905019</x:v>
      </x:c>
      <x:c r="E40" s="35" t="n">
        <x:f>'ALL'!L40</x:f>
        <x:v>4420.928575810038</x:v>
      </x:c>
      <x:c r="F40" s="35" t="n">
        <x:f>B40-E40</x:f>
        <x:v>779596.5776021659</x:v>
      </x:c>
      <x:c r="G40" s="35" t="str">
        <x:f>'ALL'!M40</x:f>
        <x:v>PASS</x:v>
      </x:c>
      <x:c r="H40" s="35" t="str">
        <x:f>'ALL'!N40</x:f>
        <x:v>survey-034</x:v>
      </x:c>
      <x:c r="I40" s="32"/>
      <x:c r="J40" s="32"/>
      <x:c r="K40" s="32"/>
      <x:c r="L40" s="32"/>
      <x:c r="M40" s="32"/>
      <x:c r="N40" s="32"/>
    </x:row>
    <x:row r="41">
      <x:c r="A41" s="35" t="n">
        <x:f>'ALL'!A41</x:f>
        <x:v>3090.7698408</x:v>
      </x:c>
      <x:c r="B41" s="35" t="n">
        <x:f>'ALL'!F41</x:f>
        <x:v>801132.0373323669</x:v>
      </x:c>
      <x:c r="C41" s="35" t="n">
        <x:f>'ALL'!J41</x:f>
        <x:v>28601.758831011655</x:v>
      </x:c>
      <x:c r="D41" s="35" t="n">
        <x:f>'ALL'!K41</x:f>
        <x:v>1828.4835133349245</x:v>
      </x:c>
      <x:c r="E41" s="35" t="n">
        <x:f>'ALL'!L41</x:f>
        <x:v>3656.967026669849</x:v>
      </x:c>
      <x:c r="F41" s="35" t="n">
        <x:f>B41-E41</x:f>
        <x:v>797475.070305697</x:v>
      </x:c>
      <x:c r="G41" s="35" t="str">
        <x:f>'ALL'!M41</x:f>
        <x:v>PASS</x:v>
      </x:c>
      <x:c r="H41" s="35" t="str">
        <x:f>'ALL'!N41</x:f>
        <x:v>survey-035</x:v>
      </x:c>
      <x:c r="I41" s="32"/>
      <x:c r="J41" s="32"/>
      <x:c r="K41" s="32"/>
      <x:c r="L41" s="32"/>
      <x:c r="M41" s="32"/>
      <x:c r="N41" s="32"/>
    </x:row>
    <x:row r="42">
      <x:c r="A42" s="35" t="n">
        <x:f>'ALL'!A42</x:f>
        <x:v>3167.6544215999998</x:v>
      </x:c>
      <x:c r="B42" s="35" t="n">
        <x:f>'ALL'!F42</x:f>
        <x:v>818190.9258303377</x:v>
      </x:c>
      <x:c r="C42" s="35" t="n">
        <x:f>'ALL'!J42</x:f>
        <x:v>28601.722727027758</x:v>
      </x:c>
      <x:c r="D42" s="35" t="n">
        <x:f>'ALL'!K42</x:f>
        <x:v>1812.5797754308658</x:v>
      </x:c>
      <x:c r="E42" s="35" t="n">
        <x:f>'ALL'!L42</x:f>
        <x:v>3625.1595508617315</x:v>
      </x:c>
      <x:c r="F42" s="35" t="n">
        <x:f>B42-E42</x:f>
        <x:v>814565.766279476</x:v>
      </x:c>
      <x:c r="G42" s="35" t="str">
        <x:f>'ALL'!M42</x:f>
        <x:v>PASS</x:v>
      </x:c>
      <x:c r="H42" s="35" t="str">
        <x:f>'ALL'!N42</x:f>
        <x:v>survey-036</x:v>
      </x:c>
      <x:c r="I42" s="32"/>
      <x:c r="J42" s="32"/>
      <x:c r="K42" s="32"/>
      <x:c r="L42" s="32"/>
      <x:c r="M42" s="32"/>
      <x:c r="N42" s="32"/>
    </x:row>
    <x:row r="43">
      <x:c r="A43" s="35" t="n">
        <x:f>'ALL'!A43</x:f>
        <x:v>3243.9723792</x:v>
      </x:c>
      <x:c r="B43" s="35" t="n">
        <x:f>'ALL'!F43</x:f>
        <x:v>835118.0075327385</x:v>
      </x:c>
      <x:c r="C43" s="35" t="n">
        <x:f>'ALL'!J43</x:f>
        <x:v>28602.56029719639</x:v>
      </x:c>
      <x:c r="D43" s="35" t="n">
        <x:f>'ALL'!K43</x:f>
        <x:v>2217.891733412791</x:v>
      </x:c>
      <x:c r="E43" s="35" t="n">
        <x:f>'ALL'!L43</x:f>
        <x:v>4435.783466825582</x:v>
      </x:c>
      <x:c r="F43" s="35" t="n">
        <x:f>B43-E43</x:f>
        <x:v>830682.2240659129</x:v>
      </x:c>
      <x:c r="G43" s="35" t="str">
        <x:f>'ALL'!M43</x:f>
        <x:v>PASS</x:v>
      </x:c>
      <x:c r="H43" s="35" t="str">
        <x:f>'ALL'!N43</x:f>
        <x:v>survey-037</x:v>
      </x:c>
      <x:c r="I43" s="32"/>
      <x:c r="J43" s="32"/>
      <x:c r="K43" s="32"/>
      <x:c r="L43" s="32"/>
      <x:c r="M43" s="32"/>
      <x:c r="N43" s="32"/>
    </x:row>
    <x:row r="44">
      <x:c r="A44" s="35" t="n">
        <x:f>'ALL'!A44</x:f>
        <x:v>3319.6978056000003</x:v>
      </x:c>
      <x:c r="B44" s="35" t="n">
        <x:f>'ALL'!F44</x:f>
        <x:v>851906.0400679975</x:v>
      </x:c>
      <x:c r="C44" s="35" t="n">
        <x:f>'ALL'!J44</x:f>
        <x:v>28603.605997663533</x:v>
      </x:c>
      <x:c r="D44" s="35" t="n">
        <x:f>'ALL'!K44</x:f>
        <x:v>2642.4110592528173</x:v>
      </x:c>
      <x:c r="E44" s="35" t="n">
        <x:f>'ALL'!L44</x:f>
        <x:v>5284.8221185056345</x:v>
      </x:c>
      <x:c r="F44" s="35" t="n">
        <x:f>B44-E44</x:f>
        <x:v>846621.2179494919</x:v>
      </x:c>
      <x:c r="G44" s="35" t="str">
        <x:f>'ALL'!M44</x:f>
        <x:v>PASS</x:v>
      </x:c>
      <x:c r="H44" s="35" t="str">
        <x:f>'ALL'!N44</x:f>
        <x:v>survey-038</x:v>
      </x:c>
      <x:c r="I44" s="32"/>
      <x:c r="J44" s="32"/>
      <x:c r="K44" s="32"/>
      <x:c r="L44" s="32"/>
      <x:c r="M44" s="32"/>
      <x:c r="N44" s="32"/>
    </x:row>
    <x:row r="45">
      <x:c r="A45" s="35" t="n">
        <x:f>'ALL'!A45</x:f>
        <x:v>3395.1068496000003</x:v>
      </x:c>
      <x:c r="B45" s="35" t="n">
        <x:f>'ALL'!F45</x:f>
        <x:v>868616.94718898</x:v>
      </x:c>
      <x:c r="C45" s="35" t="n">
        <x:f>'ALL'!J45</x:f>
        <x:v>28604.566689656534</x:v>
      </x:c>
      <x:c r="D45" s="35" t="n">
        <x:f>'ALL'!K45</x:f>
        <x:v>2979.8716159706937</x:v>
      </x:c>
      <x:c r="E45" s="35" t="n">
        <x:f>'ALL'!L45</x:f>
        <x:v>5959.743231941387</x:v>
      </x:c>
      <x:c r="F45" s="35" t="n">
        <x:f>B45-E45</x:f>
        <x:v>862657.2039570386</x:v>
      </x:c>
      <x:c r="G45" s="35" t="str">
        <x:f>'ALL'!M45</x:f>
        <x:v>PASS</x:v>
      </x:c>
      <x:c r="H45" s="35" t="str">
        <x:f>'ALL'!N45</x:f>
        <x:v>survey-039</x:v>
      </x:c>
      <x:c r="I45" s="32"/>
      <x:c r="J45" s="32"/>
      <x:c r="K45" s="32"/>
      <x:c r="L45" s="32"/>
      <x:c r="M45" s="32"/>
      <x:c r="N45" s="32"/>
    </x:row>
    <x:row r="46">
      <x:c r="A46" s="35" t="n">
        <x:f>'ALL'!A46</x:f>
        <x:v>3470.6368992</x:v>
      </x:c>
      <x:c r="B46" s="35" t="n">
        <x:f>'ALL'!F46</x:f>
        <x:v>885348.6982656334</x:v>
      </x:c>
      <x:c r="C46" s="35" t="n">
        <x:f>'ALL'!J46</x:f>
        <x:v>28605.40820924909</x:v>
      </x:c>
      <x:c r="D46" s="35" t="n">
        <x:f>'ALL'!K46</x:f>
        <x:v>3240.2265772593487</x:v>
      </x:c>
      <x:c r="E46" s="35" t="n">
        <x:f>'ALL'!L46</x:f>
        <x:v>6480.453154518697</x:v>
      </x:c>
      <x:c r="F46" s="35" t="n">
        <x:f>B46-E46</x:f>
        <x:v>878868.2451111147</x:v>
      </x:c>
      <x:c r="G46" s="35" t="str">
        <x:f>'ALL'!M46</x:f>
        <x:v>PASS</x:v>
      </x:c>
      <x:c r="H46" s="35" t="str">
        <x:f>'ALL'!N46</x:f>
        <x:v>survey-040</x:v>
      </x:c>
      <x:c r="I46" s="32"/>
      <x:c r="J46" s="32"/>
      <x:c r="K46" s="32"/>
      <x:c r="L46" s="32"/>
      <x:c r="M46" s="32"/>
      <x:c r="N46" s="32"/>
    </x:row>
    <x:row r="47">
      <x:c r="A47" s="35" t="n">
        <x:f>'ALL'!A47</x:f>
        <x:v>3546.6631632</x:v>
      </x:c>
      <x:c r="B47" s="35" t="n">
        <x:f>'ALL'!F47</x:f>
        <x:v>902184.4548048641</x:v>
      </x:c>
      <x:c r="C47" s="35" t="n">
        <x:f>'ALL'!J47</x:f>
        <x:v>28606.27050528408</x:v>
      </x:c>
      <x:c r="D47" s="35" t="n">
        <x:f>'ALL'!K47</x:f>
        <x:v>3477.5866978427607</x:v>
      </x:c>
      <x:c r="E47" s="35" t="n">
        <x:f>'ALL'!L47</x:f>
        <x:v>6955.173395685521</x:v>
      </x:c>
      <x:c r="F47" s="35" t="n">
        <x:f>B47-E47</x:f>
        <x:v>895229.2814091786</x:v>
      </x:c>
      <x:c r="G47" s="35" t="str">
        <x:f>'ALL'!M47</x:f>
        <x:v>PASS</x:v>
      </x:c>
      <x:c r="H47" s="35" t="str">
        <x:f>'ALL'!N47</x:f>
        <x:v>survey-041</x:v>
      </x:c>
      <x:c r="I47" s="32"/>
      <x:c r="J47" s="32"/>
      <x:c r="K47" s="32"/>
      <x:c r="L47" s="32"/>
      <x:c r="M47" s="32"/>
      <x:c r="N47" s="32"/>
    </x:row>
    <x:row r="48">
      <x:c r="A48" s="35" t="n">
        <x:f>'ALL'!A48</x:f>
        <x:v>3623.3087808</x:v>
      </x:c>
      <x:c r="B48" s="35" t="n">
        <x:f>'ALL'!F48</x:f>
        <x:v>919150.4032984045</x:v>
      </x:c>
      <x:c r="C48" s="35" t="n">
        <x:f>'ALL'!J48</x:f>
        <x:v>28607.294149836456</x:v>
      </x:c>
      <x:c r="D48" s="35" t="n">
        <x:f>'ALL'!K48</x:f>
        <x:v>3735.52973462342</x:v>
      </x:c>
      <x:c r="E48" s="35" t="n">
        <x:f>'ALL'!L48</x:f>
        <x:v>7471.05946924684</x:v>
      </x:c>
      <x:c r="F48" s="35" t="n">
        <x:f>B48-E48</x:f>
        <x:v>911679.3438291576</x:v>
      </x:c>
      <x:c r="G48" s="35" t="str">
        <x:f>'ALL'!M48</x:f>
        <x:v>PASS</x:v>
      </x:c>
      <x:c r="H48" s="35" t="str">
        <x:f>'ALL'!N48</x:f>
        <x:v>survey-042</x:v>
      </x:c>
      <x:c r="I48" s="32"/>
      <x:c r="J48" s="32"/>
      <x:c r="K48" s="32"/>
      <x:c r="L48" s="32"/>
      <x:c r="M48" s="32"/>
      <x:c r="N48" s="32"/>
    </x:row>
    <x:row r="49">
      <x:c r="A49" s="35" t="n">
        <x:f>'ALL'!A49</x:f>
        <x:v>3700.3805088</x:v>
      </x:c>
      <x:c r="B49" s="35" t="n">
        <x:f>'ALL'!F49</x:f>
        <x:v>936201.9429977234</x:v>
      </x:c>
      <x:c r="C49" s="35" t="n">
        <x:f>'ALL'!J49</x:f>
        <x:v>28608.554391989604</x:v>
      </x:c>
      <x:c r="D49" s="35" t="n">
        <x:f>'ALL'!K49</x:f>
        <x:v>4034.182554764465</x:v>
      </x:c>
      <x:c r="E49" s="35" t="n">
        <x:f>'ALL'!L49</x:f>
        <x:v>8068.36510952893</x:v>
      </x:c>
      <x:c r="F49" s="35" t="n">
        <x:f>B49-E49</x:f>
        <x:v>928133.5778881945</x:v>
      </x:c>
      <x:c r="G49" s="35" t="str">
        <x:f>'ALL'!M49</x:f>
        <x:v>PASS</x:v>
      </x:c>
      <x:c r="H49" s="35" t="str">
        <x:f>'ALL'!N49</x:f>
        <x:v>survey-043</x:v>
      </x:c>
      <x:c r="I49" s="32"/>
      <x:c r="J49" s="32"/>
      <x:c r="K49" s="32"/>
      <x:c r="L49" s="32"/>
      <x:c r="M49" s="32"/>
      <x:c r="N49" s="32"/>
    </x:row>
    <x:row r="50">
      <x:c r="A50" s="35" t="n">
        <x:f>'ALL'!A50</x:f>
        <x:v>3777.4683912</x:v>
      </x:c>
      <x:c r="B50" s="35" t="n">
        <x:f>'ALL'!F50</x:f>
        <x:v>953247.3732166202</x:v>
      </x:c>
      <x:c r="C50" s="35" t="n">
        <x:f>'ALL'!J50</x:f>
        <x:v>28609.90897272849</x:v>
      </x:c>
      <x:c r="D50" s="35" t="n">
        <x:f>'ALL'!K50</x:f>
        <x:v>4341.399783443597</x:v>
      </x:c>
      <x:c r="E50" s="35" t="n">
        <x:f>'ALL'!L50</x:f>
        <x:v>8682.799566887194</x:v>
      </x:c>
      <x:c r="F50" s="35" t="n">
        <x:f>B50-E50</x:f>
        <x:v>944564.573649733</x:v>
      </x:c>
      <x:c r="G50" s="35" t="str">
        <x:f>'ALL'!M50</x:f>
        <x:v>PASS</x:v>
      </x:c>
      <x:c r="H50" s="35" t="str">
        <x:f>'ALL'!N50</x:f>
        <x:v>survey-044</x:v>
      </x:c>
      <x:c r="I50" s="32"/>
      <x:c r="J50" s="32"/>
      <x:c r="K50" s="32"/>
      <x:c r="L50" s="32"/>
      <x:c r="M50" s="32"/>
      <x:c r="N50" s="32"/>
    </x:row>
    <x:row r="51">
      <x:c r="A51" s="35" t="n">
        <x:f>'ALL'!A51</x:f>
        <x:v>3854.1542424</x:v>
      </x:c>
      <x:c r="B51" s="35" t="n">
        <x:f>'ALL'!F51</x:f>
        <x:v>970194.0804175219</x:v>
      </x:c>
      <x:c r="C51" s="35" t="n">
        <x:f>'ALL'!J51</x:f>
        <x:v>28611.23014699836</x:v>
      </x:c>
      <x:c r="D51" s="35" t="n">
        <x:f>'ALL'!K51</x:f>
        <x:v>4633.867599663519</x:v>
      </x:c>
      <x:c r="E51" s="35" t="n">
        <x:f>'ALL'!L51</x:f>
        <x:v>9267.735199327039</x:v>
      </x:c>
      <x:c r="F51" s="35" t="n">
        <x:f>B51-E51</x:f>
        <x:v>960926.3452181949</x:v>
      </x:c>
      <x:c r="G51" s="35" t="str">
        <x:f>'ALL'!M51</x:f>
        <x:v>PASS</x:v>
      </x:c>
      <x:c r="H51" s="35" t="str">
        <x:f>'ALL'!N51</x:f>
        <x:v>survey-045</x:v>
      </x:c>
      <x:c r="I51" s="32"/>
      <x:c r="J51" s="32"/>
      <x:c r="K51" s="32"/>
      <x:c r="L51" s="32"/>
      <x:c r="M51" s="32"/>
      <x:c r="N51" s="32"/>
    </x:row>
    <x:row r="52">
      <x:c r="A52" s="35" t="n">
        <x:f>'ALL'!A52</x:f>
        <x:v>3930.2240928</x:v>
      </x:c>
      <x:c r="B52" s="35" t="n">
        <x:f>'ALL'!F52</x:f>
        <x:v>986995.911058625</x:v>
      </x:c>
      <x:c r="C52" s="35" t="n">
        <x:f>'ALL'!J52</x:f>
        <x:v>28612.36194088117</x:v>
      </x:c>
      <x:c r="D52" s="35" t="n">
        <x:f>'ALL'!K52</x:f>
        <x:v>4881.413205013298</x:v>
      </x:c>
      <x:c r="E52" s="35" t="n">
        <x:f>'ALL'!L52</x:f>
        <x:v>9762.826410026595</x:v>
      </x:c>
      <x:c r="F52" s="35" t="n">
        <x:f>B52-E52</x:f>
        <x:v>977233.0846485983</x:v>
      </x:c>
      <x:c r="G52" s="35" t="str">
        <x:f>'ALL'!M52</x:f>
        <x:v>PASS</x:v>
      </x:c>
      <x:c r="H52" s="35" t="str">
        <x:f>'ALL'!N52</x:f>
        <x:v>survey-046</x:v>
      </x:c>
      <x:c r="I52" s="32"/>
      <x:c r="J52" s="32"/>
      <x:c r="K52" s="32"/>
      <x:c r="L52" s="32"/>
      <x:c r="M52" s="32"/>
      <x:c r="N52" s="32"/>
    </x:row>
    <x:row r="53">
      <x:c r="A53" s="35" t="n">
        <x:f>'ALL'!A53</x:f>
        <x:v>4005.779136</x:v>
      </x:c>
      <x:c r="B53" s="35" t="n">
        <x:f>'ALL'!F53</x:f>
        <x:v>1003676.8408510318</x:v>
      </x:c>
      <x:c r="C53" s="35" t="n">
        <x:f>'ALL'!J53</x:f>
        <x:v>28613.283208291596</x:v>
      </x:c>
      <x:c r="D53" s="35" t="n">
        <x:f>'ALL'!K53</x:f>
        <x:v>5077.246908811857</x:v>
      </x:c>
      <x:c r="E53" s="35" t="n">
        <x:f>'ALL'!L53</x:f>
        <x:v>10154.493817623714</x:v>
      </x:c>
      <x:c r="F53" s="35" t="n">
        <x:f>B53-E53</x:f>
        <x:v>993522.3470334081</x:v>
      </x:c>
      <x:c r="G53" s="35" t="str">
        <x:f>'ALL'!M53</x:f>
        <x:v>PASS</x:v>
      </x:c>
      <x:c r="H53" s="35" t="str">
        <x:f>'ALL'!N53</x:f>
        <x:v>survey-047</x:v>
      </x:c>
      <x:c r="I53" s="32"/>
      <x:c r="J53" s="32"/>
      <x:c r="K53" s="32"/>
      <x:c r="L53" s="32"/>
      <x:c r="M53" s="32"/>
      <x:c r="N53" s="32"/>
    </x:row>
    <x:row r="54">
      <x:c r="A54" s="35" t="n">
        <x:f>'ALL'!A54</x:f>
        <x:v>4081.1817792</x:v>
      </x:c>
      <x:c r="B54" s="35" t="n">
        <x:f>'ALL'!F54</x:f>
        <x:v>1020318.5401385546</x:v>
      </x:c>
      <x:c r="C54" s="35" t="n">
        <x:f>'ALL'!J54</x:f>
        <x:v>28614.03648035307</x:v>
      </x:c>
      <x:c r="D54" s="35" t="n">
        <x:f>'ALL'!K54</x:f>
        <x:v>5224.495357305971</x:v>
      </x:c>
      <x:c r="E54" s="35" t="n">
        <x:f>'ALL'!L54</x:f>
        <x:v>10448.990714611942</x:v>
      </x:c>
      <x:c r="F54" s="35" t="n">
        <x:f>B54-E54</x:f>
        <x:v>1009869.5494239427</x:v>
      </x:c>
      <x:c r="G54" s="35" t="str">
        <x:f>'ALL'!M54</x:f>
        <x:v>PASS</x:v>
      </x:c>
      <x:c r="H54" s="35" t="str">
        <x:f>'ALL'!N54</x:f>
        <x:v>survey-048</x:v>
      </x:c>
      <x:c r="I54" s="32"/>
      <x:c r="J54" s="32"/>
      <x:c r="K54" s="32"/>
      <x:c r="L54" s="32"/>
      <x:c r="M54" s="32"/>
      <x:c r="N54" s="32"/>
    </x:row>
    <x:row r="55">
      <x:c r="A55" s="35" t="n">
        <x:f>'ALL'!A55</x:f>
        <x:v>4156.8727632</x:v>
      </x:c>
      <x:c r="B55" s="35" t="n">
        <x:f>'ALL'!F55</x:f>
        <x:v>1037019.7969557836</x:v>
      </x:c>
      <x:c r="C55" s="35" t="n">
        <x:f>'ALL'!J55</x:f>
        <x:v>28614.660211611903</x:v>
      </x:c>
      <x:c r="D55" s="35" t="n">
        <x:f>'ALL'!K55</x:f>
        <x:v>5329.133078724494</x:v>
      </x:c>
      <x:c r="E55" s="35" t="n">
        <x:f>'ALL'!L55</x:f>
        <x:v>10658.266157448988</x:v>
      </x:c>
      <x:c r="F55" s="35" t="n">
        <x:f>B55-E55</x:f>
        <x:v>1026361.5307983346</x:v>
      </x:c>
      <x:c r="G55" s="35" t="str">
        <x:f>'ALL'!M55</x:f>
        <x:v>PASS</x:v>
      </x:c>
      <x:c r="H55" s="35" t="str">
        <x:f>'ALL'!N55</x:f>
        <x:v>survey-049</x:v>
      </x:c>
      <x:c r="I55" s="32"/>
      <x:c r="J55" s="32"/>
      <x:c r="K55" s="32"/>
      <x:c r="L55" s="32"/>
      <x:c r="M55" s="32"/>
      <x:c r="N55" s="32"/>
    </x:row>
    <x:row r="56">
      <x:c r="A56" s="35" t="n">
        <x:f>'ALL'!A56</x:f>
        <x:v>4233.1456104</x:v>
      </x:c>
      <x:c r="B56" s="35" t="n">
        <x:f>'ALL'!F56</x:f>
        <x:v>1053846.4739392952</x:v>
      </x:c>
      <x:c r="C56" s="35" t="n">
        <x:f>'ALL'!J56</x:f>
        <x:v>28615.187576501845</x:v>
      </x:c>
      <x:c r="D56" s="35" t="n">
        <x:f>'ALL'!K56</x:f>
        <x:v>5403.408250563843</x:v>
      </x:c>
      <x:c r="E56" s="35" t="n">
        <x:f>'ALL'!L56</x:f>
        <x:v>10806.816501127685</x:v>
      </x:c>
      <x:c r="F56" s="35" t="n">
        <x:f>B56-E56</x:f>
        <x:v>1043039.6574381675</x:v>
      </x:c>
      <x:c r="G56" s="35" t="str">
        <x:f>'ALL'!M56</x:f>
        <x:v>PASS</x:v>
      </x:c>
      <x:c r="H56" s="35" t="str">
        <x:f>'ALL'!N56</x:f>
        <x:v>survey-050</x:v>
      </x:c>
      <x:c r="I56" s="32"/>
      <x:c r="J56" s="32"/>
      <x:c r="K56" s="32"/>
      <x:c r="L56" s="32"/>
      <x:c r="M56" s="32"/>
      <x:c r="N56" s="32"/>
    </x:row>
    <x:row r="57">
      <x:c r="A57" s="35" t="n">
        <x:f>'ALL'!A57</x:f>
        <x:v>4309.9975776</x:v>
      </x:c>
      <x:c r="B57" s="35" t="n">
        <x:f>'ALL'!F57</x:f>
        <x:v>1070799.1602705836</x:v>
      </x:c>
      <x:c r="C57" s="35" t="n">
        <x:f>'ALL'!J57</x:f>
        <x:v>28615.547542606535</x:v>
      </x:c>
      <x:c r="D57" s="35" t="n">
        <x:f>'ALL'!K57</x:f>
        <x:v>5446.429733762008</x:v>
      </x:c>
      <x:c r="E57" s="35" t="n">
        <x:f>'ALL'!L57</x:f>
        <x:v>10892.859467524017</x:v>
      </x:c>
      <x:c r="F57" s="35" t="n">
        <x:f>B57-E57</x:f>
        <x:v>1059906.3008030595</x:v>
      </x:c>
      <x:c r="G57" s="35" t="str">
        <x:f>'ALL'!M57</x:f>
        <x:v>PASS</x:v>
      </x:c>
      <x:c r="H57" s="35" t="str">
        <x:f>'ALL'!N57</x:f>
        <x:v>survey-051</x:v>
      </x:c>
      <x:c r="I57" s="32"/>
      <x:c r="J57" s="32"/>
      <x:c r="K57" s="32"/>
      <x:c r="L57" s="32"/>
      <x:c r="M57" s="32"/>
      <x:c r="N57" s="32"/>
    </x:row>
    <x:row r="58">
      <x:c r="A58" s="35" t="n">
        <x:f>'ALL'!A58</x:f>
        <x:v>4387.1302656</x:v>
      </x:c>
      <x:c r="B58" s="35" t="n">
        <x:f>'ALL'!F58</x:f>
        <x:v>1087812.9940658004</x:v>
      </x:c>
      <x:c r="C58" s="35" t="n">
        <x:f>'ALL'!J58</x:f>
        <x:v>28615.712798580986</x:v>
      </x:c>
      <x:c r="D58" s="35" t="n">
        <x:f>'ALL'!K58</x:f>
        <x:v>5465.325847757959</x:v>
      </x:c>
      <x:c r="E58" s="35" t="n">
        <x:f>'ALL'!L58</x:f>
        <x:v>10930.651695515919</x:v>
      </x:c>
      <x:c r="F58" s="35" t="n">
        <x:f>B58-E58</x:f>
        <x:v>1076882.3423702845</x:v>
      </x:c>
      <x:c r="G58" s="35" t="str">
        <x:f>'ALL'!M58</x:f>
        <x:v>PASS</x:v>
      </x:c>
      <x:c r="H58" s="35" t="str">
        <x:f>'ALL'!N58</x:f>
        <x:v>survey-052</x:v>
      </x:c>
      <x:c r="I58" s="32"/>
      <x:c r="J58" s="32"/>
      <x:c r="K58" s="32"/>
      <x:c r="L58" s="32"/>
      <x:c r="M58" s="32"/>
      <x:c r="N58" s="32"/>
    </x:row>
    <x:row r="59">
      <x:c r="A59" s="35" t="n">
        <x:f>'ALL'!A59</x:f>
        <x:v>4464.1026288</x:v>
      </x:c>
      <x:c r="B59" s="35" t="n">
        <x:f>'ALL'!F59</x:f>
        <x:v>1104791.564922813</x:v>
      </x:c>
      <x:c r="C59" s="35" t="n">
        <x:f>'ALL'!J59</x:f>
        <x:v>28615.665985644835</x:v>
      </x:c>
      <x:c r="D59" s="35" t="n">
        <x:f>'ALL'!K59</x:f>
        <x:v>5462.8587766814835</x:v>
      </x:c>
      <x:c r="E59" s="35" t="n">
        <x:f>'ALL'!L59</x:f>
        <x:v>10925.717553362967</x:v>
      </x:c>
      <x:c r="F59" s="35" t="n">
        <x:f>B59-E59</x:f>
        <x:v>1093865.8473694501</x:v>
      </x:c>
      <x:c r="G59" s="35" t="str">
        <x:f>'ALL'!M59</x:f>
        <x:v>PASS</x:v>
      </x:c>
      <x:c r="H59" s="35" t="str">
        <x:f>'ALL'!N59</x:f>
        <x:v>survey-053</x:v>
      </x:c>
      <x:c r="I59" s="32"/>
      <x:c r="J59" s="32"/>
      <x:c r="K59" s="32"/>
      <x:c r="L59" s="32"/>
      <x:c r="M59" s="32"/>
      <x:c r="N59" s="32"/>
    </x:row>
    <x:row r="60">
      <x:c r="A60" s="35" t="n">
        <x:f>'ALL'!A60</x:f>
        <x:v>4540.555308</x:v>
      </x:c>
      <x:c r="B60" s="35" t="n">
        <x:f>'ALL'!F60</x:f>
        <x:v>1121656.1618409925</x:v>
      </x:c>
      <x:c r="C60" s="35" t="n">
        <x:f>'ALL'!J60</x:f>
        <x:v>28615.468292404294</x:v>
      </x:c>
      <x:c r="D60" s="35" t="n">
        <x:f>'ALL'!K60</x:f>
        <x:v>5446.698722331982</x:v>
      </x:c>
      <x:c r="E60" s="35" t="n">
        <x:f>'ALL'!L60</x:f>
        <x:v>10893.397444663964</x:v>
      </x:c>
      <x:c r="F60" s="35" t="n">
        <x:f>B60-E60</x:f>
        <x:v>1110762.7643963285</x:v>
      </x:c>
      <x:c r="G60" s="35" t="str">
        <x:f>'ALL'!M60</x:f>
        <x:v>PASS</x:v>
      </x:c>
      <x:c r="H60" s="35" t="str">
        <x:f>'ALL'!N60</x:f>
        <x:v>survey-054</x:v>
      </x:c>
      <x:c r="I60" s="32"/>
      <x:c r="J60" s="32"/>
      <x:c r="K60" s="32"/>
      <x:c r="L60" s="32"/>
      <x:c r="M60" s="32"/>
      <x:c r="N60" s="32"/>
    </x:row>
    <x:row r="61">
      <x:c r="A61" s="35" t="n">
        <x:f>'ALL'!A61</x:f>
        <x:v>4616.3935104</x:v>
      </x:c>
      <x:c r="B61" s="35" t="n">
        <x:f>'ALL'!F61</x:f>
        <x:v>1138386.296912006</x:v>
      </x:c>
      <x:c r="C61" s="35" t="n">
        <x:f>'ALL'!J61</x:f>
        <x:v>28615.19242322703</x:v>
      </x:c>
      <x:c r="D61" s="35" t="n">
        <x:f>'ALL'!K61</x:f>
        <x:v>5419.734744567189</x:v>
      </x:c>
      <x:c r="E61" s="35" t="n">
        <x:f>'ALL'!L61</x:f>
        <x:v>10839.469489134379</x:v>
      </x:c>
      <x:c r="F61" s="35" t="n">
        <x:f>B61-E61</x:f>
        <x:v>1127546.8274228717</x:v>
      </x:c>
      <x:c r="G61" s="35" t="str">
        <x:f>'ALL'!M61</x:f>
        <x:v>PASS</x:v>
      </x:c>
      <x:c r="H61" s="35" t="str">
        <x:f>'ALL'!N61</x:f>
        <x:v>survey-055</x:v>
      </x:c>
      <x:c r="I61" s="32"/>
      <x:c r="J61" s="32"/>
      <x:c r="K61" s="32"/>
      <x:c r="L61" s="32"/>
      <x:c r="M61" s="32"/>
      <x:c r="N61" s="32"/>
    </x:row>
    <x:row r="62">
      <x:c r="A62" s="35" t="n">
        <x:f>'ALL'!A62</x:f>
        <x:v>4691.8360824</x:v>
      </x:c>
      <x:c r="B62" s="35" t="n">
        <x:f>'ALL'!F62</x:f>
        <x:v>1155030.372613192</x:v>
      </x:c>
      <x:c r="C62" s="35" t="n">
        <x:f>'ALL'!J62</x:f>
        <x:v>28614.943029485676</x:v>
      </x:c>
      <x:c r="D62" s="35" t="n">
        <x:f>'ALL'!K62</x:f>
        <x:v>5389.141729174255</x:v>
      </x:c>
      <x:c r="E62" s="35" t="n">
        <x:f>'ALL'!L62</x:f>
        <x:v>10778.28345834851</x:v>
      </x:c>
      <x:c r="F62" s="35" t="n">
        <x:f>B62-E62</x:f>
        <x:v>1144252.0891548435</x:v>
      </x:c>
      <x:c r="G62" s="35" t="str">
        <x:f>'ALL'!M62</x:f>
        <x:v>PASS</x:v>
      </x:c>
      <x:c r="H62" s="35" t="str">
        <x:f>'ALL'!N62</x:f>
        <x:v>survey-056</x:v>
      </x:c>
      <x:c r="I62" s="32"/>
      <x:c r="J62" s="32"/>
      <x:c r="K62" s="32"/>
      <x:c r="L62" s="32"/>
      <x:c r="M62" s="32"/>
      <x:c r="N62" s="32"/>
    </x:row>
    <x:row r="63">
      <x:c r="A63" s="35" t="n">
        <x:f>'ALL'!A63</x:f>
        <x:v>4767.3027336000005</x:v>
      </x:c>
      <x:c r="B63" s="35" t="n">
        <x:f>'ALL'!F63</x:f>
        <x:v>1171680.8264845596</x:v>
      </x:c>
      <x:c r="C63" s="35" t="n">
        <x:f>'ALL'!J63</x:f>
        <x:v>28614.798901367703</x:v>
      </x:c>
      <x:c r="D63" s="35" t="n">
        <x:f>'ALL'!K63</x:f>
        <x:v>5362.233481314568</x:v>
      </x:c>
      <x:c r="E63" s="35" t="n">
        <x:f>'ALL'!L63</x:f>
        <x:v>10724.466962629136</x:v>
      </x:c>
      <x:c r="F63" s="35" t="n">
        <x:f>B63-E63</x:f>
        <x:v>1160956.3595219303</x:v>
      </x:c>
      <x:c r="G63" s="35" t="str">
        <x:f>'ALL'!M63</x:f>
        <x:v>PASS</x:v>
      </x:c>
      <x:c r="H63" s="35" t="str">
        <x:f>'ALL'!N63</x:f>
        <x:v>survey-057</x:v>
      </x:c>
      <x:c r="I63" s="32"/>
      <x:c r="J63" s="32"/>
      <x:c r="K63" s="32"/>
      <x:c r="L63" s="32"/>
      <x:c r="M63" s="32"/>
      <x:c r="N63" s="32"/>
    </x:row>
    <x:row r="64">
      <x:c r="A64" s="35" t="n">
        <x:f>'ALL'!A64</x:f>
        <x:v>4843.2018960000005</x:v>
      </x:c>
      <x:c r="B64" s="35" t="n">
        <x:f>'ALL'!F64</x:f>
        <x:v>1188427.2943145775</x:v>
      </x:c>
      <x:c r="C64" s="35" t="n">
        <x:f>'ALL'!J64</x:f>
        <x:v>28614.801628582438</x:v>
      </x:c>
      <x:c r="D64" s="35" t="n">
        <x:f>'ALL'!K64</x:f>
        <x:v>5347.425972648599</x:v>
      </x:c>
      <x:c r="E64" s="35" t="n">
        <x:f>'ALL'!L64</x:f>
        <x:v>10694.851945297198</x:v>
      </x:c>
      <x:c r="F64" s="35" t="n">
        <x:f>B64-E64</x:f>
        <x:v>1177732.4423692804</x:v>
      </x:c>
      <x:c r="G64" s="35" t="str">
        <x:f>'ALL'!M64</x:f>
        <x:v>PASS</x:v>
      </x:c>
      <x:c r="H64" s="35" t="str">
        <x:f>'ALL'!N64</x:f>
        <x:v>survey-058</x:v>
      </x:c>
      <x:c r="I64" s="32"/>
      <x:c r="J64" s="32"/>
      <x:c r="K64" s="32"/>
      <x:c r="L64" s="32"/>
      <x:c r="M64" s="32"/>
      <x:c r="N64" s="32"/>
    </x:row>
    <x:row r="65">
      <x:c r="A65" s="35" t="n">
        <x:f>'ALL'!A65</x:f>
        <x:v>4919.7207168</x:v>
      </x:c>
      <x:c r="B65" s="35" t="n">
        <x:f>'ALL'!F65</x:f>
        <x:v>1205310.4574943804</x:v>
      </x:c>
      <x:c r="C65" s="35" t="n">
        <x:f>'ALL'!J65</x:f>
        <x:v>28614.926203245843</x:v>
      </x:c>
      <x:c r="D65" s="35" t="n">
        <x:f>'ALL'!K65</x:f>
        <x:v>5348.094378791932</x:v>
      </x:c>
      <x:c r="E65" s="35" t="n">
        <x:f>'ALL'!L65</x:f>
        <x:v>10696.188757583865</x:v>
      </x:c>
      <x:c r="F65" s="35" t="n">
        <x:f>B65-E65</x:f>
        <x:v>1194614.2687367965</x:v>
      </x:c>
      <x:c r="G65" s="35" t="str">
        <x:f>'ALL'!M65</x:f>
        <x:v>PASS</x:v>
      </x:c>
      <x:c r="H65" s="35" t="str">
        <x:f>'ALL'!N65</x:f>
        <x:v>survey-059</x:v>
      </x:c>
      <x:c r="I65" s="32"/>
      <x:c r="J65" s="32"/>
      <x:c r="K65" s="32"/>
      <x:c r="L65" s="32"/>
      <x:c r="M65" s="32"/>
      <x:c r="N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 t="str">
        <x:f>"MD "&amp;'Unit Map'!$H$8</x:f>
        <x:v>MD m</x:v>
      </x:c>
      <x:c r="B68" s="32" t="str">
        <x:f>"Axial load "&amp;'Unit Map'!$H$14</x:f>
        <x:v>Axial load N</x:v>
      </x:c>
      <x:c r="C68" s="32" t="str">
        <x:f>"Sinusoidal limit "&amp;'Unit Map'!$H$14</x:f>
        <x:v>Sinusoidal limit N</x:v>
      </x:c>
      <x:c r="D68" s="32" t="str">
        <x:f>"Helical limit "&amp;'Unit Map'!$H$14</x:f>
        <x:v>Helical limit N</x:v>
      </x:c>
      <x:c r="E68" s="32"/>
      <x:c r="F68" s="32" t="str">
        <x:f>"MD "&amp;'Unit Map'!$H$8</x:f>
        <x:v>MD m</x:v>
      </x:c>
      <x:c r="G68" s="32" t="str">
        <x:f>"Torque "&amp;'Unit Map'!$H$16</x:f>
        <x:v>Torque N-m</x:v>
      </x:c>
      <x:c r="H68" s="32"/>
      <x:c r="I68" s="32"/>
      <x:c r="J68" s="32"/>
      <x:c r="K68" s="32"/>
      <x:c r="L68" s="32"/>
      <x:c r="M68" s="32"/>
      <x:c r="N68" s="32"/>
    </x:row>
    <x:row r="69">
      <x:c r="A69" s="32" t="n">
        <x:f>A6</x:f>
        <x:v>0</x:v>
      </x:c>
      <x:c r="B69" s="32" t="n">
        <x:f>B6</x:f>
        <x:v>120000</x:v>
      </x:c>
      <x:c r="C69" s="32" t="n">
        <x:f>D6</x:f>
        <x:v>0</x:v>
      </x:c>
      <x:c r="D69" s="32" t="n">
        <x:f>E6</x:f>
        <x:v>0</x:v>
      </x:c>
      <x:c r="E69" s="32"/>
      <x:c r="F69" s="32" t="n">
        <x:f>A6</x:f>
        <x:v>0</x:v>
      </x:c>
      <x:c r="G69" s="32" t="n">
        <x:f>C6</x:f>
        <x:v>28600.000000000004</x:v>
      </x:c>
      <x:c r="H69" s="32"/>
      <x:c r="I69" s="32"/>
      <x:c r="J69" s="32"/>
      <x:c r="K69" s="32"/>
      <x:c r="L69" s="32"/>
      <x:c r="M69" s="32"/>
      <x:c r="N69" s="32"/>
    </x:row>
    <x:row r="70">
      <x:c r="A70" s="32" t="n">
        <x:f>A7</x:f>
        <x:v>155.10875760000002</x:v>
      </x:c>
      <x:c r="B70" s="32" t="n">
        <x:f>B7</x:f>
        <x:v>154369.6247643189</x:v>
      </x:c>
      <x:c r="C70" s="32" t="n">
        <x:f>D7</x:f>
        <x:v>3045.9878423456744</x:v>
      </x:c>
      <x:c r="D70" s="32" t="n">
        <x:f>E7</x:f>
        <x:v>6091.975684691349</x:v>
      </x:c>
      <x:c r="E70" s="32"/>
      <x:c r="F70" s="32" t="n">
        <x:f>A7</x:f>
        <x:v>155.10875760000002</x:v>
      </x:c>
      <x:c r="G70" s="32" t="n">
        <x:f>C7</x:f>
        <x:v>28609.814667861745</x:v>
      </x:c>
      <x:c r="H70" s="32"/>
      <x:c r="I70" s="32"/>
      <x:c r="J70" s="32"/>
      <x:c r="K70" s="32"/>
      <x:c r="L70" s="32"/>
      <x:c r="M70" s="32"/>
      <x:c r="N70" s="32"/>
    </x:row>
    <x:row r="71">
      <x:c r="A71" s="32" t="n">
        <x:f>A8</x:f>
        <x:v>307.974492</x:v>
      </x:c>
      <x:c r="B71" s="32" t="n">
        <x:f>B8</x:f>
        <x:v>188295.53791614895</x:v>
      </x:c>
      <x:c r="C71" s="32" t="n">
        <x:f>D8</x:f>
        <x:v>1461.161274893059</x:v>
      </x:c>
      <x:c r="D71" s="32" t="n">
        <x:f>E8</x:f>
        <x:v>2922.322549786118</x:v>
      </x:c>
      <x:c r="E71" s="32"/>
      <x:c r="F71" s="32" t="n">
        <x:f>A8</x:f>
        <x:v>307.974492</x:v>
      </x:c>
      <x:c r="G71" s="32" t="n">
        <x:f>C8</x:f>
        <x:v>28602.225816774866</x:v>
      </x:c>
      <x:c r="H71" s="32"/>
      <x:c r="I71" s="32"/>
      <x:c r="J71" s="32"/>
      <x:c r="K71" s="32"/>
      <x:c r="L71" s="32"/>
      <x:c r="M71" s="32"/>
      <x:c r="N71" s="32"/>
    </x:row>
    <x:row r="72">
      <x:c r="A72" s="32" t="n">
        <x:f>A9</x:f>
        <x:v>460.2227016</x:v>
      </x:c>
      <x:c r="B72" s="32" t="n">
        <x:f>B9</x:f>
        <x:v>222078.4629496525</x:v>
      </x:c>
      <x:c r="C72" s="32" t="n">
        <x:f>D9</x:f>
        <x:v>1712.910460216405</x:v>
      </x:c>
      <x:c r="D72" s="32" t="n">
        <x:f>E9</x:f>
        <x:v>3425.82092043281</x:v>
      </x:c>
      <x:c r="E72" s="32"/>
      <x:c r="F72" s="32" t="n">
        <x:f>A9</x:f>
        <x:v>460.2227016</x:v>
      </x:c>
      <x:c r="G72" s="32" t="n">
        <x:f>C9</x:f>
        <x:v>28603.046523089306</x:v>
      </x:c>
      <x:c r="H72" s="32"/>
      <x:c r="I72" s="32"/>
      <x:c r="J72" s="32"/>
      <x:c r="K72" s="32"/>
      <x:c r="L72" s="32"/>
      <x:c r="M72" s="32"/>
      <x:c r="N72" s="32"/>
    </x:row>
    <x:row r="73">
      <x:c r="A73" s="32" t="n">
        <x:f>A10</x:f>
        <x:v>611.9649432</x:v>
      </x:c>
      <x:c r="B73" s="32" t="n">
        <x:f>B10</x:f>
        <x:v>255741.63319933537</x:v>
      </x:c>
      <x:c r="C73" s="32" t="n">
        <x:f>D10</x:f>
        <x:v>1986.0243471491665</x:v>
      </x:c>
      <x:c r="D73" s="32" t="n">
        <x:f>E10</x:f>
        <x:v>3972.048694298333</x:v>
      </x:c>
      <x:c r="E73" s="32"/>
      <x:c r="F73" s="32" t="n">
        <x:f>A10</x:f>
        <x:v>611.9649432</x:v>
      </x:c>
      <x:c r="G73" s="32" t="n">
        <x:f>C10</x:f>
        <x:v>28604.081864545922</x:v>
      </x:c>
      <x:c r="H73" s="32"/>
      <x:c r="I73" s="32"/>
      <x:c r="J73" s="32"/>
      <x:c r="K73" s="32"/>
      <x:c r="L73" s="32"/>
      <x:c r="M73" s="32"/>
      <x:c r="N73" s="32"/>
    </x:row>
    <x:row r="74">
      <x:c r="A74" s="32" t="n">
        <x:f>A11</x:f>
        <x:v>763.5706344</x:v>
      </x:c>
      <x:c r="B74" s="32" t="n">
        <x:f>B11</x:f>
        <x:v>289363.3695426456</x:v>
      </x:c>
      <x:c r="C74" s="32" t="n">
        <x:f>D11</x:f>
        <x:v>2334.434457092405</x:v>
      </x:c>
      <x:c r="D74" s="32" t="n">
        <x:f>E11</x:f>
        <x:v>4668.86891418481</x:v>
      </x:c>
      <x:c r="E74" s="32"/>
      <x:c r="F74" s="32" t="n">
        <x:f>A11</x:f>
        <x:v>763.5706344</x:v>
      </x:c>
      <x:c r="G74" s="32" t="n">
        <x:f>C11</x:f>
        <x:v>28605.634583660325</x:v>
      </x:c>
      <x:c r="H74" s="32"/>
      <x:c r="I74" s="32"/>
      <x:c r="J74" s="32"/>
      <x:c r="K74" s="32"/>
      <x:c r="L74" s="32"/>
      <x:c r="M74" s="32"/>
      <x:c r="N74" s="32"/>
    </x:row>
    <x:row r="75">
      <x:c r="A75" s="32" t="n">
        <x:f>A12</x:f>
        <x:v>915.4786872000001</x:v>
      </x:c>
      <x:c r="B75" s="32" t="n">
        <x:f>B12</x:f>
        <x:v>323083.07275547064</x:v>
      </x:c>
      <x:c r="C75" s="32" t="n">
        <x:f>D12</x:f>
        <x:v>1131.943624491696</x:v>
      </x:c>
      <x:c r="D75" s="32" t="n">
        <x:f>E12</x:f>
        <x:v>2263.887248983392</x:v>
      </x:c>
      <x:c r="E75" s="32"/>
      <x:c r="F75" s="32" t="n">
        <x:f>A12</x:f>
        <x:v>915.4786872000001</x:v>
      </x:c>
      <x:c r="G75" s="32" t="n">
        <x:f>C12</x:f>
        <x:v>28601.327435259216</x:v>
      </x:c>
      <x:c r="H75" s="32"/>
      <x:c r="I75" s="32"/>
      <x:c r="J75" s="32"/>
      <x:c r="K75" s="32"/>
      <x:c r="L75" s="32"/>
      <x:c r="M75" s="32"/>
      <x:c r="N75" s="32"/>
    </x:row>
    <x:row r="76">
      <x:c r="A76" s="32" t="n">
        <x:f>A13</x:f>
        <x:v>1067.9740896</x:v>
      </x:c>
      <x:c r="B76" s="32" t="n">
        <x:f>B13</x:f>
        <x:v>356915.17598741263</x:v>
      </x:c>
      <x:c r="C76" s="32" t="n">
        <x:f>D13</x:f>
        <x:v>1922.4980265136417</x:v>
      </x:c>
      <x:c r="D76" s="32" t="n">
        <x:f>E13</x:f>
        <x:v>3844.9960530272833</x:v>
      </x:c>
      <x:c r="E76" s="32"/>
      <x:c r="F76" s="32" t="n">
        <x:f>A13</x:f>
        <x:v>1067.9740896</x:v>
      </x:c>
      <x:c r="G76" s="32" t="n">
        <x:f>C13</x:f>
        <x:v>28603.843894969134</x:v>
      </x:c>
      <x:c r="H76" s="32"/>
      <x:c r="I76" s="32"/>
      <x:c r="J76" s="32"/>
      <x:c r="K76" s="32"/>
      <x:c r="L76" s="32"/>
      <x:c r="M76" s="32"/>
      <x:c r="N76" s="32"/>
    </x:row>
    <x:row r="77">
      <x:c r="A77" s="32" t="n">
        <x:f>A14</x:f>
        <x:v>1221.042516</x:v>
      </x:c>
      <x:c r="B77" s="32" t="n">
        <x:f>B14</x:f>
        <x:v>390887.50027428183</x:v>
      </x:c>
      <x:c r="C77" s="32" t="n">
        <x:f>D14</x:f>
        <x:v>1394.2772985072377</x:v>
      </x:c>
      <x:c r="D77" s="32" t="n">
        <x:f>E14</x:f>
        <x:v>2788.5545970144753</x:v>
      </x:c>
      <x:c r="E77" s="32"/>
      <x:c r="F77" s="32" t="n">
        <x:f>A14</x:f>
        <x:v>1221.042516</x:v>
      </x:c>
      <x:c r="G77" s="32" t="n">
        <x:f>C14</x:f>
        <x:v>28602.029396406087</x:v>
      </x:c>
      <x:c r="H77" s="32"/>
      <x:c r="I77" s="32"/>
      <x:c r="J77" s="32"/>
      <x:c r="K77" s="32"/>
      <x:c r="L77" s="32"/>
      <x:c r="M77" s="32"/>
      <x:c r="N77" s="32"/>
    </x:row>
    <x:row r="78">
      <x:c r="A78" s="32" t="n">
        <x:f>A15</x:f>
        <x:v>1374.3773376000001</x:v>
      </x:c>
      <x:c r="B78" s="32" t="n">
        <x:f>B15</x:f>
        <x:v>424896.5556028249</x:v>
      </x:c>
      <x:c r="C78" s="32" t="n">
        <x:f>D15</x:f>
        <x:v>2221.60215796265</x:v>
      </x:c>
      <x:c r="D78" s="32" t="n">
        <x:f>E15</x:f>
        <x:v>4443.2043159253</x:v>
      </x:c>
      <x:c r="E78" s="32"/>
      <x:c r="F78" s="32" t="n">
        <x:f>A15</x:f>
        <x:v>1374.3773376000001</x:v>
      </x:c>
      <x:c r="G78" s="32" t="n">
        <x:f>C15</x:f>
        <x:v>28605.16126699926</x:v>
      </x:c>
      <x:c r="H78" s="32"/>
      <x:c r="I78" s="32"/>
      <x:c r="J78" s="32"/>
      <x:c r="K78" s="32"/>
      <x:c r="L78" s="32"/>
      <x:c r="M78" s="32"/>
      <x:c r="N78" s="32"/>
    </x:row>
    <x:row r="79">
      <x:c r="A79" s="32" t="n">
        <x:f>A16</x:f>
        <x:v>1527.5362896000001</x:v>
      </x:c>
      <x:c r="B79" s="32" t="n">
        <x:f>B16</x:f>
        <x:v>458900.33700830623</x:v>
      </x:c>
      <x:c r="C79" s="32" t="n">
        <x:f>D16</x:f>
        <x:v>651.098429003259</x:v>
      </x:c>
      <x:c r="D79" s="32" t="n">
        <x:f>E16</x:f>
        <x:v>1302.196858006518</x:v>
      </x:c>
      <x:c r="E79" s="32"/>
      <x:c r="F79" s="32" t="n">
        <x:f>A16</x:f>
        <x:v>1527.5362896000001</x:v>
      </x:c>
      <x:c r="G79" s="32" t="n">
        <x:f>C16</x:f>
        <x:v>28600.442811241654</x:v>
      </x:c>
      <x:c r="H79" s="32"/>
      <x:c r="I79" s="32"/>
      <x:c r="J79" s="32"/>
      <x:c r="K79" s="32"/>
      <x:c r="L79" s="32"/>
      <x:c r="M79" s="32"/>
      <x:c r="N79" s="32"/>
    </x:row>
    <x:row r="80">
      <x:c r="A80" s="32" t="n">
        <x:f>A17</x:f>
        <x:v>1565.8667184</x:v>
      </x:c>
      <x:c r="B80" s="32" t="n">
        <x:f>B17</x:f>
        <x:v>467010.8206480392</x:v>
      </x:c>
      <x:c r="C80" s="32" t="n">
        <x:f>D17</x:f>
        <x:v>14625.870276492271</x:v>
      </x:c>
      <x:c r="D80" s="32" t="n">
        <x:f>E17</x:f>
        <x:v>29251.740552984542</x:v>
      </x:c>
      <x:c r="E80" s="32"/>
      <x:c r="F80" s="32" t="n">
        <x:f>A17</x:f>
        <x:v>1565.8667184</x:v>
      </x:c>
      <x:c r="G80" s="32" t="n">
        <x:f>C17</x:f>
        <x:v>28655.920374194855</x:v>
      </x:c>
      <x:c r="H80" s="32"/>
      <x:c r="I80" s="32"/>
      <x:c r="J80" s="32"/>
      <x:c r="K80" s="32"/>
      <x:c r="L80" s="32"/>
      <x:c r="M80" s="32"/>
      <x:c r="N80" s="32"/>
    </x:row>
    <x:row r="81">
      <x:c r="A81" s="32" t="n">
        <x:f>A18</x:f>
        <x:v>1603.5857184000001</x:v>
      </x:c>
      <x:c r="B81" s="32" t="n">
        <x:f>B18</x:f>
        <x:v>475023.9437135505</x:v>
      </x:c>
      <x:c r="C81" s="32" t="n">
        <x:f>D18</x:f>
        <x:v>14018.927722546516</x:v>
      </x:c>
      <x:c r="D81" s="32" t="n">
        <x:f>E18</x:f>
        <x:v>28037.85544509303</x:v>
      </x:c>
      <x:c r="E81" s="32"/>
      <x:c r="F81" s="32" t="n">
        <x:f>A18</x:f>
        <x:v>1603.5857184000001</x:v>
      </x:c>
      <x:c r="G81" s="32" t="n">
        <x:f>C18</x:f>
        <x:v>28650.556001776695</x:v>
      </x:c>
      <x:c r="H81" s="32"/>
      <x:c r="I81" s="32"/>
      <x:c r="J81" s="32"/>
      <x:c r="K81" s="32"/>
      <x:c r="L81" s="32"/>
      <x:c r="M81" s="32"/>
      <x:c r="N81" s="32"/>
    </x:row>
    <x:row r="82">
      <x:c r="A82" s="32" t="n">
        <x:f>A19</x:f>
        <x:v>1640.9209752000002</x:v>
      </x:c>
      <x:c r="B82" s="32" t="n">
        <x:f>B19</x:f>
        <x:v>482983.18016497383</x:v>
      </x:c>
      <x:c r="C82" s="32" t="n">
        <x:f>D19</x:f>
        <x:v>13467.273080777122</x:v>
      </x:c>
      <x:c r="D82" s="32" t="n">
        <x:f>E19</x:f>
        <x:v>26934.546161554244</x:v>
      </x:c>
      <x:c r="E82" s="32"/>
      <x:c r="F82" s="32" t="n">
        <x:f>A19</x:f>
        <x:v>1640.9209752000002</x:v>
      </x:c>
      <x:c r="G82" s="32" t="n">
        <x:f>C19</x:f>
        <x:v>28646.180797957255</x:v>
      </x:c>
      <x:c r="H82" s="32"/>
      <x:c r="I82" s="32"/>
      <x:c r="J82" s="32"/>
      <x:c r="K82" s="32"/>
      <x:c r="L82" s="32"/>
      <x:c r="M82" s="32"/>
      <x:c r="N82" s="32"/>
    </x:row>
    <x:row r="83">
      <x:c r="A83" s="32" t="n">
        <x:f>A20</x:f>
        <x:v>1678.2970752</x:v>
      </x:c>
      <x:c r="B83" s="32" t="n">
        <x:f>B20</x:f>
        <x:v>490967.14040348405</x:v>
      </x:c>
      <x:c r="C83" s="32" t="n">
        <x:f>D20</x:f>
        <x:v>13137.332179016305</x:v>
      </x:c>
      <x:c r="D83" s="32" t="n">
        <x:f>E20</x:f>
        <x:v>26274.66435803261</x:v>
      </x:c>
      <x:c r="E83" s="32"/>
      <x:c r="F83" s="32" t="n">
        <x:f>A20</x:f>
        <x:v>1678.2970752</x:v>
      </x:c>
      <x:c r="G83" s="32" t="n">
        <x:f>C20</x:f>
        <x:v>28643.99378239939</x:v>
      </x:c>
      <x:c r="H83" s="32"/>
      <x:c r="I83" s="32"/>
      <x:c r="J83" s="32"/>
      <x:c r="K83" s="32"/>
      <x:c r="L83" s="32"/>
      <x:c r="M83" s="32"/>
      <x:c r="N83" s="32"/>
    </x:row>
    <x:row r="84">
      <x:c r="A84" s="32" t="n">
        <x:f>A21</x:f>
        <x:v>1716.1166592000002</x:v>
      </x:c>
      <x:c r="B84" s="32" t="n">
        <x:f>B21</x:f>
        <x:v>499038.4189947745</x:v>
      </x:c>
      <x:c r="C84" s="32" t="n">
        <x:f>D21</x:f>
        <x:v>13289.302478170144</x:v>
      </x:c>
      <x:c r="D84" s="32" t="n">
        <x:f>E21</x:f>
        <x:v>26578.60495634029</x:v>
      </x:c>
      <x:c r="E84" s="32"/>
      <x:c r="F84" s="32" t="n">
        <x:f>A21</x:f>
        <x:v>1716.1166592000002</x:v>
      </x:c>
      <x:c r="G84" s="32" t="n">
        <x:f>C21</x:f>
        <x:v>28645.55164627609</x:v>
      </x:c>
      <x:c r="H84" s="32"/>
      <x:c r="I84" s="32"/>
      <x:c r="J84" s="32"/>
      <x:c r="K84" s="32"/>
      <x:c r="L84" s="32"/>
      <x:c r="M84" s="32"/>
      <x:c r="N84" s="32"/>
    </x:row>
    <x:row r="85">
      <x:c r="A85" s="32" t="n">
        <x:f>A22</x:f>
        <x:v>1754.5571208000001</x:v>
      </x:c>
      <x:c r="B85" s="32" t="n">
        <x:f>B22</x:f>
        <x:v>507214.75489862217</x:v>
      </x:c>
      <x:c r="C85" s="32" t="n">
        <x:f>D22</x:f>
        <x:v>13828.652103940169</x:v>
      </x:c>
      <x:c r="D85" s="32" t="n">
        <x:f>E22</x:f>
        <x:v>27657.304207880337</x:v>
      </x:c>
      <x:c r="E85" s="32"/>
      <x:c r="F85" s="32" t="n">
        <x:f>A22</x:f>
        <x:v>1754.5571208000001</x:v>
      </x:c>
      <x:c r="G85" s="32" t="n">
        <x:f>C22</x:f>
        <x:v>28650.133872575967</x:v>
      </x:c>
      <x:c r="H85" s="32"/>
      <x:c r="I85" s="32"/>
      <x:c r="J85" s="32"/>
      <x:c r="K85" s="32"/>
      <x:c r="L85" s="32"/>
      <x:c r="M85" s="32"/>
      <x:c r="N85" s="32"/>
    </x:row>
    <x:row r="86">
      <x:c r="A86" s="32" t="n">
        <x:f>A23</x:f>
        <x:v>1793.4788616</x:v>
      </x:c>
      <x:c r="B86" s="32" t="n">
        <x:f>B23</x:f>
        <x:v>515462.2266916272</x:v>
      </x:c>
      <x:c r="C86" s="32" t="n">
        <x:f>D23</x:f>
        <x:v>14410.724855994376</x:v>
      </x:c>
      <x:c r="D86" s="32" t="n">
        <x:f>E23</x:f>
        <x:v>28821.449711988753</x:v>
      </x:c>
      <x:c r="E86" s="32"/>
      <x:c r="F86" s="32" t="n">
        <x:f>A23</x:f>
        <x:v>1793.4788616</x:v>
      </x:c>
      <x:c r="G86" s="32" t="n">
        <x:f>C23</x:f>
        <x:v>28655.12477952955</x:v>
      </x:c>
      <x:c r="H86" s="32"/>
      <x:c r="I86" s="32"/>
      <x:c r="J86" s="32"/>
      <x:c r="K86" s="32"/>
      <x:c r="L86" s="32"/>
      <x:c r="M86" s="32"/>
      <x:c r="N86" s="32"/>
    </x:row>
    <x:row r="87">
      <x:c r="A87" s="32" t="n">
        <x:f>A24</x:f>
        <x:v>1832.4975288000003</x:v>
      </x:c>
      <x:c r="B87" s="32" t="n">
        <x:f>B24</x:f>
        <x:v>523714.4049053724</x:v>
      </x:c>
      <x:c r="C87" s="32" t="n">
        <x:f>D24</x:f>
        <x:v>14696.276085690224</x:v>
      </x:c>
      <x:c r="D87" s="32" t="n">
        <x:f>E24</x:f>
        <x:v>29392.55217138045</x:v>
      </x:c>
      <x:c r="E87" s="32"/>
      <x:c r="F87" s="32" t="n">
        <x:f>A24</x:f>
        <x:v>1832.4975288000003</x:v>
      </x:c>
      <x:c r="G87" s="32" t="n">
        <x:f>C24</x:f>
        <x:v>28657.473810495594</x:v>
      </x:c>
      <x:c r="H87" s="32"/>
      <x:c r="I87" s="32"/>
      <x:c r="J87" s="32"/>
      <x:c r="K87" s="32"/>
      <x:c r="L87" s="32"/>
      <x:c r="M87" s="32"/>
      <x:c r="N87" s="32"/>
    </x:row>
    <x:row r="88">
      <x:c r="A88" s="32" t="n">
        <x:f>A25</x:f>
        <x:v>1871.1787824</x:v>
      </x:c>
      <x:c r="B88" s="32" t="n">
        <x:f>B25</x:f>
        <x:v>531904.7691480203</x:v>
      </x:c>
      <x:c r="C88" s="32" t="n">
        <x:f>D25</x:f>
        <x:v>14523.257963276968</x:v>
      </x:c>
      <x:c r="D88" s="32" t="n">
        <x:f>E25</x:f>
        <x:v>29046.515926553937</x:v>
      </x:c>
      <x:c r="E88" s="32"/>
      <x:c r="F88" s="32" t="n">
        <x:f>A25</x:f>
        <x:v>1871.1787824</x:v>
      </x:c>
      <x:c r="G88" s="32" t="n">
        <x:f>C25</x:f>
        <x:v>28655.64313620947</x:v>
      </x:c>
      <x:c r="H88" s="32"/>
      <x:c r="I88" s="32"/>
      <x:c r="J88" s="32"/>
      <x:c r="K88" s="32"/>
      <x:c r="L88" s="32"/>
      <x:c r="M88" s="32"/>
      <x:c r="N88" s="32"/>
    </x:row>
    <x:row r="89">
      <x:c r="A89" s="32" t="n">
        <x:f>A26</x:f>
        <x:v>1947.3607992000002</x:v>
      </x:c>
      <x:c r="B89" s="32" t="n">
        <x:f>B26</x:f>
        <x:v>548553.5110684601</x:v>
      </x:c>
      <x:c r="C89" s="32" t="n">
        <x:f>D26</x:f>
        <x:v>8464.771745150709</x:v>
      </x:c>
      <x:c r="D89" s="32" t="n">
        <x:f>E26</x:f>
        <x:v>16929.543490301417</x:v>
      </x:c>
      <x:c r="E89" s="32"/>
      <x:c r="F89" s="32" t="n">
        <x:f>A26</x:f>
        <x:v>1947.3607992000002</x:v>
      </x:c>
      <x:c r="G89" s="32" t="n">
        <x:f>C26</x:f>
        <x:v>28637.227676048366</x:v>
      </x:c>
      <x:c r="H89" s="32"/>
      <x:c r="I89" s="32"/>
      <x:c r="J89" s="32"/>
      <x:c r="K89" s="32"/>
      <x:c r="L89" s="32"/>
      <x:c r="M89" s="32"/>
      <x:c r="N89" s="32"/>
    </x:row>
    <x:row r="90">
      <x:c r="A90" s="32" t="n">
        <x:f>A27</x:f>
        <x:v>2022.9868608</x:v>
      </x:c>
      <x:c r="B90" s="32" t="n">
        <x:f>B27</x:f>
        <x:v>565177.7735507294</x:v>
      </x:c>
      <x:c r="C90" s="32" t="n">
        <x:f>D27</x:f>
        <x:v>6736.03129578184</x:v>
      </x:c>
      <x:c r="D90" s="32" t="n">
        <x:f>E27</x:f>
        <x:v>13472.06259156368</x:v>
      </x:c>
      <x:c r="E90" s="32"/>
      <x:c r="F90" s="32" t="n">
        <x:f>A27</x:f>
        <x:v>2022.9868608</x:v>
      </x:c>
      <x:c r="G90" s="32" t="n">
        <x:f>C27</x:f>
        <x:v>28623.402520451196</x:v>
      </x:c>
      <x:c r="H90" s="32"/>
      <x:c r="I90" s="32"/>
      <x:c r="J90" s="32"/>
      <x:c r="K90" s="32"/>
      <x:c r="L90" s="32"/>
      <x:c r="M90" s="32"/>
      <x:c r="N90" s="32"/>
    </x:row>
    <x:row r="91">
      <x:c r="A91" s="32" t="n">
        <x:f>A28</x:f>
        <x:v>2098.3837128</x:v>
      </x:c>
      <x:c r="B91" s="32" t="n">
        <x:f>B28</x:f>
        <x:v>581757.977354576</x:v>
      </x:c>
      <x:c r="C91" s="32" t="n">
        <x:f>D28</x:f>
        <x:v>6607.2154035717995</x:v>
      </x:c>
      <x:c r="D91" s="32" t="n">
        <x:f>E28</x:f>
        <x:v>13214.430807143599</x:v>
      </x:c>
      <x:c r="E91" s="32"/>
      <x:c r="F91" s="32" t="n">
        <x:f>A28</x:f>
        <x:v>2098.3837128</x:v>
      </x:c>
      <x:c r="G91" s="32" t="n">
        <x:f>C28</x:f>
        <x:v>28622.447764702734</x:v>
      </x:c>
      <x:c r="H91" s="32"/>
      <x:c r="I91" s="32"/>
      <x:c r="J91" s="32"/>
      <x:c r="K91" s="32"/>
      <x:c r="L91" s="32"/>
      <x:c r="M91" s="32"/>
      <x:c r="N91" s="32"/>
    </x:row>
    <x:row r="92">
      <x:c r="A92" s="32" t="n">
        <x:f>A29</x:f>
        <x:v>2173.9945344000002</x:v>
      </x:c>
      <x:c r="B92" s="32" t="n">
        <x:f>B29</x:f>
        <x:v>598394.2715607802</x:v>
      </x:c>
      <x:c r="C92" s="32" t="n">
        <x:f>D29</x:f>
        <x:v>6419.267007502434</x:v>
      </x:c>
      <x:c r="D92" s="32" t="n">
        <x:f>E29</x:f>
        <x:v>12838.534015004869</x:v>
      </x:c>
      <x:c r="E92" s="32"/>
      <x:c r="F92" s="32" t="n">
        <x:f>A29</x:f>
        <x:v>2173.9945344000002</x:v>
      </x:c>
      <x:c r="G92" s="32" t="n">
        <x:f>C29</x:f>
        <x:v>28621.24896567042</x:v>
      </x:c>
      <x:c r="H92" s="32"/>
      <x:c r="I92" s="32"/>
      <x:c r="J92" s="32"/>
      <x:c r="K92" s="32"/>
      <x:c r="L92" s="32"/>
      <x:c r="M92" s="32"/>
      <x:c r="N92" s="32"/>
    </x:row>
    <x:row r="93">
      <x:c r="A93" s="32" t="n">
        <x:f>A30</x:f>
        <x:v>2250.1543008</x:v>
      </x:c>
      <x:c r="B93" s="32" t="n">
        <x:f>B30</x:f>
        <x:v>615162.8034411283</x:v>
      </x:c>
      <x:c r="C93" s="32" t="n">
        <x:f>D30</x:f>
        <x:v>6174.609456279386</x:v>
      </x:c>
      <x:c r="D93" s="32" t="n">
        <x:f>E30</x:f>
        <x:v>12349.218912558772</x:v>
      </x:c>
      <x:c r="E93" s="32"/>
      <x:c r="F93" s="32" t="n">
        <x:f>A30</x:f>
        <x:v>2250.1543008</x:v>
      </x:c>
      <x:c r="G93" s="32" t="n">
        <x:f>C30</x:f>
        <x:v>28619.802843146415</x:v>
      </x:c>
      <x:c r="H93" s="32"/>
      <x:c r="I93" s="32"/>
      <x:c r="J93" s="32"/>
      <x:c r="K93" s="32"/>
      <x:c r="L93" s="32"/>
      <x:c r="M93" s="32"/>
      <x:c r="N93" s="32"/>
    </x:row>
    <x:row r="94">
      <x:c r="A94" s="32" t="n">
        <x:f>A31</x:f>
        <x:v>2326.9172664000002</x:v>
      </x:c>
      <x:c r="B94" s="32" t="n">
        <x:f>B31</x:f>
        <x:v>632077.6149666572</x:v>
      </x:c>
      <x:c r="C94" s="32" t="n">
        <x:f>D31</x:f>
        <x:v>5876.344539699765</x:v>
      </x:c>
      <x:c r="D94" s="32" t="n">
        <x:f>E31</x:f>
        <x:v>11752.68907939953</x:v>
      </x:c>
      <x:c r="E94" s="32"/>
      <x:c r="F94" s="32" t="n">
        <x:f>A31</x:f>
        <x:v>2326.9172664000002</x:v>
      </x:c>
      <x:c r="G94" s="32" t="n">
        <x:f>C31</x:f>
        <x:v>28618.07795096018</x:v>
      </x:c>
      <x:c r="H94" s="32"/>
      <x:c r="I94" s="32"/>
      <x:c r="J94" s="32"/>
      <x:c r="K94" s="32"/>
      <x:c r="L94" s="32"/>
      <x:c r="M94" s="32"/>
      <x:c r="N94" s="32"/>
    </x:row>
    <x:row r="95">
      <x:c r="A95" s="32" t="n">
        <x:f>A32</x:f>
        <x:v>2404.030752</x:v>
      </x:c>
      <x:c r="B95" s="32" t="n">
        <x:f>B32</x:f>
        <x:v>649084.5607830377</x:v>
      </x:c>
      <x:c r="C95" s="32" t="n">
        <x:f>D32</x:f>
        <x:v>5529.406533740687</x:v>
      </x:c>
      <x:c r="D95" s="32" t="n">
        <x:f>E32</x:f>
        <x:v>11058.813067481375</x:v>
      </x:c>
      <x:c r="E95" s="32"/>
      <x:c r="F95" s="32" t="n">
        <x:f>A32</x:f>
        <x:v>2404.030752</x:v>
      </x:c>
      <x:c r="G95" s="32" t="n">
        <x:f>C32</x:f>
        <x:v>28616.079418311117</x:v>
      </x:c>
      <x:c r="H95" s="32"/>
      <x:c r="I95" s="32"/>
      <x:c r="J95" s="32"/>
      <x:c r="K95" s="32"/>
      <x:c r="L95" s="32"/>
      <x:c r="M95" s="32"/>
      <x:c r="N95" s="32"/>
    </x:row>
    <x:row r="96">
      <x:c r="A96" s="32" t="n">
        <x:f>A33</x:f>
        <x:v>2481.0637704</x:v>
      </x:c>
      <x:c r="B96" s="32" t="n">
        <x:f>B33</x:f>
        <x:v>666089.5530951733</x:v>
      </x:c>
      <x:c r="C96" s="32" t="n">
        <x:f>D33</x:f>
        <x:v>5135.638179379317</x:v>
      </x:c>
      <x:c r="D96" s="32" t="n">
        <x:f>E33</x:f>
        <x:v>10271.276358758634</x:v>
      </x:c>
      <x:c r="E96" s="32"/>
      <x:c r="F96" s="32" t="n">
        <x:f>A33</x:f>
        <x:v>2481.0637704</x:v>
      </x:c>
      <x:c r="G96" s="32" t="n">
        <x:f>C33</x:f>
        <x:v>28613.856345693515</x:v>
      </x:c>
      <x:c r="H96" s="32"/>
      <x:c r="I96" s="32"/>
      <x:c r="J96" s="32"/>
      <x:c r="K96" s="32"/>
      <x:c r="L96" s="32"/>
      <x:c r="M96" s="32"/>
      <x:c r="N96" s="32"/>
    </x:row>
    <x:row r="97">
      <x:c r="A97" s="32" t="n">
        <x:f>A34</x:f>
        <x:v>2557.6252632</x:v>
      </x:c>
      <x:c r="B97" s="32" t="n">
        <x:f>B34</x:f>
        <x:v>683006.0673463177</x:v>
      </x:c>
      <x:c r="C97" s="32" t="n">
        <x:f>D34</x:f>
        <x:v>4711.485253484027</x:v>
      </x:c>
      <x:c r="D97" s="32" t="n">
        <x:f>E34</x:f>
        <x:v>9422.970506968055</x:v>
      </x:c>
      <x:c r="E97" s="32"/>
      <x:c r="F97" s="32" t="n">
        <x:f>A34</x:f>
        <x:v>2557.6252632</x:v>
      </x:c>
      <x:c r="G97" s="32" t="n">
        <x:f>C34</x:f>
        <x:v>28611.59068283126</x:v>
      </x:c>
      <x:c r="H97" s="32"/>
      <x:c r="I97" s="32"/>
      <x:c r="J97" s="32"/>
      <x:c r="K97" s="32"/>
      <x:c r="L97" s="32"/>
      <x:c r="M97" s="32"/>
      <x:c r="N97" s="32"/>
    </x:row>
    <x:row r="98">
      <x:c r="A98" s="32" t="n">
        <x:f>A35</x:f>
        <x:v>2633.5658784</x:v>
      </x:c>
      <x:c r="B98" s="32" t="n">
        <x:f>B35</x:f>
        <x:v>699800.3995342111</x:v>
      </x:c>
      <x:c r="C98" s="32" t="n">
        <x:f>D35</x:f>
        <x:v>4260.430722586636</x:v>
      </x:c>
      <x:c r="D98" s="32" t="n">
        <x:f>E35</x:f>
        <x:v>8520.861445173272</x:v>
      </x:c>
      <x:c r="E98" s="32"/>
      <x:c r="F98" s="32" t="n">
        <x:f>A35</x:f>
        <x:v>2633.5658784</x:v>
      </x:c>
      <x:c r="G98" s="32" t="n">
        <x:f>C35</x:f>
        <x:v>28609.400784203306</x:v>
      </x:c>
      <x:c r="H98" s="32"/>
      <x:c r="I98" s="32"/>
      <x:c r="J98" s="32"/>
      <x:c r="K98" s="32"/>
      <x:c r="L98" s="32"/>
      <x:c r="M98" s="32"/>
      <x:c r="N98" s="32"/>
    </x:row>
    <x:row r="99">
      <x:c r="A99" s="32" t="n">
        <x:f>A36</x:f>
        <x:v>2709.0514272</x:v>
      </x:c>
      <x:c r="B99" s="32" t="n">
        <x:f>B36</x:f>
        <x:v>716507.5171333092</x:v>
      </x:c>
      <x:c r="C99" s="32" t="n">
        <x:f>D36</x:f>
        <x:v>3809.012087543358</x:v>
      </x:c>
      <x:c r="D99" s="32" t="n">
        <x:f>E36</x:f>
        <x:v>7618.024175086716</x:v>
      </x:c>
      <x:c r="E99" s="32"/>
      <x:c r="F99" s="32" t="n">
        <x:f>A36</x:f>
        <x:v>2709.0514272</x:v>
      </x:c>
      <x:c r="G99" s="32" t="n">
        <x:f>C36</x:f>
        <x:v>28607.46915505814</x:v>
      </x:c>
      <x:c r="H99" s="32"/>
      <x:c r="I99" s="32"/>
      <x:c r="J99" s="32"/>
      <x:c r="K99" s="32"/>
      <x:c r="L99" s="32"/>
      <x:c r="M99" s="32"/>
      <x:c r="N99" s="32"/>
    </x:row>
    <x:row r="100">
      <x:c r="A100" s="32" t="n">
        <x:f>A37</x:f>
        <x:v>2784.480588</x:v>
      </x:c>
      <x:c r="B100" s="32" t="n">
        <x:f>B37</x:f>
        <x:v>733213.5635852496</x:v>
      </x:c>
      <x:c r="C100" s="32" t="n">
        <x:f>D37</x:f>
        <x:v>3377.9059561717727</x:v>
      </x:c>
      <x:c r="D100" s="32" t="n">
        <x:f>E37</x:f>
        <x:v>6755.811912343545</x:v>
      </x:c>
      <x:c r="E100" s="32"/>
      <x:c r="F100" s="32" t="n">
        <x:f>A37</x:f>
        <x:v>2784.480588</x:v>
      </x:c>
      <x:c r="G100" s="32" t="n">
        <x:f>C37</x:f>
        <x:v>28605.869719411843</x:v>
      </x:c>
      <x:c r="H100" s="32"/>
      <x:c r="I100" s="32"/>
      <x:c r="J100" s="32"/>
      <x:c r="K100" s="32"/>
      <x:c r="L100" s="32"/>
      <x:c r="M100" s="32"/>
      <x:c r="N100" s="32"/>
    </x:row>
    <x:row r="101">
      <x:c r="A101" s="32" t="n">
        <x:f>A38</x:f>
        <x:v>2860.2800807999997</x:v>
      </x:c>
      <x:c r="B101" s="32" t="n">
        <x:f>B38</x:f>
        <x:v>750010.9735344269</x:v>
      </x:c>
      <x:c r="C101" s="32" t="n">
        <x:f>D38</x:f>
        <x:v>2980.8684489930993</x:v>
      </x:c>
      <x:c r="D101" s="32" t="n">
        <x:f>E38</x:f>
        <x:v>5961.7368979861985</x:v>
      </x:c>
      <x:c r="E101" s="32"/>
      <x:c r="F101" s="32" t="n">
        <x:f>A38</x:f>
        <x:v>2860.2800807999997</x:v>
      </x:c>
      <x:c r="G101" s="32" t="n">
        <x:f>C38</x:f>
        <x:v>28604.593406461943</x:v>
      </x:c>
      <x:c r="H101" s="32"/>
      <x:c r="I101" s="32"/>
      <x:c r="J101" s="32"/>
      <x:c r="K101" s="32"/>
      <x:c r="L101" s="32"/>
      <x:c r="M101" s="32"/>
      <x:c r="N101" s="32"/>
    </x:row>
    <x:row r="102">
      <x:c r="A102" s="32" t="n">
        <x:f>A39</x:f>
        <x:v>2936.688564</x:v>
      </x:c>
      <x:c r="B102" s="32" t="n">
        <x:f>B39</x:f>
        <x:v>766951.240161732</x:v>
      </x:c>
      <x:c r="C102" s="32" t="n">
        <x:f>D39</x:f>
        <x:v>2601.355278029806</x:v>
      </x:c>
      <x:c r="D102" s="32" t="n">
        <x:f>E39</x:f>
        <x:v>5202.710556059612</x:v>
      </x:c>
      <x:c r="E102" s="32"/>
      <x:c r="F102" s="32" t="n">
        <x:f>A39</x:f>
        <x:v>2936.688564</x:v>
      </x:c>
      <x:c r="G102" s="32" t="n">
        <x:f>C39</x:f>
        <x:v>28603.526337492924</x:v>
      </x:c>
      <x:c r="H102" s="32"/>
      <x:c r="I102" s="32"/>
      <x:c r="J102" s="32"/>
      <x:c r="K102" s="32"/>
      <x:c r="L102" s="32"/>
      <x:c r="M102" s="32"/>
      <x:c r="N102" s="32"/>
    </x:row>
    <x:row r="103">
      <x:c r="A103" s="32" t="n">
        <x:f>A40</x:f>
        <x:v>3013.6334952</x:v>
      </x:c>
      <x:c r="B103" s="32" t="n">
        <x:f>B40</x:f>
        <x:v>784017.5061779759</x:v>
      </x:c>
      <x:c r="C103" s="32" t="n">
        <x:f>D40</x:f>
        <x:v>2210.464287905019</x:v>
      </x:c>
      <x:c r="D103" s="32" t="n">
        <x:f>E40</x:f>
        <x:v>4420.928575810038</x:v>
      </x:c>
      <x:c r="E103" s="32"/>
      <x:c r="F103" s="32" t="n">
        <x:f>A40</x:f>
        <x:v>3013.6334952</x:v>
      </x:c>
      <x:c r="G103" s="32" t="n">
        <x:f>C40</x:f>
        <x:v>28602.564070595457</x:v>
      </x:c>
      <x:c r="H103" s="32"/>
      <x:c r="I103" s="32"/>
      <x:c r="J103" s="32"/>
      <x:c r="K103" s="32"/>
      <x:c r="L103" s="32"/>
      <x:c r="M103" s="32"/>
      <x:c r="N103" s="32"/>
    </x:row>
    <x:row r="104">
      <x:c r="A104" s="32" t="n">
        <x:f>A41</x:f>
        <x:v>3090.7698408</x:v>
      </x:c>
      <x:c r="B104" s="32" t="n">
        <x:f>B41</x:f>
        <x:v>801132.0373323669</x:v>
      </x:c>
      <x:c r="C104" s="32" t="n">
        <x:f>D41</x:f>
        <x:v>1828.4835133349245</x:v>
      </x:c>
      <x:c r="D104" s="32" t="n">
        <x:f>E41</x:f>
        <x:v>3656.967026669849</x:v>
      </x:c>
      <x:c r="E104" s="32"/>
      <x:c r="F104" s="32" t="n">
        <x:f>A41</x:f>
        <x:v>3090.7698408</x:v>
      </x:c>
      <x:c r="G104" s="32" t="n">
        <x:f>C41</x:f>
        <x:v>28601.758831011655</x:v>
      </x:c>
      <x:c r="H104" s="32"/>
      <x:c r="I104" s="32"/>
      <x:c r="J104" s="32"/>
      <x:c r="K104" s="32"/>
      <x:c r="L104" s="32"/>
      <x:c r="M104" s="32"/>
      <x:c r="N104" s="32"/>
    </x:row>
    <x:row r="105">
      <x:c r="A105" s="32" t="n">
        <x:f>A42</x:f>
        <x:v>3167.6544215999998</x:v>
      </x:c>
      <x:c r="B105" s="32" t="n">
        <x:f>B42</x:f>
        <x:v>818190.9258303377</x:v>
      </x:c>
      <x:c r="C105" s="32" t="n">
        <x:f>D42</x:f>
        <x:v>1812.5797754308658</x:v>
      </x:c>
      <x:c r="D105" s="32" t="n">
        <x:f>E42</x:f>
        <x:v>3625.1595508617315</x:v>
      </x:c>
      <x:c r="E105" s="32"/>
      <x:c r="F105" s="32" t="n">
        <x:f>A42</x:f>
        <x:v>3167.6544215999998</x:v>
      </x:c>
      <x:c r="G105" s="32" t="n">
        <x:f>C42</x:f>
        <x:v>28601.722727027758</x:v>
      </x:c>
      <x:c r="H105" s="32"/>
      <x:c r="I105" s="32"/>
      <x:c r="J105" s="32"/>
      <x:c r="K105" s="32"/>
      <x:c r="L105" s="32"/>
      <x:c r="M105" s="32"/>
      <x:c r="N105" s="32"/>
    </x:row>
    <x:row r="106">
      <x:c r="A106" s="32" t="n">
        <x:f>A43</x:f>
        <x:v>3243.9723792</x:v>
      </x:c>
      <x:c r="B106" s="32" t="n">
        <x:f>B43</x:f>
        <x:v>835118.0075327385</x:v>
      </x:c>
      <x:c r="C106" s="32" t="n">
        <x:f>D43</x:f>
        <x:v>2217.891733412791</x:v>
      </x:c>
      <x:c r="D106" s="32" t="n">
        <x:f>E43</x:f>
        <x:v>4435.783466825582</x:v>
      </x:c>
      <x:c r="E106" s="32"/>
      <x:c r="F106" s="32" t="n">
        <x:f>A43</x:f>
        <x:v>3243.9723792</x:v>
      </x:c>
      <x:c r="G106" s="32" t="n">
        <x:f>C43</x:f>
        <x:v>28602.56029719639</x:v>
      </x:c>
      <x:c r="H106" s="32"/>
      <x:c r="I106" s="32"/>
      <x:c r="J106" s="32"/>
      <x:c r="K106" s="32"/>
      <x:c r="L106" s="32"/>
      <x:c r="M106" s="32"/>
      <x:c r="N106" s="32"/>
    </x:row>
    <x:row r="107">
      <x:c r="A107" s="32" t="n">
        <x:f>A44</x:f>
        <x:v>3319.6978056000003</x:v>
      </x:c>
      <x:c r="B107" s="32" t="n">
        <x:f>B44</x:f>
        <x:v>851906.0400679975</x:v>
      </x:c>
      <x:c r="C107" s="32" t="n">
        <x:f>D44</x:f>
        <x:v>2642.4110592528173</x:v>
      </x:c>
      <x:c r="D107" s="32" t="n">
        <x:f>E44</x:f>
        <x:v>5284.8221185056345</x:v>
      </x:c>
      <x:c r="E107" s="32"/>
      <x:c r="F107" s="32" t="n">
        <x:f>A44</x:f>
        <x:v>3319.6978056000003</x:v>
      </x:c>
      <x:c r="G107" s="32" t="n">
        <x:f>C44</x:f>
        <x:v>28603.605997663533</x:v>
      </x:c>
      <x:c r="H107" s="32"/>
      <x:c r="I107" s="32"/>
      <x:c r="J107" s="32"/>
      <x:c r="K107" s="32"/>
      <x:c r="L107" s="32"/>
      <x:c r="M107" s="32"/>
      <x:c r="N107" s="32"/>
    </x:row>
    <x:row r="108">
      <x:c r="A108" s="32" t="n">
        <x:f>A45</x:f>
        <x:v>3395.1068496000003</x:v>
      </x:c>
      <x:c r="B108" s="32" t="n">
        <x:f>B45</x:f>
        <x:v>868616.94718898</x:v>
      </x:c>
      <x:c r="C108" s="32" t="n">
        <x:f>D45</x:f>
        <x:v>2979.8716159706937</x:v>
      </x:c>
      <x:c r="D108" s="32" t="n">
        <x:f>E45</x:f>
        <x:v>5959.743231941387</x:v>
      </x:c>
      <x:c r="E108" s="32"/>
      <x:c r="F108" s="32" t="n">
        <x:f>A45</x:f>
        <x:v>3395.1068496000003</x:v>
      </x:c>
      <x:c r="G108" s="32" t="n">
        <x:f>C45</x:f>
        <x:v>28604.566689656534</x:v>
      </x:c>
      <x:c r="H108" s="32"/>
      <x:c r="I108" s="32"/>
      <x:c r="J108" s="32"/>
      <x:c r="K108" s="32"/>
      <x:c r="L108" s="32"/>
      <x:c r="M108" s="32"/>
      <x:c r="N108" s="32"/>
    </x:row>
    <x:row r="109">
      <x:c r="A109" s="32" t="n">
        <x:f>A46</x:f>
        <x:v>3470.6368992</x:v>
      </x:c>
      <x:c r="B109" s="32" t="n">
        <x:f>B46</x:f>
        <x:v>885348.6982656334</x:v>
      </x:c>
      <x:c r="C109" s="32" t="n">
        <x:f>D46</x:f>
        <x:v>3240.2265772593487</x:v>
      </x:c>
      <x:c r="D109" s="32" t="n">
        <x:f>E46</x:f>
        <x:v>6480.453154518697</x:v>
      </x:c>
      <x:c r="E109" s="32"/>
      <x:c r="F109" s="32" t="n">
        <x:f>A46</x:f>
        <x:v>3470.6368992</x:v>
      </x:c>
      <x:c r="G109" s="32" t="n">
        <x:f>C46</x:f>
        <x:v>28605.40820924909</x:v>
      </x:c>
      <x:c r="H109" s="32"/>
      <x:c r="I109" s="32"/>
      <x:c r="J109" s="32"/>
      <x:c r="K109" s="32"/>
      <x:c r="L109" s="32"/>
      <x:c r="M109" s="32"/>
      <x:c r="N109" s="32"/>
    </x:row>
    <x:row r="110">
      <x:c r="A110" s="32" t="n">
        <x:f>A47</x:f>
        <x:v>3546.6631632</x:v>
      </x:c>
      <x:c r="B110" s="32" t="n">
        <x:f>B47</x:f>
        <x:v>902184.4548048641</x:v>
      </x:c>
      <x:c r="C110" s="32" t="n">
        <x:f>D47</x:f>
        <x:v>3477.5866978427607</x:v>
      </x:c>
      <x:c r="D110" s="32" t="n">
        <x:f>E47</x:f>
        <x:v>6955.173395685521</x:v>
      </x:c>
      <x:c r="E110" s="32"/>
      <x:c r="F110" s="32" t="n">
        <x:f>A47</x:f>
        <x:v>3546.6631632</x:v>
      </x:c>
      <x:c r="G110" s="32" t="n">
        <x:f>C47</x:f>
        <x:v>28606.27050528408</x:v>
      </x:c>
      <x:c r="H110" s="32"/>
      <x:c r="I110" s="32"/>
      <x:c r="J110" s="32"/>
      <x:c r="K110" s="32"/>
      <x:c r="L110" s="32"/>
      <x:c r="M110" s="32"/>
      <x:c r="N110" s="32"/>
    </x:row>
    <x:row r="111">
      <x:c r="A111" s="32" t="n">
        <x:f>A48</x:f>
        <x:v>3623.3087808</x:v>
      </x:c>
      <x:c r="B111" s="32" t="n">
        <x:f>B48</x:f>
        <x:v>919150.4032984045</x:v>
      </x:c>
      <x:c r="C111" s="32" t="n">
        <x:f>D48</x:f>
        <x:v>3735.52973462342</x:v>
      </x:c>
      <x:c r="D111" s="32" t="n">
        <x:f>E48</x:f>
        <x:v>7471.05946924684</x:v>
      </x:c>
      <x:c r="E111" s="32"/>
      <x:c r="F111" s="32" t="n">
        <x:f>A48</x:f>
        <x:v>3623.3087808</x:v>
      </x:c>
      <x:c r="G111" s="32" t="n">
        <x:f>C48</x:f>
        <x:v>28607.294149836456</x:v>
      </x:c>
      <x:c r="H111" s="32"/>
      <x:c r="I111" s="32"/>
      <x:c r="J111" s="32"/>
      <x:c r="K111" s="32"/>
      <x:c r="L111" s="32"/>
      <x:c r="M111" s="32"/>
      <x:c r="N111" s="32"/>
    </x:row>
    <x:row r="112">
      <x:c r="A112" s="32" t="n">
        <x:f>A49</x:f>
        <x:v>3700.3805088</x:v>
      </x:c>
      <x:c r="B112" s="32" t="n">
        <x:f>B49</x:f>
        <x:v>936201.9429977234</x:v>
      </x:c>
      <x:c r="C112" s="32" t="n">
        <x:f>D49</x:f>
        <x:v>4034.182554764465</x:v>
      </x:c>
      <x:c r="D112" s="32" t="n">
        <x:f>E49</x:f>
        <x:v>8068.36510952893</x:v>
      </x:c>
      <x:c r="E112" s="32"/>
      <x:c r="F112" s="32" t="n">
        <x:f>A49</x:f>
        <x:v>3700.3805088</x:v>
      </x:c>
      <x:c r="G112" s="32" t="n">
        <x:f>C49</x:f>
        <x:v>28608.554391989604</x:v>
      </x:c>
      <x:c r="H112" s="32"/>
      <x:c r="I112" s="32"/>
      <x:c r="J112" s="32"/>
      <x:c r="K112" s="32"/>
      <x:c r="L112" s="32"/>
      <x:c r="M112" s="32"/>
      <x:c r="N112" s="32"/>
    </x:row>
    <x:row r="113">
      <x:c r="A113" s="32" t="n">
        <x:f>A50</x:f>
        <x:v>3777.4683912</x:v>
      </x:c>
      <x:c r="B113" s="32" t="n">
        <x:f>B50</x:f>
        <x:v>953247.3732166202</x:v>
      </x:c>
      <x:c r="C113" s="32" t="n">
        <x:f>D50</x:f>
        <x:v>4341.399783443597</x:v>
      </x:c>
      <x:c r="D113" s="32" t="n">
        <x:f>E50</x:f>
        <x:v>8682.799566887194</x:v>
      </x:c>
      <x:c r="E113" s="32"/>
      <x:c r="F113" s="32" t="n">
        <x:f>A50</x:f>
        <x:v>3777.4683912</x:v>
      </x:c>
      <x:c r="G113" s="32" t="n">
        <x:f>C50</x:f>
        <x:v>28609.90897272849</x:v>
      </x:c>
      <x:c r="H113" s="32"/>
      <x:c r="I113" s="32"/>
      <x:c r="J113" s="32"/>
      <x:c r="K113" s="32"/>
      <x:c r="L113" s="32"/>
      <x:c r="M113" s="32"/>
      <x:c r="N113" s="32"/>
    </x:row>
    <x:row r="114">
      <x:c r="A114" s="32" t="n">
        <x:f>A51</x:f>
        <x:v>3854.1542424</x:v>
      </x:c>
      <x:c r="B114" s="32" t="n">
        <x:f>B51</x:f>
        <x:v>970194.0804175219</x:v>
      </x:c>
      <x:c r="C114" s="32" t="n">
        <x:f>D51</x:f>
        <x:v>4633.867599663519</x:v>
      </x:c>
      <x:c r="D114" s="32" t="n">
        <x:f>E51</x:f>
        <x:v>9267.735199327039</x:v>
      </x:c>
      <x:c r="E114" s="32"/>
      <x:c r="F114" s="32" t="n">
        <x:f>A51</x:f>
        <x:v>3854.1542424</x:v>
      </x:c>
      <x:c r="G114" s="32" t="n">
        <x:f>C51</x:f>
        <x:v>28611.23014699836</x:v>
      </x:c>
      <x:c r="H114" s="32"/>
      <x:c r="I114" s="32"/>
      <x:c r="J114" s="32"/>
      <x:c r="K114" s="32"/>
      <x:c r="L114" s="32"/>
      <x:c r="M114" s="32"/>
      <x:c r="N114" s="32"/>
    </x:row>
    <x:row r="115">
      <x:c r="A115" s="32" t="n">
        <x:f>A52</x:f>
        <x:v>3930.2240928</x:v>
      </x:c>
      <x:c r="B115" s="32" t="n">
        <x:f>B52</x:f>
        <x:v>986995.911058625</x:v>
      </x:c>
      <x:c r="C115" s="32" t="n">
        <x:f>D52</x:f>
        <x:v>4881.413205013298</x:v>
      </x:c>
      <x:c r="D115" s="32" t="n">
        <x:f>E52</x:f>
        <x:v>9762.826410026595</x:v>
      </x:c>
      <x:c r="E115" s="32"/>
      <x:c r="F115" s="32" t="n">
        <x:f>A52</x:f>
        <x:v>3930.2240928</x:v>
      </x:c>
      <x:c r="G115" s="32" t="n">
        <x:f>C52</x:f>
        <x:v>28612.36194088117</x:v>
      </x:c>
      <x:c r="H115" s="32"/>
      <x:c r="I115" s="32"/>
      <x:c r="J115" s="32"/>
      <x:c r="K115" s="32"/>
      <x:c r="L115" s="32"/>
      <x:c r="M115" s="32"/>
      <x:c r="N115" s="32"/>
    </x:row>
    <x:row r="116">
      <x:c r="A116" s="32" t="n">
        <x:f>A53</x:f>
        <x:v>4005.779136</x:v>
      </x:c>
      <x:c r="B116" s="32" t="n">
        <x:f>B53</x:f>
        <x:v>1003676.8408510318</x:v>
      </x:c>
      <x:c r="C116" s="32" t="n">
        <x:f>D53</x:f>
        <x:v>5077.246908811857</x:v>
      </x:c>
      <x:c r="D116" s="32" t="n">
        <x:f>E53</x:f>
        <x:v>10154.493817623714</x:v>
      </x:c>
      <x:c r="E116" s="32"/>
      <x:c r="F116" s="32" t="n">
        <x:f>A53</x:f>
        <x:v>4005.779136</x:v>
      </x:c>
      <x:c r="G116" s="32" t="n">
        <x:f>C53</x:f>
        <x:v>28613.283208291596</x:v>
      </x:c>
      <x:c r="H116" s="32"/>
      <x:c r="I116" s="32"/>
      <x:c r="J116" s="32"/>
      <x:c r="K116" s="32"/>
      <x:c r="L116" s="32"/>
      <x:c r="M116" s="32"/>
      <x:c r="N116" s="32"/>
    </x:row>
    <x:row r="117">
      <x:c r="A117" s="32" t="n">
        <x:f>A54</x:f>
        <x:v>4081.1817792</x:v>
      </x:c>
      <x:c r="B117" s="32" t="n">
        <x:f>B54</x:f>
        <x:v>1020318.5401385546</x:v>
      </x:c>
      <x:c r="C117" s="32" t="n">
        <x:f>D54</x:f>
        <x:v>5224.495357305971</x:v>
      </x:c>
      <x:c r="D117" s="32" t="n">
        <x:f>E54</x:f>
        <x:v>10448.990714611942</x:v>
      </x:c>
      <x:c r="E117" s="32"/>
      <x:c r="F117" s="32" t="n">
        <x:f>A54</x:f>
        <x:v>4081.1817792</x:v>
      </x:c>
      <x:c r="G117" s="32" t="n">
        <x:f>C54</x:f>
        <x:v>28614.03648035307</x:v>
      </x:c>
      <x:c r="H117" s="32"/>
      <x:c r="I117" s="32"/>
      <x:c r="J117" s="32"/>
      <x:c r="K117" s="32"/>
      <x:c r="L117" s="32"/>
      <x:c r="M117" s="32"/>
      <x:c r="N117" s="32"/>
    </x:row>
    <x:row r="118">
      <x:c r="A118" s="32" t="n">
        <x:f>A55</x:f>
        <x:v>4156.8727632</x:v>
      </x:c>
      <x:c r="B118" s="32" t="n">
        <x:f>B55</x:f>
        <x:v>1037019.7969557836</x:v>
      </x:c>
      <x:c r="C118" s="32" t="n">
        <x:f>D55</x:f>
        <x:v>5329.133078724494</x:v>
      </x:c>
      <x:c r="D118" s="32" t="n">
        <x:f>E55</x:f>
        <x:v>10658.266157448988</x:v>
      </x:c>
      <x:c r="E118" s="32"/>
      <x:c r="F118" s="32" t="n">
        <x:f>A55</x:f>
        <x:v>4156.8727632</x:v>
      </x:c>
      <x:c r="G118" s="32" t="n">
        <x:f>C55</x:f>
        <x:v>28614.660211611903</x:v>
      </x:c>
      <x:c r="H118" s="32"/>
      <x:c r="I118" s="32"/>
      <x:c r="J118" s="32"/>
      <x:c r="K118" s="32"/>
      <x:c r="L118" s="32"/>
      <x:c r="M118" s="32"/>
      <x:c r="N118" s="32"/>
    </x:row>
    <x:row r="119">
      <x:c r="A119" s="32" t="n">
        <x:f>A56</x:f>
        <x:v>4233.1456104</x:v>
      </x:c>
      <x:c r="B119" s="32" t="n">
        <x:f>B56</x:f>
        <x:v>1053846.4739392952</x:v>
      </x:c>
      <x:c r="C119" s="32" t="n">
        <x:f>D56</x:f>
        <x:v>5403.408250563843</x:v>
      </x:c>
      <x:c r="D119" s="32" t="n">
        <x:f>E56</x:f>
        <x:v>10806.816501127685</x:v>
      </x:c>
      <x:c r="E119" s="32"/>
      <x:c r="F119" s="32" t="n">
        <x:f>A56</x:f>
        <x:v>4233.1456104</x:v>
      </x:c>
      <x:c r="G119" s="32" t="n">
        <x:f>C56</x:f>
        <x:v>28615.187576501845</x:v>
      </x:c>
      <x:c r="H119" s="32"/>
      <x:c r="I119" s="32"/>
      <x:c r="J119" s="32"/>
      <x:c r="K119" s="32"/>
      <x:c r="L119" s="32"/>
      <x:c r="M119" s="32"/>
      <x:c r="N119" s="32"/>
    </x:row>
    <x:row r="120">
      <x:c r="A120" s="32" t="n">
        <x:f>A57</x:f>
        <x:v>4309.9975776</x:v>
      </x:c>
      <x:c r="B120" s="32" t="n">
        <x:f>B57</x:f>
        <x:v>1070799.1602705836</x:v>
      </x:c>
      <x:c r="C120" s="32" t="n">
        <x:f>D57</x:f>
        <x:v>5446.429733762008</x:v>
      </x:c>
      <x:c r="D120" s="32" t="n">
        <x:f>E57</x:f>
        <x:v>10892.859467524017</x:v>
      </x:c>
      <x:c r="E120" s="32"/>
      <x:c r="F120" s="32" t="n">
        <x:f>A57</x:f>
        <x:v>4309.9975776</x:v>
      </x:c>
      <x:c r="G120" s="32" t="n">
        <x:f>C57</x:f>
        <x:v>28615.547542606535</x:v>
      </x:c>
      <x:c r="H120" s="32"/>
      <x:c r="I120" s="32"/>
      <x:c r="J120" s="32"/>
      <x:c r="K120" s="32"/>
      <x:c r="L120" s="32"/>
      <x:c r="M120" s="32"/>
      <x:c r="N120" s="32"/>
    </x:row>
    <x:row r="121">
      <x:c r="A121" s="32" t="n">
        <x:f>A58</x:f>
        <x:v>4387.1302656</x:v>
      </x:c>
      <x:c r="B121" s="32" t="n">
        <x:f>B58</x:f>
        <x:v>1087812.9940658004</x:v>
      </x:c>
      <x:c r="C121" s="32" t="n">
        <x:f>D58</x:f>
        <x:v>5465.325847757959</x:v>
      </x:c>
      <x:c r="D121" s="32" t="n">
        <x:f>E58</x:f>
        <x:v>10930.651695515919</x:v>
      </x:c>
      <x:c r="E121" s="32"/>
      <x:c r="F121" s="32" t="n">
        <x:f>A58</x:f>
        <x:v>4387.1302656</x:v>
      </x:c>
      <x:c r="G121" s="32" t="n">
        <x:f>C58</x:f>
        <x:v>28615.712798580986</x:v>
      </x:c>
      <x:c r="H121" s="32"/>
      <x:c r="I121" s="32"/>
      <x:c r="J121" s="32"/>
      <x:c r="K121" s="32"/>
      <x:c r="L121" s="32"/>
      <x:c r="M121" s="32"/>
      <x:c r="N121" s="32"/>
    </x:row>
    <x:row r="122">
      <x:c r="A122" s="32" t="n">
        <x:f>A59</x:f>
        <x:v>4464.1026288</x:v>
      </x:c>
      <x:c r="B122" s="32" t="n">
        <x:f>B59</x:f>
        <x:v>1104791.564922813</x:v>
      </x:c>
      <x:c r="C122" s="32" t="n">
        <x:f>D59</x:f>
        <x:v>5462.8587766814835</x:v>
      </x:c>
      <x:c r="D122" s="32" t="n">
        <x:f>E59</x:f>
        <x:v>10925.717553362967</x:v>
      </x:c>
      <x:c r="E122" s="32"/>
      <x:c r="F122" s="32" t="n">
        <x:f>A59</x:f>
        <x:v>4464.1026288</x:v>
      </x:c>
      <x:c r="G122" s="32" t="n">
        <x:f>C59</x:f>
        <x:v>28615.665985644835</x:v>
      </x:c>
      <x:c r="H122" s="32"/>
      <x:c r="I122" s="32"/>
      <x:c r="J122" s="32"/>
      <x:c r="K122" s="32"/>
      <x:c r="L122" s="32"/>
      <x:c r="M122" s="32"/>
      <x:c r="N122" s="32"/>
    </x:row>
    <x:row r="123">
      <x:c r="A123" s="32" t="n">
        <x:f>A60</x:f>
        <x:v>4540.555308</x:v>
      </x:c>
      <x:c r="B123" s="32" t="n">
        <x:f>B60</x:f>
        <x:v>1121656.1618409925</x:v>
      </x:c>
      <x:c r="C123" s="32" t="n">
        <x:f>D60</x:f>
        <x:v>5446.698722331982</x:v>
      </x:c>
      <x:c r="D123" s="32" t="n">
        <x:f>E60</x:f>
        <x:v>10893.397444663964</x:v>
      </x:c>
      <x:c r="E123" s="32"/>
      <x:c r="F123" s="32" t="n">
        <x:f>A60</x:f>
        <x:v>4540.555308</x:v>
      </x:c>
      <x:c r="G123" s="32" t="n">
        <x:f>C60</x:f>
        <x:v>28615.468292404294</x:v>
      </x:c>
      <x:c r="H123" s="32"/>
      <x:c r="I123" s="32"/>
      <x:c r="J123" s="32"/>
      <x:c r="K123" s="32"/>
      <x:c r="L123" s="32"/>
      <x:c r="M123" s="32"/>
      <x:c r="N123" s="32"/>
    </x:row>
    <x:row r="124">
      <x:c r="A124" s="32" t="n">
        <x:f>A61</x:f>
        <x:v>4616.3935104</x:v>
      </x:c>
      <x:c r="B124" s="32" t="n">
        <x:f>B61</x:f>
        <x:v>1138386.296912006</x:v>
      </x:c>
      <x:c r="C124" s="32" t="n">
        <x:f>D61</x:f>
        <x:v>5419.734744567189</x:v>
      </x:c>
      <x:c r="D124" s="32" t="n">
        <x:f>E61</x:f>
        <x:v>10839.469489134379</x:v>
      </x:c>
      <x:c r="E124" s="32"/>
      <x:c r="F124" s="32" t="n">
        <x:f>A61</x:f>
        <x:v>4616.3935104</x:v>
      </x:c>
      <x:c r="G124" s="32" t="n">
        <x:f>C61</x:f>
        <x:v>28615.19242322703</x:v>
      </x:c>
      <x:c r="H124" s="32"/>
      <x:c r="I124" s="32"/>
      <x:c r="J124" s="32"/>
      <x:c r="K124" s="32"/>
      <x:c r="L124" s="32"/>
      <x:c r="M124" s="32"/>
      <x:c r="N124" s="32"/>
    </x:row>
    <x:row r="125">
      <x:c r="A125" s="32" t="n">
        <x:f>A62</x:f>
        <x:v>4691.8360824</x:v>
      </x:c>
      <x:c r="B125" s="32" t="n">
        <x:f>B62</x:f>
        <x:v>1155030.372613192</x:v>
      </x:c>
      <x:c r="C125" s="32" t="n">
        <x:f>D62</x:f>
        <x:v>5389.141729174255</x:v>
      </x:c>
      <x:c r="D125" s="32" t="n">
        <x:f>E62</x:f>
        <x:v>10778.28345834851</x:v>
      </x:c>
      <x:c r="E125" s="32"/>
      <x:c r="F125" s="32" t="n">
        <x:f>A62</x:f>
        <x:v>4691.8360824</x:v>
      </x:c>
      <x:c r="G125" s="32" t="n">
        <x:f>C62</x:f>
        <x:v>28614.943029485676</x:v>
      </x:c>
      <x:c r="H125" s="32"/>
      <x:c r="I125" s="32"/>
      <x:c r="J125" s="32"/>
      <x:c r="K125" s="32"/>
      <x:c r="L125" s="32"/>
      <x:c r="M125" s="32"/>
      <x:c r="N125" s="32"/>
    </x:row>
    <x:row r="126">
      <x:c r="A126" s="32" t="n">
        <x:f>A63</x:f>
        <x:v>4767.3027336000005</x:v>
      </x:c>
      <x:c r="B126" s="32" t="n">
        <x:f>B63</x:f>
        <x:v>1171680.8264845596</x:v>
      </x:c>
      <x:c r="C126" s="32" t="n">
        <x:f>D63</x:f>
        <x:v>5362.233481314568</x:v>
      </x:c>
      <x:c r="D126" s="32" t="n">
        <x:f>E63</x:f>
        <x:v>10724.466962629136</x:v>
      </x:c>
      <x:c r="E126" s="32"/>
      <x:c r="F126" s="32" t="n">
        <x:f>A63</x:f>
        <x:v>4767.3027336000005</x:v>
      </x:c>
      <x:c r="G126" s="32" t="n">
        <x:f>C63</x:f>
        <x:v>28614.798901367703</x:v>
      </x:c>
      <x:c r="H126" s="32"/>
      <x:c r="I126" s="32"/>
      <x:c r="J126" s="32"/>
      <x:c r="K126" s="32"/>
      <x:c r="L126" s="32"/>
      <x:c r="M126" s="32"/>
      <x:c r="N126" s="32"/>
    </x:row>
    <x:row r="127">
      <x:c r="A127" s="32" t="n">
        <x:f>A64</x:f>
        <x:v>4843.2018960000005</x:v>
      </x:c>
      <x:c r="B127" s="32" t="n">
        <x:f>B64</x:f>
        <x:v>1188427.2943145775</x:v>
      </x:c>
      <x:c r="C127" s="32" t="n">
        <x:f>D64</x:f>
        <x:v>5347.425972648599</x:v>
      </x:c>
      <x:c r="D127" s="32" t="n">
        <x:f>E64</x:f>
        <x:v>10694.851945297198</x:v>
      </x:c>
      <x:c r="E127" s="32"/>
      <x:c r="F127" s="32" t="n">
        <x:f>A64</x:f>
        <x:v>4843.2018960000005</x:v>
      </x:c>
      <x:c r="G127" s="32" t="n">
        <x:f>C64</x:f>
        <x:v>28614.801628582438</x:v>
      </x:c>
      <x:c r="H127" s="32"/>
      <x:c r="I127" s="32"/>
      <x:c r="J127" s="32"/>
      <x:c r="K127" s="32"/>
      <x:c r="L127" s="32"/>
      <x:c r="M127" s="32"/>
      <x:c r="N127" s="32"/>
    </x:row>
    <x:row r="128">
      <x:c r="A128" s="32" t="n">
        <x:f>A65</x:f>
        <x:v>4919.7207168</x:v>
      </x:c>
      <x:c r="B128" s="32" t="n">
        <x:f>B65</x:f>
        <x:v>1205310.4574943804</x:v>
      </x:c>
      <x:c r="C128" s="32" t="n">
        <x:f>D65</x:f>
        <x:v>5348.094378791932</x:v>
      </x:c>
      <x:c r="D128" s="32" t="n">
        <x:f>E65</x:f>
        <x:v>10696.188757583865</x:v>
      </x:c>
      <x:c r="E128" s="32"/>
      <x:c r="F128" s="32" t="n">
        <x:f>A65</x:f>
        <x:v>4919.7207168</x:v>
      </x:c>
      <x:c r="G128" s="32" t="n">
        <x:f>C65</x:f>
        <x:v>28614.926203245843</x:v>
      </x:c>
      <x:c r="H128" s="32"/>
      <x:c r="I128" s="32"/>
      <x:c r="J128" s="32"/>
      <x:c r="K128" s="32"/>
      <x:c r="L128" s="32"/>
      <x:c r="M128" s="32"/>
      <x:c r="N128" s="32"/>
    </x:row>
  </x:sheetData>
  <x:mergeCells>
    <x:mergeCell ref="A1:N1"/>
    <x:mergeCell ref="A3:H3"/>
  </x:mergeCells>
  <x:pageMargins left="0.7" right="0.7" top="0.75" bottom="0.75" header="0.3" footer="0.3"/>
  <x:drawing xmlns:r="http://schemas.openxmlformats.org/officeDocument/2006/relationships" r:id="rId1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Operation Charts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Operation-specific hookload, torque and buckling charts</x:v>
      </x:c>
      <x:c r="B3" s="33" t="str">
        <x:v>Operation-specific hookload, torque and buckling charts</x:v>
      </x:c>
      <x:c r="C3" s="33" t="str">
        <x:v>Operation-specific hookload, torque and buckling charts</x:v>
      </x:c>
      <x:c r="D3" s="33" t="str">
        <x:v>Operation-specific hookload, torque and buckling charts</x:v>
      </x:c>
      <x:c r="E3" s="33" t="str">
        <x:v>Operation-specific hookload, torque and buckling charts</x:v>
      </x:c>
      <x:c r="F3" s="33" t="str">
        <x:v>Operation-specific hookload, torque and buckling charts</x:v>
      </x:c>
      <x:c r="G3" s="33" t="str">
        <x:v>Operation-specific hookload, torque and buckling charts</x:v>
      </x:c>
      <x:c r="H3" s="33" t="str">
        <x:v>Operation-specific hookload, torque and buckling charts</x:v>
      </x:c>
      <x:c r="I3" s="33" t="str">
        <x:v>Operation-specific hookload, torque and buckling charts</x:v>
      </x:c>
      <x:c r="J3" s="33" t="str">
        <x:v>Operation-specific hookload, torque and buckling charts</x:v>
      </x:c>
      <x:c r="K3" s="33" t="str">
        <x:v>Operation-specific hookload, torque and buckling charts</x:v>
      </x:c>
      <x:c r="L3" s="33" t="str">
        <x:v>Operation-specific hookload, torque and buckling charts</x:v>
      </x:c>
      <x:c r="M3" s="33" t="str">
        <x:v>Operation-specific hookload, torque and buckling charts</x:v>
      </x:c>
      <x:c r="N3" s="33" t="str">
        <x:v>Operation-specific hookload, torque and buckling charts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2" t="str">
        <x:f>"MD "&amp;'Unit Map'!$H$8</x:f>
        <x:v>MD m</x:v>
      </x:c>
      <x:c r="B5" s="32" t="str">
        <x:f>"Axial load "&amp;'Unit Map'!$H$14</x:f>
        <x:v>Axial load N</x:v>
      </x:c>
      <x:c r="C5" s="32" t="str">
        <x:f>"MD "&amp;'Unit Map'!$H$8</x:f>
        <x:v>MD m</x:v>
      </x:c>
      <x:c r="D5" s="32" t="str">
        <x:f>"Torque "&amp;'Unit Map'!$H$16</x:f>
        <x:v>Torque N-m</x:v>
      </x:c>
      <x:c r="E5" s="32" t="str">
        <x:f>"Buckling margin "&amp;'Unit Map'!$H$14</x:f>
        <x:v>Buckling margin N</x:v>
      </x:c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2" t="n">
        <x:f>'PUW'!A6</x:f>
        <x:v>0</x:v>
      </x:c>
      <x:c r="B6" s="32" t="n">
        <x:f>'PUW'!B6</x:f>
        <x:v>120000</x:v>
      </x:c>
      <x:c r="C6" s="32" t="n">
        <x:f>'PUW'!A6</x:f>
        <x:v>0</x:v>
      </x:c>
      <x:c r="D6" s="32" t="n">
        <x:f>'PUW'!C6</x:f>
        <x:v>26000</x:v>
      </x:c>
      <x:c r="E6" s="32" t="n">
        <x:f>'PUW'!F6</x:f>
        <x:v>120000</x:v>
      </x:c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2" t="n">
        <x:f>'PUW'!A7</x:f>
        <x:v>155.10875760000002</x:v>
      </x:c>
      <x:c r="B7" s="32" t="n">
        <x:f>'PUW'!B7</x:f>
        <x:v>154510.13539941903</x:v>
      </x:c>
      <x:c r="C7" s="32" t="n">
        <x:f>'PUW'!A7</x:f>
        <x:v>155.10875760000002</x:v>
      </x:c>
      <x:c r="D7" s="32" t="n">
        <x:f>'PUW'!C7</x:f>
        <x:v>26008.922425328856</x:v>
      </x:c>
      <x:c r="E7" s="32" t="n">
        <x:f>'PUW'!F7</x:f>
        <x:v>148418.1597147277</x:v>
      </x:c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2" t="n">
        <x:f>'PUW'!A8</x:f>
        <x:v>307.974492</x:v>
      </x:c>
      <x:c r="B8" s="32" t="n">
        <x:f>'PUW'!B8</x:f>
        <x:v>188467.9142173173</x:v>
      </x:c>
      <x:c r="C8" s="32" t="n">
        <x:f>'PUW'!A8</x:f>
        <x:v>307.974492</x:v>
      </x:c>
      <x:c r="D8" s="32" t="n">
        <x:f>'PUW'!C8</x:f>
        <x:v>26002.02346979533</x:v>
      </x:c>
      <x:c r="E8" s="32" t="n">
        <x:f>'PUW'!F8</x:f>
        <x:v>185545.59166753117</x:v>
      </x:c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2" t="n">
        <x:f>'PUW'!A9</x:f>
        <x:v>460.2227016</x:v>
      </x:c>
      <x:c r="B9" s="32" t="n">
        <x:f>'PUW'!B9</x:f>
        <x:v>222294.45447042436</x:v>
      </x:c>
      <x:c r="C9" s="32" t="n">
        <x:f>'PUW'!A9</x:f>
        <x:v>460.2227016</x:v>
      </x:c>
      <x:c r="D9" s="32" t="n">
        <x:f>'PUW'!C9</x:f>
        <x:v>26002.769566444822</x:v>
      </x:c>
      <x:c r="E9" s="32" t="n">
        <x:f>'PUW'!F9</x:f>
        <x:v>218868.63354999156</x:v>
      </x:c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2" t="n">
        <x:f>'PUW'!A10</x:f>
        <x:v>611.9649432</x:v>
      </x:c>
      <x:c r="B10" s="32" t="n">
        <x:f>'PUW'!B10</x:f>
        <x:v>256016.06229413615</x:v>
      </x:c>
      <x:c r="C10" s="32" t="n">
        <x:f>'PUW'!A10</x:f>
        <x:v>611.9649432</x:v>
      </x:c>
      <x:c r="D10" s="32" t="n">
        <x:f>'PUW'!C10</x:f>
        <x:v>26003.710785950836</x:v>
      </x:c>
      <x:c r="E10" s="32" t="n">
        <x:f>'PUW'!F10</x:f>
        <x:v>252044.0135998378</x:v>
      </x:c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 t="n">
        <x:f>'PUW'!A11</x:f>
        <x:v>763.5706344</x:v>
      </x:c>
      <x:c r="B11" s="32" t="n">
        <x:f>'PUW'!B11</x:f>
        <x:v>289718.4655474009</x:v>
      </x:c>
      <x:c r="C11" s="32" t="n">
        <x:f>'PUW'!A11</x:f>
        <x:v>763.5706344</x:v>
      </x:c>
      <x:c r="D11" s="32" t="n">
        <x:f>'PUW'!C11</x:f>
        <x:v>26005.12234878211</x:v>
      </x:c>
      <x:c r="E11" s="32" t="n">
        <x:f>'PUW'!F11</x:f>
        <x:v>285049.5966332161</x:v>
      </x:c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 t="n">
        <x:f>'PUW'!A12</x:f>
        <x:v>915.4786872000001</x:v>
      </x:c>
      <x:c r="B12" s="32" t="n">
        <x:f>'PUW'!B12</x:f>
        <x:v>323457.1728441087</x:v>
      </x:c>
      <x:c r="C12" s="32" t="n">
        <x:f>'PUW'!A12</x:f>
        <x:v>915.4786872000001</x:v>
      </x:c>
      <x:c r="D12" s="32" t="n">
        <x:f>'PUW'!C12</x:f>
        <x:v>26001.206759326556</x:v>
      </x:c>
      <x:c r="E12" s="32" t="n">
        <x:f>'PUW'!F12</x:f>
        <x:v>321193.28559512534</x:v>
      </x:c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 t="n">
        <x:f>'PUW'!A13</x:f>
        <x:v>1067.9740896</x:v>
      </x:c>
      <x:c r="B13" s="32" t="n">
        <x:f>'PUW'!B13</x:f>
        <x:v>357344.30678427016</x:v>
      </x:c>
      <x:c r="C13" s="32" t="n">
        <x:f>'PUW'!A13</x:f>
        <x:v>1067.9740896</x:v>
      </x:c>
      <x:c r="D13" s="32" t="n">
        <x:f>'PUW'!C13</x:f>
        <x:v>26003.49444997194</x:v>
      </x:c>
      <x:c r="E13" s="32" t="n">
        <x:f>'PUW'!F13</x:f>
        <x:v>353499.3107312429</x:v>
      </x:c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2" t="n">
        <x:f>'PUW'!A14</x:f>
        <x:v>1221.042516</x:v>
      </x:c>
      <x:c r="B14" s="32" t="n">
        <x:f>'PUW'!B14</x:f>
        <x:v>391345.68470615847</x:v>
      </x:c>
      <x:c r="C14" s="32" t="n">
        <x:f>'PUW'!A14</x:f>
        <x:v>1221.042516</x:v>
      </x:c>
      <x:c r="D14" s="32" t="n">
        <x:f>'PUW'!C14</x:f>
        <x:v>26001.844905823713</x:v>
      </x:c>
      <x:c r="E14" s="32" t="n">
        <x:f>'PUW'!F14</x:f>
        <x:v>388557.13010914397</x:v>
      </x:c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32" t="n">
        <x:f>'PUW'!A15</x:f>
        <x:v>1374.3773376000001</x:v>
      </x:c>
      <x:c r="B15" s="32" t="n">
        <x:f>'PUW'!B15</x:f>
        <x:v>425428.63075766864</x:v>
      </x:c>
      <x:c r="C15" s="32" t="n">
        <x:f>'PUW'!A15</x:f>
        <x:v>1374.3773376000001</x:v>
      </x:c>
      <x:c r="D15" s="32" t="n">
        <x:f>'PUW'!C15</x:f>
        <x:v>26004.692060908415</x:v>
      </x:c>
      <x:c r="E15" s="32" t="n">
        <x:f>'PUW'!F15</x:f>
        <x:v>420985.42644174333</x:v>
      </x:c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2" t="n">
        <x:f>'PUW'!A16</x:f>
        <x:v>1527.5362896000001</x:v>
      </x:c>
      <x:c r="B16" s="32" t="n">
        <x:f>'PUW'!B16</x:f>
        <x:v>459438.75162258657</x:v>
      </x:c>
      <x:c r="C16" s="32" t="n">
        <x:f>'PUW'!A16</x:f>
        <x:v>1527.5362896000001</x:v>
      </x:c>
      <x:c r="D16" s="32" t="n">
        <x:f>'PUW'!C16</x:f>
        <x:v>26000.402555674227</x:v>
      </x:c>
      <x:c r="E16" s="32" t="n">
        <x:f>'PUW'!F16</x:f>
        <x:v>458136.55476458004</x:v>
      </x:c>
      <x:c r="F16" s="32"/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2" t="n">
        <x:f>'PUW'!A17</x:f>
        <x:v>1565.8667184</x:v>
      </x:c>
      <x:c r="B17" s="32" t="n">
        <x:f>'PUW'!B17</x:f>
        <x:v>468349.8132751307</x:v>
      </x:c>
      <x:c r="C17" s="32" t="n">
        <x:f>'PUW'!A17</x:f>
        <x:v>1565.8667184</x:v>
      </x:c>
      <x:c r="D17" s="32" t="n">
        <x:f>'PUW'!C17</x:f>
        <x:v>26050.836703813504</x:v>
      </x:c>
      <x:c r="E17" s="32" t="n">
        <x:f>'PUW'!F17</x:f>
        <x:v>439098.0727221462</x:v>
      </x:c>
      <x:c r="F17" s="32"/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2" t="n">
        <x:f>'PUW'!A18</x:f>
        <x:v>1603.5857184000001</x:v>
      </x:c>
      <x:c r="B18" s="32" t="n">
        <x:f>'PUW'!B18</x:f>
        <x:v>477086.71589363687</x:v>
      </x:c>
      <x:c r="C18" s="32" t="n">
        <x:f>'PUW'!A18</x:f>
        <x:v>1603.5857184000001</x:v>
      </x:c>
      <x:c r="D18" s="32" t="n">
        <x:f>'PUW'!C18</x:f>
        <x:v>26045.960001615174</x:v>
      </x:c>
      <x:c r="E18" s="32" t="n">
        <x:f>'PUW'!F18</x:f>
        <x:v>449048.86044854386</x:v>
      </x:c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 t="n">
        <x:f>'PUW'!A19</x:f>
        <x:v>1640.9209752000002</x:v>
      </x:c>
      <x:c r="B19" s="32" t="n">
        <x:f>'PUW'!B19</x:f>
        <x:v>485707.09476391843</x:v>
      </x:c>
      <x:c r="C19" s="32" t="n">
        <x:f>'PUW'!A19</x:f>
        <x:v>1640.9209752000002</x:v>
      </x:c>
      <x:c r="D19" s="32" t="n">
        <x:f>'PUW'!C19</x:f>
        <x:v>26041.982543597504</x:v>
      </x:c>
      <x:c r="E19" s="32" t="n">
        <x:f>'PUW'!F19</x:f>
        <x:v>458772.5486023642</x:v>
      </x:c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2" t="n">
        <x:f>'PUW'!A20</x:f>
        <x:v>1678.2970752</x:v>
      </x:c>
      <x:c r="B20" s="32" t="n">
        <x:f>'PUW'!B20</x:f>
        <x:v>494320.8872486618</x:v>
      </x:c>
      <x:c r="C20" s="32" t="n">
        <x:f>'PUW'!A20</x:f>
        <x:v>1678.2970752</x:v>
      </x:c>
      <x:c r="D20" s="32" t="n">
        <x:f>'PUW'!C20</x:f>
        <x:v>26039.994347635806</x:v>
      </x:c>
      <x:c r="E20" s="32" t="n">
        <x:f>'PUW'!F20</x:f>
        <x:v>468046.22289062914</x:v>
      </x:c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2" t="n">
        <x:f>'PUW'!A21</x:f>
        <x:v>1716.1166592000002</x:v>
      </x:c>
      <x:c r="B21" s="32" t="n">
        <x:f>'PUW'!B21</x:f>
        <x:v>503044.30107654614</x:v>
      </x:c>
      <x:c r="C21" s="32" t="n">
        <x:f>'PUW'!A21</x:f>
        <x:v>1716.1166592000002</x:v>
      </x:c>
      <x:c r="D21" s="32" t="n">
        <x:f>'PUW'!C21</x:f>
        <x:v>26041.410587523715</x:v>
      </x:c>
      <x:c r="E21" s="32" t="n">
        <x:f>'PUW'!F21</x:f>
        <x:v>476465.69612020586</x:v>
      </x:c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2" t="str">
        <x:f>"MD "&amp;'Unit Map'!$H$8</x:f>
        <x:v>MD m</x:v>
      </x:c>
      <x:c r="B22" s="32" t="str">
        <x:f>"Axial load "&amp;'Unit Map'!$H$14</x:f>
        <x:v>Axial load N</x:v>
      </x:c>
      <x:c r="C22" s="32" t="str">
        <x:f>"MD "&amp;'Unit Map'!$H$8</x:f>
        <x:v>MD m</x:v>
      </x:c>
      <x:c r="D22" s="32" t="str">
        <x:f>"Torque "&amp;'Unit Map'!$H$16</x:f>
        <x:v>Torque N-m</x:v>
      </x:c>
      <x:c r="E22" s="32" t="str">
        <x:f>"Buckling margin "&amp;'Unit Map'!$H$14</x:f>
        <x:v>Buckling margin N</x:v>
      </x:c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2" t="n">
        <x:f>'SOW'!A6</x:f>
        <x:v>0</x:v>
      </x:c>
      <x:c r="B23" s="32" t="n">
        <x:f>'SOW'!B6</x:f>
        <x:v>120000</x:v>
      </x:c>
      <x:c r="C23" s="32" t="n">
        <x:f>'SOW'!A6</x:f>
        <x:v>0</x:v>
      </x:c>
      <x:c r="D23" s="32" t="n">
        <x:f>'SOW'!C6</x:f>
        <x:v>28600.000000000004</x:v>
      </x:c>
      <x:c r="E23" s="32" t="n">
        <x:f>'SOW'!F6</x:f>
        <x:v>120000</x:v>
      </x:c>
      <x:c r="F23" s="32"/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32" t="n">
        <x:f>'SOW'!A7</x:f>
        <x:v>155.10875760000002</x:v>
      </x:c>
      <x:c r="B24" s="32" t="n">
        <x:f>'SOW'!B7</x:f>
        <x:v>154369.6247643189</x:v>
      </x:c>
      <x:c r="C24" s="32" t="n">
        <x:f>'SOW'!A7</x:f>
        <x:v>155.10875760000002</x:v>
      </x:c>
      <x:c r="D24" s="32" t="n">
        <x:f>'SOW'!C7</x:f>
        <x:v>28609.814667861745</x:v>
      </x:c>
      <x:c r="E24" s="32" t="n">
        <x:f>'SOW'!F7</x:f>
        <x:v>148277.64907962756</x:v>
      </x:c>
      <x:c r="F24" s="32"/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32" t="n">
        <x:f>'SOW'!A8</x:f>
        <x:v>307.974492</x:v>
      </x:c>
      <x:c r="B25" s="32" t="n">
        <x:f>'SOW'!B8</x:f>
        <x:v>188295.53791614895</x:v>
      </x:c>
      <x:c r="C25" s="32" t="n">
        <x:f>'SOW'!A8</x:f>
        <x:v>307.974492</x:v>
      </x:c>
      <x:c r="D25" s="32" t="n">
        <x:f>'SOW'!C8</x:f>
        <x:v>28602.225816774866</x:v>
      </x:c>
      <x:c r="E25" s="32" t="n">
        <x:f>'SOW'!F8</x:f>
        <x:v>185373.21536636283</x:v>
      </x:c>
      <x:c r="F25" s="32"/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32" t="n">
        <x:f>'SOW'!A9</x:f>
        <x:v>460.2227016</x:v>
      </x:c>
      <x:c r="B26" s="32" t="n">
        <x:f>'SOW'!B9</x:f>
        <x:v>222078.4629496525</x:v>
      </x:c>
      <x:c r="C26" s="32" t="n">
        <x:f>'SOW'!A9</x:f>
        <x:v>460.2227016</x:v>
      </x:c>
      <x:c r="D26" s="32" t="n">
        <x:f>'SOW'!C9</x:f>
        <x:v>28603.046523089306</x:v>
      </x:c>
      <x:c r="E26" s="32" t="n">
        <x:f>'SOW'!F9</x:f>
        <x:v>218652.64202921969</x:v>
      </x:c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32" t="n">
        <x:f>'SOW'!A10</x:f>
        <x:v>611.9649432</x:v>
      </x:c>
      <x:c r="B27" s="32" t="n">
        <x:f>'SOW'!B10</x:f>
        <x:v>255741.63319933537</x:v>
      </x:c>
      <x:c r="C27" s="32" t="n">
        <x:f>'SOW'!A10</x:f>
        <x:v>611.9649432</x:v>
      </x:c>
      <x:c r="D27" s="32" t="n">
        <x:f>'SOW'!C10</x:f>
        <x:v>28604.081864545922</x:v>
      </x:c>
      <x:c r="E27" s="32" t="n">
        <x:f>'SOW'!F10</x:f>
        <x:v>251769.58450503703</x:v>
      </x:c>
      <x:c r="F27" s="32"/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2" t="n">
        <x:f>'SOW'!A11</x:f>
        <x:v>763.5706344</x:v>
      </x:c>
      <x:c r="B28" s="32" t="n">
        <x:f>'SOW'!B11</x:f>
        <x:v>289363.3695426456</x:v>
      </x:c>
      <x:c r="C28" s="32" t="n">
        <x:f>'SOW'!A11</x:f>
        <x:v>763.5706344</x:v>
      </x:c>
      <x:c r="D28" s="32" t="n">
        <x:f>'SOW'!C11</x:f>
        <x:v>28605.634583660325</x:v>
      </x:c>
      <x:c r="E28" s="32" t="n">
        <x:f>'SOW'!F11</x:f>
        <x:v>284694.5006284608</x:v>
      </x:c>
      <x:c r="F28" s="32"/>
      <x:c r="G28" s="32"/>
      <x:c r="H28" s="32"/>
      <x:c r="I28" s="32"/>
      <x:c r="J28" s="32"/>
      <x:c r="K28" s="32"/>
      <x:c r="L28" s="32"/>
      <x:c r="M28" s="32"/>
      <x:c r="N28" s="32"/>
    </x:row>
    <x:row r="29">
      <x:c r="A29" s="32" t="n">
        <x:f>'SOW'!A12</x:f>
        <x:v>915.4786872000001</x:v>
      </x:c>
      <x:c r="B29" s="32" t="n">
        <x:f>'SOW'!B12</x:f>
        <x:v>323083.07275547064</x:v>
      </x:c>
      <x:c r="C29" s="32" t="n">
        <x:f>'SOW'!A12</x:f>
        <x:v>915.4786872000001</x:v>
      </x:c>
      <x:c r="D29" s="32" t="n">
        <x:f>'SOW'!C12</x:f>
        <x:v>28601.327435259216</x:v>
      </x:c>
      <x:c r="E29" s="32" t="n">
        <x:f>'SOW'!F12</x:f>
        <x:v>320819.18550648727</x:v>
      </x:c>
      <x:c r="F29" s="32"/>
      <x:c r="G29" s="32"/>
      <x:c r="H29" s="32"/>
      <x:c r="I29" s="32"/>
      <x:c r="J29" s="32"/>
      <x:c r="K29" s="32"/>
      <x:c r="L29" s="32"/>
      <x:c r="M29" s="32"/>
      <x:c r="N29" s="32"/>
    </x:row>
    <x:row r="30">
      <x:c r="A30" s="32" t="n">
        <x:f>'SOW'!A13</x:f>
        <x:v>1067.9740896</x:v>
      </x:c>
      <x:c r="B30" s="32" t="n">
        <x:f>'SOW'!B13</x:f>
        <x:v>356915.17598741263</x:v>
      </x:c>
      <x:c r="C30" s="32" t="n">
        <x:f>'SOW'!A13</x:f>
        <x:v>1067.9740896</x:v>
      </x:c>
      <x:c r="D30" s="32" t="n">
        <x:f>'SOW'!C13</x:f>
        <x:v>28603.843894969134</x:v>
      </x:c>
      <x:c r="E30" s="32" t="n">
        <x:f>'SOW'!F13</x:f>
        <x:v>353070.17993438535</x:v>
      </x:c>
      <x:c r="F30" s="32"/>
      <x:c r="G30" s="32"/>
      <x:c r="H30" s="32"/>
      <x:c r="I30" s="32"/>
      <x:c r="J30" s="32"/>
      <x:c r="K30" s="32"/>
      <x:c r="L30" s="32"/>
      <x:c r="M30" s="32"/>
      <x:c r="N30" s="32"/>
    </x:row>
    <x:row r="31">
      <x:c r="A31" s="32" t="n">
        <x:f>'SOW'!A14</x:f>
        <x:v>1221.042516</x:v>
      </x:c>
      <x:c r="B31" s="32" t="n">
        <x:f>'SOW'!B14</x:f>
        <x:v>390887.50027428183</x:v>
      </x:c>
      <x:c r="C31" s="32" t="n">
        <x:f>'SOW'!A14</x:f>
        <x:v>1221.042516</x:v>
      </x:c>
      <x:c r="D31" s="32" t="n">
        <x:f>'SOW'!C14</x:f>
        <x:v>28602.029396406087</x:v>
      </x:c>
      <x:c r="E31" s="32" t="n">
        <x:f>'SOW'!F14</x:f>
        <x:v>388098.94567726733</x:v>
      </x:c>
      <x:c r="F31" s="32"/>
      <x:c r="G31" s="32"/>
      <x:c r="H31" s="32"/>
      <x:c r="I31" s="32"/>
      <x:c r="J31" s="32"/>
      <x:c r="K31" s="32"/>
      <x:c r="L31" s="32"/>
      <x:c r="M31" s="32"/>
      <x:c r="N31" s="32"/>
    </x:row>
    <x:row r="32">
      <x:c r="A32" s="32" t="n">
        <x:f>'SOW'!A15</x:f>
        <x:v>1374.3773376000001</x:v>
      </x:c>
      <x:c r="B32" s="32" t="n">
        <x:f>'SOW'!B15</x:f>
        <x:v>424896.5556028249</x:v>
      </x:c>
      <x:c r="C32" s="32" t="n">
        <x:f>'SOW'!A15</x:f>
        <x:v>1374.3773376000001</x:v>
      </x:c>
      <x:c r="D32" s="32" t="n">
        <x:f>'SOW'!C15</x:f>
        <x:v>28605.16126699926</x:v>
      </x:c>
      <x:c r="E32" s="32" t="n">
        <x:f>'SOW'!F15</x:f>
        <x:v>420453.3512868996</x:v>
      </x:c>
      <x:c r="F32" s="32"/>
      <x:c r="G32" s="32"/>
      <x:c r="H32" s="32"/>
      <x:c r="I32" s="32"/>
      <x:c r="J32" s="32"/>
      <x:c r="K32" s="32"/>
      <x:c r="L32" s="32"/>
      <x:c r="M32" s="32"/>
      <x:c r="N32" s="32"/>
    </x:row>
    <x:row r="33">
      <x:c r="A33" s="32" t="n">
        <x:f>'SOW'!A16</x:f>
        <x:v>1527.5362896000001</x:v>
      </x:c>
      <x:c r="B33" s="32" t="n">
        <x:f>'SOW'!B16</x:f>
        <x:v>458900.33700830623</x:v>
      </x:c>
      <x:c r="C33" s="32" t="n">
        <x:f>'SOW'!A16</x:f>
        <x:v>1527.5362896000001</x:v>
      </x:c>
      <x:c r="D33" s="32" t="n">
        <x:f>'SOW'!C16</x:f>
        <x:v>28600.442811241654</x:v>
      </x:c>
      <x:c r="E33" s="32" t="n">
        <x:f>'SOW'!F16</x:f>
        <x:v>457598.1401502997</x:v>
      </x:c>
      <x:c r="F33" s="32"/>
      <x:c r="G33" s="32"/>
      <x:c r="H33" s="32"/>
      <x:c r="I33" s="32"/>
      <x:c r="J33" s="32"/>
      <x:c r="K33" s="32"/>
      <x:c r="L33" s="32"/>
      <x:c r="M33" s="32"/>
      <x:c r="N33" s="32"/>
    </x:row>
    <x:row r="34">
      <x:c r="A34" s="32" t="n">
        <x:f>'SOW'!A17</x:f>
        <x:v>1565.8667184</x:v>
      </x:c>
      <x:c r="B34" s="32" t="n">
        <x:f>'SOW'!B17</x:f>
        <x:v>467010.8206480392</x:v>
      </x:c>
      <x:c r="C34" s="32" t="n">
        <x:f>'SOW'!A17</x:f>
        <x:v>1565.8667184</x:v>
      </x:c>
      <x:c r="D34" s="32" t="n">
        <x:f>'SOW'!C17</x:f>
        <x:v>28655.920374194855</x:v>
      </x:c>
      <x:c r="E34" s="32" t="n">
        <x:f>'SOW'!F17</x:f>
        <x:v>437759.0800950547</x:v>
      </x:c>
      <x:c r="F34" s="32"/>
      <x:c r="G34" s="32"/>
      <x:c r="H34" s="32"/>
      <x:c r="I34" s="32"/>
      <x:c r="J34" s="32"/>
      <x:c r="K34" s="32"/>
      <x:c r="L34" s="32"/>
      <x:c r="M34" s="32"/>
      <x:c r="N34" s="32"/>
    </x:row>
    <x:row r="35">
      <x:c r="A35" s="32" t="n">
        <x:f>'SOW'!A18</x:f>
        <x:v>1603.5857184000001</x:v>
      </x:c>
      <x:c r="B35" s="32" t="n">
        <x:f>'SOW'!B18</x:f>
        <x:v>475023.9437135505</x:v>
      </x:c>
      <x:c r="C35" s="32" t="n">
        <x:f>'SOW'!A18</x:f>
        <x:v>1603.5857184000001</x:v>
      </x:c>
      <x:c r="D35" s="32" t="n">
        <x:f>'SOW'!C18</x:f>
        <x:v>28650.556001776695</x:v>
      </x:c>
      <x:c r="E35" s="32" t="n">
        <x:f>'SOW'!F18</x:f>
        <x:v>446986.0882684575</x:v>
      </x:c>
      <x:c r="F35" s="32"/>
      <x:c r="G35" s="32"/>
      <x:c r="H35" s="32"/>
      <x:c r="I35" s="32"/>
      <x:c r="J35" s="32"/>
      <x:c r="K35" s="32"/>
      <x:c r="L35" s="32"/>
      <x:c r="M35" s="32"/>
      <x:c r="N35" s="32"/>
    </x:row>
    <x:row r="36">
      <x:c r="A36" s="32" t="n">
        <x:f>'SOW'!A19</x:f>
        <x:v>1640.9209752000002</x:v>
      </x:c>
      <x:c r="B36" s="32" t="n">
        <x:f>'SOW'!B19</x:f>
        <x:v>482983.18016497383</x:v>
      </x:c>
      <x:c r="C36" s="32" t="n">
        <x:f>'SOW'!A19</x:f>
        <x:v>1640.9209752000002</x:v>
      </x:c>
      <x:c r="D36" s="32" t="n">
        <x:f>'SOW'!C19</x:f>
        <x:v>28646.180797957255</x:v>
      </x:c>
      <x:c r="E36" s="32" t="n">
        <x:f>'SOW'!F19</x:f>
        <x:v>456048.6340034196</x:v>
      </x:c>
      <x:c r="F36" s="32"/>
      <x:c r="G36" s="32"/>
      <x:c r="H36" s="32"/>
      <x:c r="I36" s="32"/>
      <x:c r="J36" s="32"/>
      <x:c r="K36" s="32"/>
      <x:c r="L36" s="32"/>
      <x:c r="M36" s="32"/>
      <x:c r="N36" s="32"/>
    </x:row>
    <x:row r="37">
      <x:c r="A37" s="32" t="n">
        <x:f>'SOW'!A20</x:f>
        <x:v>1678.2970752</x:v>
      </x:c>
      <x:c r="B37" s="32" t="n">
        <x:f>'SOW'!B20</x:f>
        <x:v>490967.14040348405</x:v>
      </x:c>
      <x:c r="C37" s="32" t="n">
        <x:f>'SOW'!A20</x:f>
        <x:v>1678.2970752</x:v>
      </x:c>
      <x:c r="D37" s="32" t="n">
        <x:f>'SOW'!C20</x:f>
        <x:v>28643.99378239939</x:v>
      </x:c>
      <x:c r="E37" s="32" t="n">
        <x:f>'SOW'!F20</x:f>
        <x:v>464692.4760454514</x:v>
      </x:c>
      <x:c r="F37" s="32"/>
      <x:c r="G37" s="32"/>
      <x:c r="H37" s="32"/>
      <x:c r="I37" s="32"/>
      <x:c r="J37" s="32"/>
      <x:c r="K37" s="32"/>
      <x:c r="L37" s="32"/>
      <x:c r="M37" s="32"/>
      <x:c r="N37" s="32"/>
    </x:row>
    <x:row r="38">
      <x:c r="A38" s="32" t="n">
        <x:f>'SOW'!A21</x:f>
        <x:v>1716.1166592000002</x:v>
      </x:c>
      <x:c r="B38" s="32" t="n">
        <x:f>'SOW'!B21</x:f>
        <x:v>499038.4189947745</x:v>
      </x:c>
      <x:c r="C38" s="32" t="n">
        <x:f>'SOW'!A21</x:f>
        <x:v>1716.1166592000002</x:v>
      </x:c>
      <x:c r="D38" s="32" t="n">
        <x:f>'SOW'!C21</x:f>
        <x:v>28645.55164627609</x:v>
      </x:c>
      <x:c r="E38" s="32" t="n">
        <x:f>'SOW'!F21</x:f>
        <x:v>472459.81403843424</x:v>
      </x:c>
      <x:c r="F38" s="32"/>
      <x:c r="G38" s="32"/>
      <x:c r="H38" s="32"/>
      <x:c r="I38" s="32"/>
      <x:c r="J38" s="32"/>
      <x:c r="K38" s="32"/>
      <x:c r="L38" s="32"/>
      <x:c r="M38" s="32"/>
      <x:c r="N38" s="32"/>
    </x:row>
    <x:row r="39">
      <x:c r="A39" s="32" t="str">
        <x:f>"MD "&amp;'Unit Map'!$H$8</x:f>
        <x:v>MD m</x:v>
      </x:c>
      <x:c r="B39" s="32" t="str">
        <x:f>"Axial load "&amp;'Unit Map'!$H$14</x:f>
        <x:v>Axial load N</x:v>
      </x:c>
      <x:c r="C39" s="32" t="str">
        <x:f>"MD "&amp;'Unit Map'!$H$8</x:f>
        <x:v>MD m</x:v>
      </x:c>
      <x:c r="D39" s="32" t="str">
        <x:f>"Torque "&amp;'Unit Map'!$H$16</x:f>
        <x:v>Torque N-m</x:v>
      </x:c>
      <x:c r="E39" s="32" t="str">
        <x:f>"Buckling margin "&amp;'Unit Map'!$H$14</x:f>
        <x:v>Buckling margin N</x:v>
      </x:c>
      <x:c r="F39" s="32"/>
      <x:c r="G39" s="32"/>
      <x:c r="H39" s="32"/>
      <x:c r="I39" s="32"/>
      <x:c r="J39" s="32"/>
      <x:c r="K39" s="32"/>
      <x:c r="L39" s="32"/>
      <x:c r="M39" s="32"/>
      <x:c r="N39" s="32"/>
    </x:row>
    <x:row r="40">
      <x:c r="A40" s="32" t="n">
        <x:f>'BKR'!A6</x:f>
        <x:v>0</x:v>
      </x:c>
      <x:c r="B40" s="32" t="n">
        <x:f>'BKR'!B6</x:f>
        <x:v>120000</x:v>
      </x:c>
      <x:c r="C40" s="32" t="n">
        <x:f>'BKR'!A6</x:f>
        <x:v>0</x:v>
      </x:c>
      <x:c r="D40" s="32" t="n">
        <x:f>'BKR'!C6</x:f>
        <x:v>26000</x:v>
      </x:c>
      <x:c r="E40" s="32" t="n">
        <x:f>'BKR'!F6</x:f>
        <x:v>120000</x:v>
      </x:c>
      <x:c r="F40" s="32"/>
      <x:c r="G40" s="32"/>
      <x:c r="H40" s="32"/>
      <x:c r="I40" s="32"/>
      <x:c r="J40" s="32"/>
      <x:c r="K40" s="32"/>
      <x:c r="L40" s="32"/>
      <x:c r="M40" s="32"/>
      <x:c r="N40" s="32"/>
    </x:row>
    <x:row r="41">
      <x:c r="A41" s="32" t="n">
        <x:f>'BKR'!A7</x:f>
        <x:v>155.10875760000002</x:v>
      </x:c>
      <x:c r="B41" s="32" t="n">
        <x:f>'BKR'!B7</x:f>
        <x:v>154369.6247643189</x:v>
      </x:c>
      <x:c r="C41" s="32" t="n">
        <x:f>'BKR'!A7</x:f>
        <x:v>155.10875760000002</x:v>
      </x:c>
      <x:c r="D41" s="32" t="n">
        <x:f>'BKR'!C7</x:f>
        <x:v>26011.153031661073</x:v>
      </x:c>
      <x:c r="E41" s="32" t="n">
        <x:f>'BKR'!F7</x:f>
        <x:v>148277.64907962756</x:v>
      </x:c>
      <x:c r="F41" s="32"/>
      <x:c r="G41" s="32"/>
      <x:c r="H41" s="32"/>
      <x:c r="I41" s="32"/>
      <x:c r="J41" s="32"/>
      <x:c r="K41" s="32"/>
      <x:c r="L41" s="32"/>
      <x:c r="M41" s="32"/>
      <x:c r="N41" s="32"/>
    </x:row>
    <x:row r="42">
      <x:c r="A42" s="32" t="n">
        <x:f>'BKR'!A8</x:f>
        <x:v>307.974492</x:v>
      </x:c>
      <x:c r="B42" s="32" t="n">
        <x:f>'BKR'!B8</x:f>
        <x:v>188295.53791614895</x:v>
      </x:c>
      <x:c r="C42" s="32" t="n">
        <x:f>'BKR'!A8</x:f>
        <x:v>307.974492</x:v>
      </x:c>
      <x:c r="D42" s="32" t="n">
        <x:f>'BKR'!C8</x:f>
        <x:v>26002.529337244167</x:v>
      </x:c>
      <x:c r="E42" s="32" t="n">
        <x:f>'BKR'!F8</x:f>
        <x:v>185373.21536636283</x:v>
      </x:c>
      <x:c r="F42" s="32"/>
      <x:c r="G42" s="32"/>
      <x:c r="H42" s="32"/>
      <x:c r="I42" s="32"/>
      <x:c r="J42" s="32"/>
      <x:c r="K42" s="32"/>
      <x:c r="L42" s="32"/>
      <x:c r="M42" s="32"/>
      <x:c r="N42" s="32"/>
    </x:row>
    <x:row r="43">
      <x:c r="A43" s="32" t="n">
        <x:f>'BKR'!A9</x:f>
        <x:v>460.2227016</x:v>
      </x:c>
      <x:c r="B43" s="32" t="n">
        <x:f>'BKR'!B9</x:f>
        <x:v>222078.4629496525</x:v>
      </x:c>
      <x:c r="C43" s="32" t="n">
        <x:f>'BKR'!A9</x:f>
        <x:v>460.2227016</x:v>
      </x:c>
      <x:c r="D43" s="32" t="n">
        <x:f>'BKR'!C9</x:f>
        <x:v>26003.46195805603</x:v>
      </x:c>
      <x:c r="E43" s="32" t="n">
        <x:f>'BKR'!F9</x:f>
        <x:v>218652.64202921969</x:v>
      </x:c>
      <x:c r="F43" s="32"/>
      <x:c r="G43" s="32"/>
      <x:c r="H43" s="32"/>
      <x:c r="I43" s="32"/>
      <x:c r="J43" s="32"/>
      <x:c r="K43" s="32"/>
      <x:c r="L43" s="32"/>
      <x:c r="M43" s="32"/>
      <x:c r="N43" s="32"/>
    </x:row>
    <x:row r="44">
      <x:c r="A44" s="32" t="n">
        <x:f>'BKR'!A10</x:f>
        <x:v>611.9649432</x:v>
      </x:c>
      <x:c r="B44" s="32" t="n">
        <x:f>'BKR'!B10</x:f>
        <x:v>255741.63319933537</x:v>
      </x:c>
      <x:c r="C44" s="32" t="n">
        <x:f>'BKR'!A10</x:f>
        <x:v>611.9649432</x:v>
      </x:c>
      <x:c r="D44" s="32" t="n">
        <x:f>'BKR'!C10</x:f>
        <x:v>26004.638482438542</x:v>
      </x:c>
      <x:c r="E44" s="32" t="n">
        <x:f>'BKR'!F10</x:f>
        <x:v>251769.58450503703</x:v>
      </x:c>
      <x:c r="F44" s="32"/>
      <x:c r="G44" s="32"/>
      <x:c r="H44" s="32"/>
      <x:c r="I44" s="32"/>
      <x:c r="J44" s="32"/>
      <x:c r="K44" s="32"/>
      <x:c r="L44" s="32"/>
      <x:c r="M44" s="32"/>
      <x:c r="N44" s="32"/>
    </x:row>
    <x:row r="45">
      <x:c r="A45" s="32" t="n">
        <x:f>'BKR'!A11</x:f>
        <x:v>763.5706344</x:v>
      </x:c>
      <x:c r="B45" s="32" t="n">
        <x:f>'BKR'!B11</x:f>
        <x:v>289363.3695426456</x:v>
      </x:c>
      <x:c r="C45" s="32" t="n">
        <x:f>'BKR'!A11</x:f>
        <x:v>763.5706344</x:v>
      </x:c>
      <x:c r="D45" s="32" t="n">
        <x:f>'BKR'!C11</x:f>
        <x:v>26006.40293597764</x:v>
      </x:c>
      <x:c r="E45" s="32" t="n">
        <x:f>'BKR'!F11</x:f>
        <x:v>284694.5006284608</x:v>
      </x:c>
      <x:c r="F45" s="32"/>
      <x:c r="G45" s="32"/>
      <x:c r="H45" s="32"/>
      <x:c r="I45" s="32"/>
      <x:c r="J45" s="32"/>
      <x:c r="K45" s="32"/>
      <x:c r="L45" s="32"/>
      <x:c r="M45" s="32"/>
      <x:c r="N45" s="32"/>
    </x:row>
    <x:row r="46">
      <x:c r="A46" s="32" t="n">
        <x:f>'BKR'!A12</x:f>
        <x:v>915.4786872000001</x:v>
      </x:c>
      <x:c r="B46" s="32" t="n">
        <x:f>'BKR'!B12</x:f>
        <x:v>323083.07275547064</x:v>
      </x:c>
      <x:c r="C46" s="32" t="n">
        <x:f>'BKR'!A12</x:f>
        <x:v>915.4786872000001</x:v>
      </x:c>
      <x:c r="D46" s="32" t="n">
        <x:f>'BKR'!C12</x:f>
        <x:v>26001.5084491582</x:v>
      </x:c>
      <x:c r="E46" s="32" t="n">
        <x:f>'BKR'!F12</x:f>
        <x:v>320819.18550648727</x:v>
      </x:c>
      <x:c r="F46" s="32"/>
      <x:c r="G46" s="32"/>
      <x:c r="H46" s="32"/>
      <x:c r="I46" s="32"/>
      <x:c r="J46" s="32"/>
      <x:c r="K46" s="32"/>
      <x:c r="L46" s="32"/>
      <x:c r="M46" s="32"/>
      <x:c r="N46" s="32"/>
    </x:row>
    <x:row r="47">
      <x:c r="A47" s="32" t="n">
        <x:f>'BKR'!A13</x:f>
        <x:v>1067.9740896</x:v>
      </x:c>
      <x:c r="B47" s="32" t="n">
        <x:f>'BKR'!B13</x:f>
        <x:v>356915.17598741263</x:v>
      </x:c>
      <x:c r="C47" s="32" t="n">
        <x:f>'BKR'!A13</x:f>
        <x:v>1067.9740896</x:v>
      </x:c>
      <x:c r="D47" s="32" t="n">
        <x:f>'BKR'!C13</x:f>
        <x:v>26004.36806246492</x:v>
      </x:c>
      <x:c r="E47" s="32" t="n">
        <x:f>'BKR'!F13</x:f>
        <x:v>353070.17993438535</x:v>
      </x:c>
      <x:c r="F47" s="32"/>
      <x:c r="G47" s="32"/>
      <x:c r="H47" s="32"/>
      <x:c r="I47" s="32"/>
      <x:c r="J47" s="32"/>
      <x:c r="K47" s="32"/>
      <x:c r="L47" s="32"/>
      <x:c r="M47" s="32"/>
      <x:c r="N47" s="32"/>
    </x:row>
    <x:row r="48">
      <x:c r="A48" s="32" t="n">
        <x:f>'BKR'!A14</x:f>
        <x:v>1221.042516</x:v>
      </x:c>
      <x:c r="B48" s="32" t="n">
        <x:f>'BKR'!B14</x:f>
        <x:v>390887.50027428183</x:v>
      </x:c>
      <x:c r="C48" s="32" t="n">
        <x:f>'BKR'!A14</x:f>
        <x:v>1221.042516</x:v>
      </x:c>
      <x:c r="D48" s="32" t="n">
        <x:f>'BKR'!C14</x:f>
        <x:v>26002.30613227964</x:v>
      </x:c>
      <x:c r="E48" s="32" t="n">
        <x:f>'BKR'!F14</x:f>
        <x:v>388098.94567726733</x:v>
      </x:c>
      <x:c r="F48" s="32"/>
      <x:c r="G48" s="32"/>
      <x:c r="H48" s="32"/>
      <x:c r="I48" s="32"/>
      <x:c r="J48" s="32"/>
      <x:c r="K48" s="32"/>
      <x:c r="L48" s="32"/>
      <x:c r="M48" s="32"/>
      <x:c r="N48" s="32"/>
    </x:row>
    <x:row r="49">
      <x:c r="A49" s="32" t="n">
        <x:f>'BKR'!A15</x:f>
        <x:v>1374.3773376000001</x:v>
      </x:c>
      <x:c r="B49" s="32" t="n">
        <x:f>'BKR'!B15</x:f>
        <x:v>424896.5556028249</x:v>
      </x:c>
      <x:c r="C49" s="32" t="n">
        <x:f>'BKR'!A15</x:f>
        <x:v>1374.3773376000001</x:v>
      </x:c>
      <x:c r="D49" s="32" t="n">
        <x:f>'BKR'!C15</x:f>
        <x:v>26005.865076135517</x:v>
      </x:c>
      <x:c r="E49" s="32" t="n">
        <x:f>'BKR'!F15</x:f>
        <x:v>420453.3512868996</x:v>
      </x:c>
      <x:c r="F49" s="32"/>
      <x:c r="G49" s="32"/>
      <x:c r="H49" s="32"/>
      <x:c r="I49" s="32"/>
      <x:c r="J49" s="32"/>
      <x:c r="K49" s="32"/>
      <x:c r="L49" s="32"/>
      <x:c r="M49" s="32"/>
      <x:c r="N49" s="32"/>
    </x:row>
    <x:row r="50">
      <x:c r="A50" s="32" t="n">
        <x:f>'BKR'!A16</x:f>
        <x:v>1527.5362896000001</x:v>
      </x:c>
      <x:c r="B50" s="32" t="n">
        <x:f>'BKR'!B16</x:f>
        <x:v>458900.33700830623</x:v>
      </x:c>
      <x:c r="C50" s="32" t="n">
        <x:f>'BKR'!A16</x:f>
        <x:v>1527.5362896000001</x:v>
      </x:c>
      <x:c r="D50" s="32" t="n">
        <x:f>'BKR'!C16</x:f>
        <x:v>26000.50319459278</x:v>
      </x:c>
      <x:c r="E50" s="32" t="n">
        <x:f>'BKR'!F16</x:f>
        <x:v>457598.1401502997</x:v>
      </x:c>
      <x:c r="F50" s="32"/>
      <x:c r="G50" s="32"/>
      <x:c r="H50" s="32"/>
      <x:c r="I50" s="32"/>
      <x:c r="J50" s="32"/>
      <x:c r="K50" s="32"/>
      <x:c r="L50" s="32"/>
      <x:c r="M50" s="32"/>
      <x:c r="N50" s="32"/>
    </x:row>
    <x:row r="51">
      <x:c r="A51" s="32" t="n">
        <x:f>'BKR'!A17</x:f>
        <x:v>1565.8667184</x:v>
      </x:c>
      <x:c r="B51" s="32" t="n">
        <x:f>'BKR'!B17</x:f>
        <x:v>467010.8206480392</x:v>
      </x:c>
      <x:c r="C51" s="32" t="n">
        <x:f>'BKR'!A17</x:f>
        <x:v>1565.8667184</x:v>
      </x:c>
      <x:c r="D51" s="32" t="n">
        <x:f>'BKR'!C17</x:f>
        <x:v>26063.54587976688</x:v>
      </x:c>
      <x:c r="E51" s="32" t="n">
        <x:f>'BKR'!F17</x:f>
        <x:v>437759.0800950547</x:v>
      </x:c>
      <x:c r="F51" s="32"/>
      <x:c r="G51" s="32"/>
      <x:c r="H51" s="32"/>
      <x:c r="I51" s="32"/>
      <x:c r="J51" s="32"/>
      <x:c r="K51" s="32"/>
      <x:c r="L51" s="32"/>
      <x:c r="M51" s="32"/>
      <x:c r="N51" s="32"/>
    </x:row>
    <x:row r="52">
      <x:c r="A52" s="32" t="n">
        <x:f>'BKR'!A18</x:f>
        <x:v>1603.5857184000001</x:v>
      </x:c>
      <x:c r="B52" s="32" t="n">
        <x:f>'BKR'!B18</x:f>
        <x:v>475023.9437135505</x:v>
      </x:c>
      <x:c r="C52" s="32" t="n">
        <x:f>'BKR'!A18</x:f>
        <x:v>1603.5857184000001</x:v>
      </x:c>
      <x:c r="D52" s="32" t="n">
        <x:f>'BKR'!C18</x:f>
        <x:v>26057.450002018966</x:v>
      </x:c>
      <x:c r="E52" s="32" t="n">
        <x:f>'BKR'!F18</x:f>
        <x:v>446986.0882684575</x:v>
      </x:c>
      <x:c r="F52" s="32"/>
      <x:c r="G52" s="32"/>
      <x:c r="H52" s="32"/>
      <x:c r="I52" s="32"/>
      <x:c r="J52" s="32"/>
      <x:c r="K52" s="32"/>
      <x:c r="L52" s="32"/>
      <x:c r="M52" s="32"/>
      <x:c r="N52" s="32"/>
    </x:row>
    <x:row r="53">
      <x:c r="A53" s="32" t="n">
        <x:f>'BKR'!A19</x:f>
        <x:v>1640.9209752000002</x:v>
      </x:c>
      <x:c r="B53" s="32" t="n">
        <x:f>'BKR'!B19</x:f>
        <x:v>482983.18016497383</x:v>
      </x:c>
      <x:c r="C53" s="32" t="n">
        <x:f>'BKR'!A19</x:f>
        <x:v>1640.9209752000002</x:v>
      </x:c>
      <x:c r="D53" s="32" t="n">
        <x:f>'BKR'!C19</x:f>
        <x:v>26052.478179496877</x:v>
      </x:c>
      <x:c r="E53" s="32" t="n">
        <x:f>'BKR'!F19</x:f>
        <x:v>456048.6340034196</x:v>
      </x:c>
      <x:c r="F53" s="32"/>
      <x:c r="G53" s="32"/>
      <x:c r="H53" s="32"/>
      <x:c r="I53" s="32"/>
      <x:c r="J53" s="32"/>
      <x:c r="K53" s="32"/>
      <x:c r="L53" s="32"/>
      <x:c r="M53" s="32"/>
      <x:c r="N53" s="32"/>
    </x:row>
    <x:row r="54">
      <x:c r="A54" s="32" t="n">
        <x:f>'BKR'!A20</x:f>
        <x:v>1678.2970752</x:v>
      </x:c>
      <x:c r="B54" s="32" t="n">
        <x:f>'BKR'!B20</x:f>
        <x:v>490967.14040348405</x:v>
      </x:c>
      <x:c r="C54" s="32" t="n">
        <x:f>'BKR'!A20</x:f>
        <x:v>1678.2970752</x:v>
      </x:c>
      <x:c r="D54" s="32" t="n">
        <x:f>'BKR'!C20</x:f>
        <x:v>26049.99293454476</x:v>
      </x:c>
      <x:c r="E54" s="32" t="n">
        <x:f>'BKR'!F20</x:f>
        <x:v>464692.4760454514</x:v>
      </x:c>
      <x:c r="F54" s="32"/>
      <x:c r="G54" s="32"/>
      <x:c r="H54" s="32"/>
      <x:c r="I54" s="32"/>
      <x:c r="J54" s="32"/>
      <x:c r="K54" s="32"/>
      <x:c r="L54" s="32"/>
      <x:c r="M54" s="32"/>
      <x:c r="N54" s="32"/>
    </x:row>
    <x:row r="55">
      <x:c r="A55" s="32" t="n">
        <x:f>'BKR'!A21</x:f>
        <x:v>1716.1166592000002</x:v>
      </x:c>
      <x:c r="B55" s="32" t="n">
        <x:f>'BKR'!B21</x:f>
        <x:v>499038.4189947745</x:v>
      </x:c>
      <x:c r="C55" s="32" t="n">
        <x:f>'BKR'!A21</x:f>
        <x:v>1716.1166592000002</x:v>
      </x:c>
      <x:c r="D55" s="32" t="n">
        <x:f>'BKR'!C21</x:f>
        <x:v>26051.763234404643</x:v>
      </x:c>
      <x:c r="E55" s="32" t="n">
        <x:f>'BKR'!F21</x:f>
        <x:v>472459.81403843424</x:v>
      </x:c>
      <x:c r="F55" s="32"/>
      <x:c r="G55" s="32"/>
      <x:c r="H55" s="32"/>
      <x:c r="I55" s="32"/>
      <x:c r="J55" s="32"/>
      <x:c r="K55" s="32"/>
      <x:c r="L55" s="32"/>
      <x:c r="M55" s="32"/>
      <x:c r="N55" s="32"/>
    </x:row>
    <x:row r="56">
      <x:c r="A56" s="32" t="str">
        <x:f>"MD "&amp;'Unit Map'!$H$8</x:f>
        <x:v>MD m</x:v>
      </x:c>
      <x:c r="B56" s="32" t="str">
        <x:f>"Axial load "&amp;'Unit Map'!$H$14</x:f>
        <x:v>Axial load N</x:v>
      </x:c>
      <x:c r="C56" s="32" t="str">
        <x:f>"MD "&amp;'Unit Map'!$H$8</x:f>
        <x:v>MD m</x:v>
      </x:c>
      <x:c r="D56" s="32" t="str">
        <x:f>"Torque "&amp;'Unit Map'!$H$16</x:f>
        <x:v>Torque N-m</x:v>
      </x:c>
      <x:c r="E56" s="32" t="str">
        <x:f>"Buckling margin "&amp;'Unit Map'!$H$14</x:f>
        <x:v>Buckling margin N</x:v>
      </x:c>
      <x:c r="F56" s="32"/>
      <x:c r="G56" s="32"/>
      <x:c r="H56" s="32"/>
      <x:c r="I56" s="32"/>
      <x:c r="J56" s="32"/>
      <x:c r="K56" s="32"/>
      <x:c r="L56" s="32"/>
      <x:c r="M56" s="32"/>
      <x:c r="N56" s="32"/>
    </x:row>
    <x:row r="57">
      <x:c r="A57" s="32" t="n">
        <x:f>'SLD'!A6</x:f>
        <x:v>0</x:v>
      </x:c>
      <x:c r="B57" s="32" t="n">
        <x:f>'SLD'!B6</x:f>
        <x:v>120000</x:v>
      </x:c>
      <x:c r="C57" s="32" t="n">
        <x:f>'SLD'!A6</x:f>
        <x:v>0</x:v>
      </x:c>
      <x:c r="D57" s="32" t="n">
        <x:f>'SLD'!C6</x:f>
        <x:v>26000</x:v>
      </x:c>
      <x:c r="E57" s="32" t="n">
        <x:f>'SLD'!F6</x:f>
        <x:v>120000</x:v>
      </x:c>
      <x:c r="F57" s="32"/>
      <x:c r="G57" s="32"/>
      <x:c r="H57" s="32"/>
      <x:c r="I57" s="32"/>
      <x:c r="J57" s="32"/>
      <x:c r="K57" s="32"/>
      <x:c r="L57" s="32"/>
      <x:c r="M57" s="32"/>
      <x:c r="N57" s="32"/>
    </x:row>
    <x:row r="58">
      <x:c r="A58" s="32" t="n">
        <x:f>'SLD'!A7</x:f>
        <x:v>155.10875760000002</x:v>
      </x:c>
      <x:c r="B58" s="32" t="n">
        <x:f>'SLD'!B7</x:f>
        <x:v>154369.6247643189</x:v>
      </x:c>
      <x:c r="C58" s="32" t="n">
        <x:f>'SLD'!A7</x:f>
        <x:v>155.10875760000002</x:v>
      </x:c>
      <x:c r="D58" s="32" t="n">
        <x:f>'SLD'!C7</x:f>
        <x:v>26004.461212664428</x:v>
      </x:c>
      <x:c r="E58" s="32" t="n">
        <x:f>'SLD'!F7</x:f>
        <x:v>148277.64907962756</x:v>
      </x:c>
      <x:c r="F58" s="32"/>
      <x:c r="G58" s="32"/>
      <x:c r="H58" s="32"/>
      <x:c r="I58" s="32"/>
      <x:c r="J58" s="32"/>
      <x:c r="K58" s="32"/>
      <x:c r="L58" s="32"/>
      <x:c r="M58" s="32"/>
      <x:c r="N58" s="32"/>
    </x:row>
    <x:row r="59">
      <x:c r="A59" s="32" t="n">
        <x:f>'SLD'!A8</x:f>
        <x:v>307.974492</x:v>
      </x:c>
      <x:c r="B59" s="32" t="n">
        <x:f>'SLD'!B8</x:f>
        <x:v>188295.53791614895</x:v>
      </x:c>
      <x:c r="C59" s="32" t="n">
        <x:f>'SLD'!A8</x:f>
        <x:v>307.974492</x:v>
      </x:c>
      <x:c r="D59" s="32" t="n">
        <x:f>'SLD'!C8</x:f>
        <x:v>26001.011734897667</x:v>
      </x:c>
      <x:c r="E59" s="32" t="n">
        <x:f>'SLD'!F8</x:f>
        <x:v>185373.21536636283</x:v>
      </x:c>
      <x:c r="F59" s="32"/>
      <x:c r="G59" s="32"/>
      <x:c r="H59" s="32"/>
      <x:c r="I59" s="32"/>
      <x:c r="J59" s="32"/>
      <x:c r="K59" s="32"/>
      <x:c r="L59" s="32"/>
      <x:c r="M59" s="32"/>
      <x:c r="N59" s="32"/>
    </x:row>
    <x:row r="60">
      <x:c r="A60" s="32" t="n">
        <x:f>'SLD'!A9</x:f>
        <x:v>460.2227016</x:v>
      </x:c>
      <x:c r="B60" s="32" t="n">
        <x:f>'SLD'!B9</x:f>
        <x:v>222078.4629496525</x:v>
      </x:c>
      <x:c r="C60" s="32" t="n">
        <x:f>'SLD'!A9</x:f>
        <x:v>460.2227016</x:v>
      </x:c>
      <x:c r="D60" s="32" t="n">
        <x:f>'SLD'!C9</x:f>
        <x:v>26001.384783222413</x:v>
      </x:c>
      <x:c r="E60" s="32" t="n">
        <x:f>'SLD'!F9</x:f>
        <x:v>218652.64202921969</x:v>
      </x:c>
      <x:c r="F60" s="32"/>
      <x:c r="G60" s="32"/>
      <x:c r="H60" s="32"/>
      <x:c r="I60" s="32"/>
      <x:c r="J60" s="32"/>
      <x:c r="K60" s="32"/>
      <x:c r="L60" s="32"/>
      <x:c r="M60" s="32"/>
      <x:c r="N60" s="32"/>
    </x:row>
    <x:row r="61">
      <x:c r="A61" s="32" t="n">
        <x:f>'SLD'!A10</x:f>
        <x:v>611.9649432</x:v>
      </x:c>
      <x:c r="B61" s="32" t="n">
        <x:f>'SLD'!B10</x:f>
        <x:v>255741.63319933537</x:v>
      </x:c>
      <x:c r="C61" s="32" t="n">
        <x:f>'SLD'!A10</x:f>
        <x:v>611.9649432</x:v>
      </x:c>
      <x:c r="D61" s="32" t="n">
        <x:f>'SLD'!C10</x:f>
        <x:v>26001.855392975416</x:v>
      </x:c>
      <x:c r="E61" s="32" t="n">
        <x:f>'SLD'!F10</x:f>
        <x:v>251769.58450503703</x:v>
      </x:c>
      <x:c r="F61" s="32"/>
      <x:c r="G61" s="32"/>
      <x:c r="H61" s="32"/>
      <x:c r="I61" s="32"/>
      <x:c r="J61" s="32"/>
      <x:c r="K61" s="32"/>
      <x:c r="L61" s="32"/>
      <x:c r="M61" s="32"/>
      <x:c r="N61" s="32"/>
    </x:row>
    <x:row r="62">
      <x:c r="A62" s="32" t="n">
        <x:f>'SLD'!A11</x:f>
        <x:v>763.5706344</x:v>
      </x:c>
      <x:c r="B62" s="32" t="n">
        <x:f>'SLD'!B11</x:f>
        <x:v>289363.3695426456</x:v>
      </x:c>
      <x:c r="C62" s="32" t="n">
        <x:f>'SLD'!A11</x:f>
        <x:v>763.5706344</x:v>
      </x:c>
      <x:c r="D62" s="32" t="n">
        <x:f>'SLD'!C11</x:f>
        <x:v>26002.561174391056</x:v>
      </x:c>
      <x:c r="E62" s="32" t="n">
        <x:f>'SLD'!F11</x:f>
        <x:v>284694.5006284608</x:v>
      </x:c>
      <x:c r="F62" s="32"/>
      <x:c r="G62" s="32"/>
      <x:c r="H62" s="32"/>
      <x:c r="I62" s="32"/>
      <x:c r="J62" s="32"/>
      <x:c r="K62" s="32"/>
      <x:c r="L62" s="32"/>
      <x:c r="M62" s="32"/>
      <x:c r="N62" s="32"/>
    </x:row>
    <x:row r="63">
      <x:c r="A63" s="32" t="n">
        <x:f>'SLD'!A12</x:f>
        <x:v>915.4786872000001</x:v>
      </x:c>
      <x:c r="B63" s="32" t="n">
        <x:f>'SLD'!B12</x:f>
        <x:v>323083.07275547064</x:v>
      </x:c>
      <x:c r="C63" s="32" t="n">
        <x:f>'SLD'!A12</x:f>
        <x:v>915.4786872000001</x:v>
      </x:c>
      <x:c r="D63" s="32" t="n">
        <x:f>'SLD'!C12</x:f>
        <x:v>26000.60337966328</x:v>
      </x:c>
      <x:c r="E63" s="32" t="n">
        <x:f>'SLD'!F12</x:f>
        <x:v>320819.18550648727</x:v>
      </x:c>
      <x:c r="F63" s="32"/>
      <x:c r="G63" s="32"/>
      <x:c r="H63" s="32"/>
      <x:c r="I63" s="32"/>
      <x:c r="J63" s="32"/>
      <x:c r="K63" s="32"/>
      <x:c r="L63" s="32"/>
      <x:c r="M63" s="32"/>
      <x:c r="N63" s="32"/>
    </x:row>
    <x:row r="64">
      <x:c r="A64" s="32" t="n">
        <x:f>'SLD'!A13</x:f>
        <x:v>1067.9740896</x:v>
      </x:c>
      <x:c r="B64" s="32" t="n">
        <x:f>'SLD'!B13</x:f>
        <x:v>356915.17598741263</x:v>
      </x:c>
      <x:c r="C64" s="32" t="n">
        <x:f>'SLD'!A13</x:f>
        <x:v>1067.9740896</x:v>
      </x:c>
      <x:c r="D64" s="32" t="n">
        <x:f>'SLD'!C13</x:f>
        <x:v>26001.747224985967</x:v>
      </x:c>
      <x:c r="E64" s="32" t="n">
        <x:f>'SLD'!F13</x:f>
        <x:v>353070.17993438535</x:v>
      </x:c>
      <x:c r="F64" s="32"/>
      <x:c r="G64" s="32"/>
      <x:c r="H64" s="32"/>
      <x:c r="I64" s="32"/>
      <x:c r="J64" s="32"/>
      <x:c r="K64" s="32"/>
      <x:c r="L64" s="32"/>
      <x:c r="M64" s="32"/>
      <x:c r="N64" s="32"/>
    </x:row>
    <x:row r="65">
      <x:c r="A65" s="32" t="n">
        <x:f>'SLD'!A14</x:f>
        <x:v>1221.042516</x:v>
      </x:c>
      <x:c r="B65" s="32" t="n">
        <x:f>'SLD'!B14</x:f>
        <x:v>390887.50027428183</x:v>
      </x:c>
      <x:c r="C65" s="32" t="n">
        <x:f>'SLD'!A14</x:f>
        <x:v>1221.042516</x:v>
      </x:c>
      <x:c r="D65" s="32" t="n">
        <x:f>'SLD'!C14</x:f>
        <x:v>26000.922452911855</x:v>
      </x:c>
      <x:c r="E65" s="32" t="n">
        <x:f>'SLD'!F14</x:f>
        <x:v>388098.94567726733</x:v>
      </x:c>
      <x:c r="F65" s="32"/>
      <x:c r="G65" s="32"/>
      <x:c r="H65" s="32"/>
      <x:c r="I65" s="32"/>
      <x:c r="J65" s="32"/>
      <x:c r="K65" s="32"/>
      <x:c r="L65" s="32"/>
      <x:c r="M65" s="32"/>
      <x:c r="N65" s="32"/>
    </x:row>
    <x:row r="66">
      <x:c r="A66" s="32" t="n">
        <x:f>'SLD'!A15</x:f>
        <x:v>1374.3773376000001</x:v>
      </x:c>
      <x:c r="B66" s="32" t="n">
        <x:f>'SLD'!B15</x:f>
        <x:v>424896.5556028249</x:v>
      </x:c>
      <x:c r="C66" s="32" t="n">
        <x:f>'SLD'!A15</x:f>
        <x:v>1374.3773376000001</x:v>
      </x:c>
      <x:c r="D66" s="32" t="n">
        <x:f>'SLD'!C15</x:f>
        <x:v>26002.346030454206</x:v>
      </x:c>
      <x:c r="E66" s="32" t="n">
        <x:f>'SLD'!F15</x:f>
        <x:v>420453.3512868996</x:v>
      </x:c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 t="n">
        <x:f>'SLD'!A16</x:f>
        <x:v>1527.5362896000001</x:v>
      </x:c>
      <x:c r="B67" s="32" t="n">
        <x:f>'SLD'!B16</x:f>
        <x:v>458900.33700830623</x:v>
      </x:c>
      <x:c r="C67" s="32" t="n">
        <x:f>'SLD'!A16</x:f>
        <x:v>1527.5362896000001</x:v>
      </x:c>
      <x:c r="D67" s="32" t="n">
        <x:f>'SLD'!C16</x:f>
        <x:v>26000.201277837114</x:v>
      </x:c>
      <x:c r="E67" s="32" t="n">
        <x:f>'SLD'!F16</x:f>
        <x:v>457598.1401502997</x:v>
      </x:c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 t="n">
        <x:f>'SLD'!A17</x:f>
        <x:v>1565.8667184</x:v>
      </x:c>
      <x:c r="B68" s="32" t="n">
        <x:f>'SLD'!B17</x:f>
        <x:v>467010.8206480392</x:v>
      </x:c>
      <x:c r="C68" s="32" t="n">
        <x:f>'SLD'!A17</x:f>
        <x:v>1565.8667184</x:v>
      </x:c>
      <x:c r="D68" s="32" t="n">
        <x:f>'SLD'!C17</x:f>
        <x:v>26025.418351906752</x:v>
      </x:c>
      <x:c r="E68" s="32" t="n">
        <x:f>'SLD'!F17</x:f>
        <x:v>437759.0800950547</x:v>
      </x:c>
      <x:c r="F68" s="32"/>
      <x:c r="G68" s="32"/>
      <x:c r="H68" s="32"/>
      <x:c r="I68" s="32"/>
      <x:c r="J68" s="32"/>
      <x:c r="K68" s="32"/>
      <x:c r="L68" s="32"/>
      <x:c r="M68" s="32"/>
      <x:c r="N68" s="32"/>
    </x:row>
    <x:row r="69">
      <x:c r="A69" s="32" t="n">
        <x:f>'SLD'!A18</x:f>
        <x:v>1603.5857184000001</x:v>
      </x:c>
      <x:c r="B69" s="32" t="n">
        <x:f>'SLD'!B18</x:f>
        <x:v>475023.9437135505</x:v>
      </x:c>
      <x:c r="C69" s="32" t="n">
        <x:f>'SLD'!A18</x:f>
        <x:v>1603.5857184000001</x:v>
      </x:c>
      <x:c r="D69" s="32" t="n">
        <x:f>'SLD'!C18</x:f>
        <x:v>26022.980000807587</x:v>
      </x:c>
      <x:c r="E69" s="32" t="n">
        <x:f>'SLD'!F18</x:f>
        <x:v>446986.0882684575</x:v>
      </x:c>
      <x:c r="F69" s="32"/>
      <x:c r="G69" s="32"/>
      <x:c r="H69" s="32"/>
      <x:c r="I69" s="32"/>
      <x:c r="J69" s="32"/>
      <x:c r="K69" s="32"/>
      <x:c r="L69" s="32"/>
      <x:c r="M69" s="32"/>
      <x:c r="N69" s="32"/>
    </x:row>
    <x:row r="70">
      <x:c r="A70" s="32" t="n">
        <x:f>'SLD'!A19</x:f>
        <x:v>1640.9209752000002</x:v>
      </x:c>
      <x:c r="B70" s="32" t="n">
        <x:f>'SLD'!B19</x:f>
        <x:v>482983.18016497383</x:v>
      </x:c>
      <x:c r="C70" s="32" t="n">
        <x:f>'SLD'!A19</x:f>
        <x:v>1640.9209752000002</x:v>
      </x:c>
      <x:c r="D70" s="32" t="n">
        <x:f>'SLD'!C19</x:f>
        <x:v>26020.99127179875</x:v>
      </x:c>
      <x:c r="E70" s="32" t="n">
        <x:f>'SLD'!F19</x:f>
        <x:v>456048.6340034196</x:v>
      </x:c>
      <x:c r="F70" s="32"/>
      <x:c r="G70" s="32"/>
      <x:c r="H70" s="32"/>
      <x:c r="I70" s="32"/>
      <x:c r="J70" s="32"/>
      <x:c r="K70" s="32"/>
      <x:c r="L70" s="32"/>
      <x:c r="M70" s="32"/>
      <x:c r="N70" s="32"/>
    </x:row>
    <x:row r="71">
      <x:c r="A71" s="32" t="n">
        <x:f>'SLD'!A20</x:f>
        <x:v>1678.2970752</x:v>
      </x:c>
      <x:c r="B71" s="32" t="n">
        <x:f>'SLD'!B20</x:f>
        <x:v>490967.14040348405</x:v>
      </x:c>
      <x:c r="C71" s="32" t="n">
        <x:f>'SLD'!A20</x:f>
        <x:v>1678.2970752</x:v>
      </x:c>
      <x:c r="D71" s="32" t="n">
        <x:f>'SLD'!C20</x:f>
        <x:v>26019.997173817905</x:v>
      </x:c>
      <x:c r="E71" s="32" t="n">
        <x:f>'SLD'!F20</x:f>
        <x:v>464692.4760454514</x:v>
      </x:c>
      <x:c r="F71" s="32"/>
      <x:c r="G71" s="32"/>
      <x:c r="H71" s="32"/>
      <x:c r="I71" s="32"/>
      <x:c r="J71" s="32"/>
      <x:c r="K71" s="32"/>
      <x:c r="L71" s="32"/>
      <x:c r="M71" s="32"/>
      <x:c r="N71" s="32"/>
    </x:row>
    <x:row r="72">
      <x:c r="A72" s="32" t="n">
        <x:f>'SLD'!A21</x:f>
        <x:v>1716.1166592000002</x:v>
      </x:c>
      <x:c r="B72" s="32" t="n">
        <x:f>'SLD'!B21</x:f>
        <x:v>499038.4189947745</x:v>
      </x:c>
      <x:c r="C72" s="32" t="n">
        <x:f>'SLD'!A21</x:f>
        <x:v>1716.1166592000002</x:v>
      </x:c>
      <x:c r="D72" s="32" t="n">
        <x:f>'SLD'!C21</x:f>
        <x:v>26020.705293761857</x:v>
      </x:c>
      <x:c r="E72" s="32" t="n">
        <x:f>'SLD'!F21</x:f>
        <x:v>472459.81403843424</x:v>
      </x:c>
      <x:c r="F72" s="32"/>
      <x:c r="G72" s="32"/>
      <x:c r="H72" s="32"/>
      <x:c r="I72" s="32"/>
      <x:c r="J72" s="32"/>
      <x:c r="K72" s="32"/>
      <x:c r="L72" s="32"/>
      <x:c r="M72" s="32"/>
      <x:c r="N72" s="32"/>
    </x:row>
    <x:row r="73">
      <x:c r="A73" s="32" t="str">
        <x:f>"MD "&amp;'Unit Map'!$H$8</x:f>
        <x:v>MD m</x:v>
      </x:c>
      <x:c r="B73" s="32" t="str">
        <x:f>"Axial load "&amp;'Unit Map'!$H$14</x:f>
        <x:v>Axial load N</x:v>
      </x:c>
      <x:c r="C73" s="32" t="str">
        <x:f>"MD "&amp;'Unit Map'!$H$8</x:f>
        <x:v>MD m</x:v>
      </x:c>
      <x:c r="D73" s="32" t="str">
        <x:f>"Torque "&amp;'Unit Map'!$H$16</x:f>
        <x:v>Torque N-m</x:v>
      </x:c>
      <x:c r="E73" s="32" t="str">
        <x:f>"Buckling margin "&amp;'Unit Map'!$H$14</x:f>
        <x:v>Buckling margin N</x:v>
      </x:c>
      <x:c r="F73" s="32"/>
      <x:c r="G73" s="32"/>
      <x:c r="H73" s="32"/>
      <x:c r="I73" s="32"/>
      <x:c r="J73" s="32"/>
      <x:c r="K73" s="32"/>
      <x:c r="L73" s="32"/>
      <x:c r="M73" s="32"/>
      <x:c r="N73" s="32"/>
    </x:row>
    <x:row r="74">
      <x:c r="A74" s="32" t="n">
        <x:f>'ROT'!A6</x:f>
        <x:v>0</x:v>
      </x:c>
      <x:c r="B74" s="32" t="n">
        <x:f>'ROT'!B6</x:f>
        <x:v>120000</x:v>
      </x:c>
      <x:c r="C74" s="32" t="n">
        <x:f>'ROT'!A6</x:f>
        <x:v>0</x:v>
      </x:c>
      <x:c r="D74" s="32" t="n">
        <x:f>'ROT'!C6</x:f>
        <x:v>26000</x:v>
      </x:c>
      <x:c r="E74" s="32" t="n">
        <x:f>'ROT'!F6</x:f>
        <x:v>120000</x:v>
      </x:c>
      <x:c r="F74" s="32"/>
      <x:c r="G74" s="32"/>
      <x:c r="H74" s="32"/>
      <x:c r="I74" s="32"/>
      <x:c r="J74" s="32"/>
      <x:c r="K74" s="32"/>
      <x:c r="L74" s="32"/>
      <x:c r="M74" s="32"/>
      <x:c r="N74" s="32"/>
    </x:row>
    <x:row r="75">
      <x:c r="A75" s="32" t="n">
        <x:f>'ROT'!A7</x:f>
        <x:v>155.10875760000002</x:v>
      </x:c>
      <x:c r="B75" s="32" t="n">
        <x:f>'ROT'!B7</x:f>
        <x:v>154369.6247643189</x:v>
      </x:c>
      <x:c r="C75" s="32" t="n">
        <x:f>'ROT'!A7</x:f>
        <x:v>155.10875760000002</x:v>
      </x:c>
      <x:c r="D75" s="32" t="n">
        <x:f>'ROT'!C7</x:f>
        <x:v>26008.922425328856</x:v>
      </x:c>
      <x:c r="E75" s="32" t="n">
        <x:f>'ROT'!F7</x:f>
        <x:v>148277.64907962756</x:v>
      </x:c>
      <x:c r="F75" s="32"/>
      <x:c r="G75" s="32"/>
      <x:c r="H75" s="32"/>
      <x:c r="I75" s="32"/>
      <x:c r="J75" s="32"/>
      <x:c r="K75" s="32"/>
      <x:c r="L75" s="32"/>
      <x:c r="M75" s="32"/>
      <x:c r="N75" s="32"/>
    </x:row>
    <x:row r="76">
      <x:c r="A76" s="32" t="n">
        <x:f>'ROT'!A8</x:f>
        <x:v>307.974492</x:v>
      </x:c>
      <x:c r="B76" s="32" t="n">
        <x:f>'ROT'!B8</x:f>
        <x:v>188295.53791614895</x:v>
      </x:c>
      <x:c r="C76" s="32" t="n">
        <x:f>'ROT'!A8</x:f>
        <x:v>307.974492</x:v>
      </x:c>
      <x:c r="D76" s="32" t="n">
        <x:f>'ROT'!C8</x:f>
        <x:v>26002.02346979533</x:v>
      </x:c>
      <x:c r="E76" s="32" t="n">
        <x:f>'ROT'!F8</x:f>
        <x:v>185373.21536636283</x:v>
      </x:c>
      <x:c r="F76" s="32"/>
      <x:c r="G76" s="32"/>
      <x:c r="H76" s="32"/>
      <x:c r="I76" s="32"/>
      <x:c r="J76" s="32"/>
      <x:c r="K76" s="32"/>
      <x:c r="L76" s="32"/>
      <x:c r="M76" s="32"/>
      <x:c r="N76" s="32"/>
    </x:row>
    <x:row r="77">
      <x:c r="A77" s="32" t="n">
        <x:f>'ROT'!A9</x:f>
        <x:v>460.2227016</x:v>
      </x:c>
      <x:c r="B77" s="32" t="n">
        <x:f>'ROT'!B9</x:f>
        <x:v>222078.4629496525</x:v>
      </x:c>
      <x:c r="C77" s="32" t="n">
        <x:f>'ROT'!A9</x:f>
        <x:v>460.2227016</x:v>
      </x:c>
      <x:c r="D77" s="32" t="n">
        <x:f>'ROT'!C9</x:f>
        <x:v>26002.769566444822</x:v>
      </x:c>
      <x:c r="E77" s="32" t="n">
        <x:f>'ROT'!F9</x:f>
        <x:v>218652.64202921969</x:v>
      </x:c>
      <x:c r="F77" s="32"/>
      <x:c r="G77" s="32"/>
      <x:c r="H77" s="32"/>
      <x:c r="I77" s="32"/>
      <x:c r="J77" s="32"/>
      <x:c r="K77" s="32"/>
      <x:c r="L77" s="32"/>
      <x:c r="M77" s="32"/>
      <x:c r="N77" s="32"/>
    </x:row>
    <x:row r="78">
      <x:c r="A78" s="32" t="n">
        <x:f>'ROT'!A10</x:f>
        <x:v>611.9649432</x:v>
      </x:c>
      <x:c r="B78" s="32" t="n">
        <x:f>'ROT'!B10</x:f>
        <x:v>255741.63319933537</x:v>
      </x:c>
      <x:c r="C78" s="32" t="n">
        <x:f>'ROT'!A10</x:f>
        <x:v>611.9649432</x:v>
      </x:c>
      <x:c r="D78" s="32" t="n">
        <x:f>'ROT'!C10</x:f>
        <x:v>26003.710785950836</x:v>
      </x:c>
      <x:c r="E78" s="32" t="n">
        <x:f>'ROT'!F10</x:f>
        <x:v>251769.58450503703</x:v>
      </x:c>
      <x:c r="F78" s="32"/>
      <x:c r="G78" s="32"/>
      <x:c r="H78" s="32"/>
      <x:c r="I78" s="32"/>
      <x:c r="J78" s="32"/>
      <x:c r="K78" s="32"/>
      <x:c r="L78" s="32"/>
      <x:c r="M78" s="32"/>
      <x:c r="N78" s="32"/>
    </x:row>
    <x:row r="79">
      <x:c r="A79" s="32" t="n">
        <x:f>'ROT'!A11</x:f>
        <x:v>763.5706344</x:v>
      </x:c>
      <x:c r="B79" s="32" t="n">
        <x:f>'ROT'!B11</x:f>
        <x:v>289363.3695426456</x:v>
      </x:c>
      <x:c r="C79" s="32" t="n">
        <x:f>'ROT'!A11</x:f>
        <x:v>763.5706344</x:v>
      </x:c>
      <x:c r="D79" s="32" t="n">
        <x:f>'ROT'!C11</x:f>
        <x:v>26005.12234878211</x:v>
      </x:c>
      <x:c r="E79" s="32" t="n">
        <x:f>'ROT'!F11</x:f>
        <x:v>284694.5006284608</x:v>
      </x:c>
      <x:c r="F79" s="32"/>
      <x:c r="G79" s="32"/>
      <x:c r="H79" s="32"/>
      <x:c r="I79" s="32"/>
      <x:c r="J79" s="32"/>
      <x:c r="K79" s="32"/>
      <x:c r="L79" s="32"/>
      <x:c r="M79" s="32"/>
      <x:c r="N79" s="32"/>
    </x:row>
    <x:row r="80">
      <x:c r="A80" s="32" t="n">
        <x:f>'ROT'!A12</x:f>
        <x:v>915.4786872000001</x:v>
      </x:c>
      <x:c r="B80" s="32" t="n">
        <x:f>'ROT'!B12</x:f>
        <x:v>323083.07275547064</x:v>
      </x:c>
      <x:c r="C80" s="32" t="n">
        <x:f>'ROT'!A12</x:f>
        <x:v>915.4786872000001</x:v>
      </x:c>
      <x:c r="D80" s="32" t="n">
        <x:f>'ROT'!C12</x:f>
        <x:v>26001.206759326556</x:v>
      </x:c>
      <x:c r="E80" s="32" t="n">
        <x:f>'ROT'!F12</x:f>
        <x:v>320819.18550648727</x:v>
      </x:c>
      <x:c r="F80" s="32"/>
      <x:c r="G80" s="32"/>
      <x:c r="H80" s="32"/>
      <x:c r="I80" s="32"/>
      <x:c r="J80" s="32"/>
      <x:c r="K80" s="32"/>
      <x:c r="L80" s="32"/>
      <x:c r="M80" s="32"/>
      <x:c r="N80" s="32"/>
    </x:row>
    <x:row r="81">
      <x:c r="A81" s="32" t="n">
        <x:f>'ROT'!A13</x:f>
        <x:v>1067.9740896</x:v>
      </x:c>
      <x:c r="B81" s="32" t="n">
        <x:f>'ROT'!B13</x:f>
        <x:v>356915.17598741263</x:v>
      </x:c>
      <x:c r="C81" s="32" t="n">
        <x:f>'ROT'!A13</x:f>
        <x:v>1067.9740896</x:v>
      </x:c>
      <x:c r="D81" s="32" t="n">
        <x:f>'ROT'!C13</x:f>
        <x:v>26003.49444997194</x:v>
      </x:c>
      <x:c r="E81" s="32" t="n">
        <x:f>'ROT'!F13</x:f>
        <x:v>353070.17993438535</x:v>
      </x:c>
      <x:c r="F81" s="32"/>
      <x:c r="G81" s="32"/>
      <x:c r="H81" s="32"/>
      <x:c r="I81" s="32"/>
      <x:c r="J81" s="32"/>
      <x:c r="K81" s="32"/>
      <x:c r="L81" s="32"/>
      <x:c r="M81" s="32"/>
      <x:c r="N81" s="32"/>
    </x:row>
    <x:row r="82">
      <x:c r="A82" s="32" t="n">
        <x:f>'ROT'!A14</x:f>
        <x:v>1221.042516</x:v>
      </x:c>
      <x:c r="B82" s="32" t="n">
        <x:f>'ROT'!B14</x:f>
        <x:v>390887.50027428183</x:v>
      </x:c>
      <x:c r="C82" s="32" t="n">
        <x:f>'ROT'!A14</x:f>
        <x:v>1221.042516</x:v>
      </x:c>
      <x:c r="D82" s="32" t="n">
        <x:f>'ROT'!C14</x:f>
        <x:v>26001.844905823713</x:v>
      </x:c>
      <x:c r="E82" s="32" t="n">
        <x:f>'ROT'!F14</x:f>
        <x:v>388098.94567726733</x:v>
      </x:c>
      <x:c r="F82" s="32"/>
      <x:c r="G82" s="32"/>
      <x:c r="H82" s="32"/>
      <x:c r="I82" s="32"/>
      <x:c r="J82" s="32"/>
      <x:c r="K82" s="32"/>
      <x:c r="L82" s="32"/>
      <x:c r="M82" s="32"/>
      <x:c r="N82" s="32"/>
    </x:row>
    <x:row r="83">
      <x:c r="A83" s="32" t="n">
        <x:f>'ROT'!A15</x:f>
        <x:v>1374.3773376000001</x:v>
      </x:c>
      <x:c r="B83" s="32" t="n">
        <x:f>'ROT'!B15</x:f>
        <x:v>424896.5556028249</x:v>
      </x:c>
      <x:c r="C83" s="32" t="n">
        <x:f>'ROT'!A15</x:f>
        <x:v>1374.3773376000001</x:v>
      </x:c>
      <x:c r="D83" s="32" t="n">
        <x:f>'ROT'!C15</x:f>
        <x:v>26004.692060908415</x:v>
      </x:c>
      <x:c r="E83" s="32" t="n">
        <x:f>'ROT'!F15</x:f>
        <x:v>420453.3512868996</x:v>
      </x:c>
      <x:c r="F83" s="32"/>
      <x:c r="G83" s="32"/>
      <x:c r="H83" s="32"/>
      <x:c r="I83" s="32"/>
      <x:c r="J83" s="32"/>
      <x:c r="K83" s="32"/>
      <x:c r="L83" s="32"/>
      <x:c r="M83" s="32"/>
      <x:c r="N83" s="32"/>
    </x:row>
    <x:row r="84">
      <x:c r="A84" s="32" t="n">
        <x:f>'ROT'!A16</x:f>
        <x:v>1527.5362896000001</x:v>
      </x:c>
      <x:c r="B84" s="32" t="n">
        <x:f>'ROT'!B16</x:f>
        <x:v>458900.33700830623</x:v>
      </x:c>
      <x:c r="C84" s="32" t="n">
        <x:f>'ROT'!A16</x:f>
        <x:v>1527.5362896000001</x:v>
      </x:c>
      <x:c r="D84" s="32" t="n">
        <x:f>'ROT'!C16</x:f>
        <x:v>26000.402555674227</x:v>
      </x:c>
      <x:c r="E84" s="32" t="n">
        <x:f>'ROT'!F16</x:f>
        <x:v>457598.1401502997</x:v>
      </x:c>
      <x:c r="F84" s="32"/>
      <x:c r="G84" s="32"/>
      <x:c r="H84" s="32"/>
      <x:c r="I84" s="32"/>
      <x:c r="J84" s="32"/>
      <x:c r="K84" s="32"/>
      <x:c r="L84" s="32"/>
      <x:c r="M84" s="32"/>
      <x:c r="N84" s="32"/>
    </x:row>
    <x:row r="85">
      <x:c r="A85" s="32" t="n">
        <x:f>'ROT'!A17</x:f>
        <x:v>1565.8667184</x:v>
      </x:c>
      <x:c r="B85" s="32" t="n">
        <x:f>'ROT'!B17</x:f>
        <x:v>467010.8206480392</x:v>
      </x:c>
      <x:c r="C85" s="32" t="n">
        <x:f>'ROT'!A17</x:f>
        <x:v>1565.8667184</x:v>
      </x:c>
      <x:c r="D85" s="32" t="n">
        <x:f>'ROT'!C17</x:f>
        <x:v>26050.836703813504</x:v>
      </x:c>
      <x:c r="E85" s="32" t="n">
        <x:f>'ROT'!F17</x:f>
        <x:v>437759.0800950547</x:v>
      </x:c>
      <x:c r="F85" s="32"/>
      <x:c r="G85" s="32"/>
      <x:c r="H85" s="32"/>
      <x:c r="I85" s="32"/>
      <x:c r="J85" s="32"/>
      <x:c r="K85" s="32"/>
      <x:c r="L85" s="32"/>
      <x:c r="M85" s="32"/>
      <x:c r="N85" s="32"/>
    </x:row>
    <x:row r="86">
      <x:c r="A86" s="32" t="n">
        <x:f>'ROT'!A18</x:f>
        <x:v>1603.5857184000001</x:v>
      </x:c>
      <x:c r="B86" s="32" t="n">
        <x:f>'ROT'!B18</x:f>
        <x:v>475023.9437135505</x:v>
      </x:c>
      <x:c r="C86" s="32" t="n">
        <x:f>'ROT'!A18</x:f>
        <x:v>1603.5857184000001</x:v>
      </x:c>
      <x:c r="D86" s="32" t="n">
        <x:f>'ROT'!C18</x:f>
        <x:v>26045.960001615174</x:v>
      </x:c>
      <x:c r="E86" s="32" t="n">
        <x:f>'ROT'!F18</x:f>
        <x:v>446986.0882684575</x:v>
      </x:c>
      <x:c r="F86" s="32"/>
      <x:c r="G86" s="32"/>
      <x:c r="H86" s="32"/>
      <x:c r="I86" s="32"/>
      <x:c r="J86" s="32"/>
      <x:c r="K86" s="32"/>
      <x:c r="L86" s="32"/>
      <x:c r="M86" s="32"/>
      <x:c r="N86" s="32"/>
    </x:row>
    <x:row r="87">
      <x:c r="A87" s="32" t="n">
        <x:f>'ROT'!A19</x:f>
        <x:v>1640.9209752000002</x:v>
      </x:c>
      <x:c r="B87" s="32" t="n">
        <x:f>'ROT'!B19</x:f>
        <x:v>482983.18016497383</x:v>
      </x:c>
      <x:c r="C87" s="32" t="n">
        <x:f>'ROT'!A19</x:f>
        <x:v>1640.9209752000002</x:v>
      </x:c>
      <x:c r="D87" s="32" t="n">
        <x:f>'ROT'!C19</x:f>
        <x:v>26041.982543597504</x:v>
      </x:c>
      <x:c r="E87" s="32" t="n">
        <x:f>'ROT'!F19</x:f>
        <x:v>456048.6340034196</x:v>
      </x:c>
      <x:c r="F87" s="32"/>
      <x:c r="G87" s="32"/>
      <x:c r="H87" s="32"/>
      <x:c r="I87" s="32"/>
      <x:c r="J87" s="32"/>
      <x:c r="K87" s="32"/>
      <x:c r="L87" s="32"/>
      <x:c r="M87" s="32"/>
      <x:c r="N87" s="32"/>
    </x:row>
    <x:row r="88">
      <x:c r="A88" s="32" t="n">
        <x:f>'ROT'!A20</x:f>
        <x:v>1678.2970752</x:v>
      </x:c>
      <x:c r="B88" s="32" t="n">
        <x:f>'ROT'!B20</x:f>
        <x:v>490967.14040348405</x:v>
      </x:c>
      <x:c r="C88" s="32" t="n">
        <x:f>'ROT'!A20</x:f>
        <x:v>1678.2970752</x:v>
      </x:c>
      <x:c r="D88" s="32" t="n">
        <x:f>'ROT'!C20</x:f>
        <x:v>26039.994347635806</x:v>
      </x:c>
      <x:c r="E88" s="32" t="n">
        <x:f>'ROT'!F20</x:f>
        <x:v>464692.4760454514</x:v>
      </x:c>
      <x:c r="F88" s="32"/>
      <x:c r="G88" s="32"/>
      <x:c r="H88" s="32"/>
      <x:c r="I88" s="32"/>
      <x:c r="J88" s="32"/>
      <x:c r="K88" s="32"/>
      <x:c r="L88" s="32"/>
      <x:c r="M88" s="32"/>
      <x:c r="N88" s="32"/>
    </x:row>
    <x:row r="89">
      <x:c r="A89" s="32" t="n">
        <x:f>'ROT'!A21</x:f>
        <x:v>1716.1166592000002</x:v>
      </x:c>
      <x:c r="B89" s="32" t="n">
        <x:f>'ROT'!B21</x:f>
        <x:v>499038.4189947745</x:v>
      </x:c>
      <x:c r="C89" s="32" t="n">
        <x:f>'ROT'!A21</x:f>
        <x:v>1716.1166592000002</x:v>
      </x:c>
      <x:c r="D89" s="32" t="n">
        <x:f>'ROT'!C21</x:f>
        <x:v>26041.410587523715</x:v>
      </x:c>
      <x:c r="E89" s="32" t="n">
        <x:f>'ROT'!F21</x:f>
        <x:v>472459.81403843424</x:v>
      </x:c>
      <x:c r="F89" s="32"/>
      <x:c r="G89" s="32"/>
      <x:c r="H89" s="32"/>
      <x:c r="I89" s="32"/>
      <x:c r="J89" s="32"/>
      <x:c r="K89" s="32"/>
      <x:c r="L89" s="32"/>
      <x:c r="M89" s="32"/>
      <x:c r="N89" s="32"/>
    </x:row>
    <x:row r="90">
      <x:c r="A90" s="32" t="str">
        <x:f>"MD "&amp;'Unit Map'!$H$8</x:f>
        <x:v>MD m</x:v>
      </x:c>
      <x:c r="B90" s="32" t="str">
        <x:f>"Axial load "&amp;'Unit Map'!$H$14</x:f>
        <x:v>Axial load N</x:v>
      </x:c>
      <x:c r="C90" s="32" t="str">
        <x:f>"MD "&amp;'Unit Map'!$H$8</x:f>
        <x:v>MD m</x:v>
      </x:c>
      <x:c r="D90" s="32" t="str">
        <x:f>"Torque "&amp;'Unit Map'!$H$16</x:f>
        <x:v>Torque N-m</x:v>
      </x:c>
      <x:c r="E90" s="32" t="str">
        <x:f>"Buckling margin "&amp;'Unit Map'!$H$14</x:f>
        <x:v>Buckling margin N</x:v>
      </x:c>
      <x:c r="F90" s="32"/>
      <x:c r="G90" s="32"/>
      <x:c r="H90" s="32"/>
      <x:c r="I90" s="32"/>
      <x:c r="J90" s="32"/>
      <x:c r="K90" s="32"/>
      <x:c r="L90" s="32"/>
      <x:c r="M90" s="32"/>
      <x:c r="N90" s="32"/>
    </x:row>
    <x:row r="91">
      <x:c r="A91" s="32" t="n">
        <x:f>'DRLG'!A6</x:f>
        <x:v>0</x:v>
      </x:c>
      <x:c r="B91" s="32" t="n">
        <x:f>'DRLG'!B6</x:f>
        <x:v>120000</x:v>
      </x:c>
      <x:c r="C91" s="32" t="n">
        <x:f>'DRLG'!A6</x:f>
        <x:v>0</x:v>
      </x:c>
      <x:c r="D91" s="32" t="n">
        <x:f>'DRLG'!C6</x:f>
        <x:v>28600.000000000004</x:v>
      </x:c>
      <x:c r="E91" s="32" t="n">
        <x:f>'DRLG'!F6</x:f>
        <x:v>120000</x:v>
      </x:c>
      <x:c r="F91" s="32"/>
      <x:c r="G91" s="32"/>
      <x:c r="H91" s="32"/>
      <x:c r="I91" s="32"/>
      <x:c r="J91" s="32"/>
      <x:c r="K91" s="32"/>
      <x:c r="L91" s="32"/>
      <x:c r="M91" s="32"/>
      <x:c r="N91" s="32"/>
    </x:row>
    <x:row r="92">
      <x:c r="A92" s="32" t="n">
        <x:f>'DRLG'!A7</x:f>
        <x:v>155.10875760000002</x:v>
      </x:c>
      <x:c r="B92" s="32" t="n">
        <x:f>'DRLG'!B7</x:f>
        <x:v>154369.6247643189</x:v>
      </x:c>
      <x:c r="C92" s="32" t="n">
        <x:f>'DRLG'!A7</x:f>
        <x:v>155.10875760000002</x:v>
      </x:c>
      <x:c r="D92" s="32" t="n">
        <x:f>'DRLG'!C7</x:f>
        <x:v>28609.814667861745</x:v>
      </x:c>
      <x:c r="E92" s="32" t="n">
        <x:f>'DRLG'!F7</x:f>
        <x:v>148277.64907962756</x:v>
      </x:c>
      <x:c r="F92" s="32"/>
      <x:c r="G92" s="32"/>
      <x:c r="H92" s="32"/>
      <x:c r="I92" s="32"/>
      <x:c r="J92" s="32"/>
      <x:c r="K92" s="32"/>
      <x:c r="L92" s="32"/>
      <x:c r="M92" s="32"/>
      <x:c r="N92" s="32"/>
    </x:row>
    <x:row r="93">
      <x:c r="A93" s="32" t="n">
        <x:f>'DRLG'!A8</x:f>
        <x:v>307.974492</x:v>
      </x:c>
      <x:c r="B93" s="32" t="n">
        <x:f>'DRLG'!B8</x:f>
        <x:v>188295.53791614895</x:v>
      </x:c>
      <x:c r="C93" s="32" t="n">
        <x:f>'DRLG'!A8</x:f>
        <x:v>307.974492</x:v>
      </x:c>
      <x:c r="D93" s="32" t="n">
        <x:f>'DRLG'!C8</x:f>
        <x:v>28602.225816774866</x:v>
      </x:c>
      <x:c r="E93" s="32" t="n">
        <x:f>'DRLG'!F8</x:f>
        <x:v>185373.21536636283</x:v>
      </x:c>
      <x:c r="F93" s="32"/>
      <x:c r="G93" s="32"/>
      <x:c r="H93" s="32"/>
      <x:c r="I93" s="32"/>
      <x:c r="J93" s="32"/>
      <x:c r="K93" s="32"/>
      <x:c r="L93" s="32"/>
      <x:c r="M93" s="32"/>
      <x:c r="N93" s="32"/>
    </x:row>
    <x:row r="94">
      <x:c r="A94" s="32" t="n">
        <x:f>'DRLG'!A9</x:f>
        <x:v>460.2227016</x:v>
      </x:c>
      <x:c r="B94" s="32" t="n">
        <x:f>'DRLG'!B9</x:f>
        <x:v>222078.4629496525</x:v>
      </x:c>
      <x:c r="C94" s="32" t="n">
        <x:f>'DRLG'!A9</x:f>
        <x:v>460.2227016</x:v>
      </x:c>
      <x:c r="D94" s="32" t="n">
        <x:f>'DRLG'!C9</x:f>
        <x:v>28603.046523089306</x:v>
      </x:c>
      <x:c r="E94" s="32" t="n">
        <x:f>'DRLG'!F9</x:f>
        <x:v>218652.64202921969</x:v>
      </x:c>
      <x:c r="F94" s="32"/>
      <x:c r="G94" s="32"/>
      <x:c r="H94" s="32"/>
      <x:c r="I94" s="32"/>
      <x:c r="J94" s="32"/>
      <x:c r="K94" s="32"/>
      <x:c r="L94" s="32"/>
      <x:c r="M94" s="32"/>
      <x:c r="N94" s="32"/>
    </x:row>
    <x:row r="95">
      <x:c r="A95" s="32" t="n">
        <x:f>'DRLG'!A10</x:f>
        <x:v>611.9649432</x:v>
      </x:c>
      <x:c r="B95" s="32" t="n">
        <x:f>'DRLG'!B10</x:f>
        <x:v>255741.63319933537</x:v>
      </x:c>
      <x:c r="C95" s="32" t="n">
        <x:f>'DRLG'!A10</x:f>
        <x:v>611.9649432</x:v>
      </x:c>
      <x:c r="D95" s="32" t="n">
        <x:f>'DRLG'!C10</x:f>
        <x:v>28604.081864545922</x:v>
      </x:c>
      <x:c r="E95" s="32" t="n">
        <x:f>'DRLG'!F10</x:f>
        <x:v>251769.58450503703</x:v>
      </x:c>
      <x:c r="F95" s="32"/>
      <x:c r="G95" s="32"/>
      <x:c r="H95" s="32"/>
      <x:c r="I95" s="32"/>
      <x:c r="J95" s="32"/>
      <x:c r="K95" s="32"/>
      <x:c r="L95" s="32"/>
      <x:c r="M95" s="32"/>
      <x:c r="N95" s="32"/>
    </x:row>
    <x:row r="96">
      <x:c r="A96" s="32" t="n">
        <x:f>'DRLG'!A11</x:f>
        <x:v>763.5706344</x:v>
      </x:c>
      <x:c r="B96" s="32" t="n">
        <x:f>'DRLG'!B11</x:f>
        <x:v>289363.3695426456</x:v>
      </x:c>
      <x:c r="C96" s="32" t="n">
        <x:f>'DRLG'!A11</x:f>
        <x:v>763.5706344</x:v>
      </x:c>
      <x:c r="D96" s="32" t="n">
        <x:f>'DRLG'!C11</x:f>
        <x:v>28605.634583660325</x:v>
      </x:c>
      <x:c r="E96" s="32" t="n">
        <x:f>'DRLG'!F11</x:f>
        <x:v>284694.5006284608</x:v>
      </x:c>
      <x:c r="F96" s="32"/>
      <x:c r="G96" s="32"/>
      <x:c r="H96" s="32"/>
      <x:c r="I96" s="32"/>
      <x:c r="J96" s="32"/>
      <x:c r="K96" s="32"/>
      <x:c r="L96" s="32"/>
      <x:c r="M96" s="32"/>
      <x:c r="N96" s="32"/>
    </x:row>
    <x:row r="97">
      <x:c r="A97" s="32" t="n">
        <x:f>'DRLG'!A12</x:f>
        <x:v>915.4786872000001</x:v>
      </x:c>
      <x:c r="B97" s="32" t="n">
        <x:f>'DRLG'!B12</x:f>
        <x:v>323083.07275547064</x:v>
      </x:c>
      <x:c r="C97" s="32" t="n">
        <x:f>'DRLG'!A12</x:f>
        <x:v>915.4786872000001</x:v>
      </x:c>
      <x:c r="D97" s="32" t="n">
        <x:f>'DRLG'!C12</x:f>
        <x:v>28601.327435259216</x:v>
      </x:c>
      <x:c r="E97" s="32" t="n">
        <x:f>'DRLG'!F12</x:f>
        <x:v>320819.18550648727</x:v>
      </x:c>
      <x:c r="F97" s="32"/>
      <x:c r="G97" s="32"/>
      <x:c r="H97" s="32"/>
      <x:c r="I97" s="32"/>
      <x:c r="J97" s="32"/>
      <x:c r="K97" s="32"/>
      <x:c r="L97" s="32"/>
      <x:c r="M97" s="32"/>
      <x:c r="N97" s="32"/>
    </x:row>
    <x:row r="98">
      <x:c r="A98" s="32" t="n">
        <x:f>'DRLG'!A13</x:f>
        <x:v>1067.9740896</x:v>
      </x:c>
      <x:c r="B98" s="32" t="n">
        <x:f>'DRLG'!B13</x:f>
        <x:v>356915.17598741263</x:v>
      </x:c>
      <x:c r="C98" s="32" t="n">
        <x:f>'DRLG'!A13</x:f>
        <x:v>1067.9740896</x:v>
      </x:c>
      <x:c r="D98" s="32" t="n">
        <x:f>'DRLG'!C13</x:f>
        <x:v>28603.843894969134</x:v>
      </x:c>
      <x:c r="E98" s="32" t="n">
        <x:f>'DRLG'!F13</x:f>
        <x:v>353070.17993438535</x:v>
      </x:c>
      <x:c r="F98" s="32"/>
      <x:c r="G98" s="32"/>
      <x:c r="H98" s="32"/>
      <x:c r="I98" s="32"/>
      <x:c r="J98" s="32"/>
      <x:c r="K98" s="32"/>
      <x:c r="L98" s="32"/>
      <x:c r="M98" s="32"/>
      <x:c r="N98" s="32"/>
    </x:row>
    <x:row r="99">
      <x:c r="A99" s="32" t="n">
        <x:f>'DRLG'!A14</x:f>
        <x:v>1221.042516</x:v>
      </x:c>
      <x:c r="B99" s="32" t="n">
        <x:f>'DRLG'!B14</x:f>
        <x:v>390887.50027428183</x:v>
      </x:c>
      <x:c r="C99" s="32" t="n">
        <x:f>'DRLG'!A14</x:f>
        <x:v>1221.042516</x:v>
      </x:c>
      <x:c r="D99" s="32" t="n">
        <x:f>'DRLG'!C14</x:f>
        <x:v>28602.029396406087</x:v>
      </x:c>
      <x:c r="E99" s="32" t="n">
        <x:f>'DRLG'!F14</x:f>
        <x:v>388098.94567726733</x:v>
      </x:c>
      <x:c r="F99" s="32"/>
      <x:c r="G99" s="32"/>
      <x:c r="H99" s="32"/>
      <x:c r="I99" s="32"/>
      <x:c r="J99" s="32"/>
      <x:c r="K99" s="32"/>
      <x:c r="L99" s="32"/>
      <x:c r="M99" s="32"/>
      <x:c r="N99" s="32"/>
    </x:row>
    <x:row r="100">
      <x:c r="A100" s="32" t="n">
        <x:f>'DRLG'!A15</x:f>
        <x:v>1374.3773376000001</x:v>
      </x:c>
      <x:c r="B100" s="32" t="n">
        <x:f>'DRLG'!B15</x:f>
        <x:v>424896.5556028249</x:v>
      </x:c>
      <x:c r="C100" s="32" t="n">
        <x:f>'DRLG'!A15</x:f>
        <x:v>1374.3773376000001</x:v>
      </x:c>
      <x:c r="D100" s="32" t="n">
        <x:f>'DRLG'!C15</x:f>
        <x:v>28605.16126699926</x:v>
      </x:c>
      <x:c r="E100" s="32" t="n">
        <x:f>'DRLG'!F15</x:f>
        <x:v>420453.3512868996</x:v>
      </x:c>
      <x:c r="F100" s="32"/>
      <x:c r="G100" s="32"/>
      <x:c r="H100" s="32"/>
      <x:c r="I100" s="32"/>
      <x:c r="J100" s="32"/>
      <x:c r="K100" s="32"/>
      <x:c r="L100" s="32"/>
      <x:c r="M100" s="32"/>
      <x:c r="N100" s="32"/>
    </x:row>
    <x:row r="101">
      <x:c r="A101" s="32" t="n">
        <x:f>'DRLG'!A16</x:f>
        <x:v>1527.5362896000001</x:v>
      </x:c>
      <x:c r="B101" s="32" t="n">
        <x:f>'DRLG'!B16</x:f>
        <x:v>458900.33700830623</x:v>
      </x:c>
      <x:c r="C101" s="32" t="n">
        <x:f>'DRLG'!A16</x:f>
        <x:v>1527.5362896000001</x:v>
      </x:c>
      <x:c r="D101" s="32" t="n">
        <x:f>'DRLG'!C16</x:f>
        <x:v>28600.442811241654</x:v>
      </x:c>
      <x:c r="E101" s="32" t="n">
        <x:f>'DRLG'!F16</x:f>
        <x:v>457598.1401502997</x:v>
      </x:c>
      <x:c r="F101" s="32"/>
      <x:c r="G101" s="32"/>
      <x:c r="H101" s="32"/>
      <x:c r="I101" s="32"/>
      <x:c r="J101" s="32"/>
      <x:c r="K101" s="32"/>
      <x:c r="L101" s="32"/>
      <x:c r="M101" s="32"/>
      <x:c r="N101" s="32"/>
    </x:row>
    <x:row r="102">
      <x:c r="A102" s="32" t="n">
        <x:f>'DRLG'!A17</x:f>
        <x:v>1565.8667184</x:v>
      </x:c>
      <x:c r="B102" s="32" t="n">
        <x:f>'DRLG'!B17</x:f>
        <x:v>467010.8206480392</x:v>
      </x:c>
      <x:c r="C102" s="32" t="n">
        <x:f>'DRLG'!A17</x:f>
        <x:v>1565.8667184</x:v>
      </x:c>
      <x:c r="D102" s="32" t="n">
        <x:f>'DRLG'!C17</x:f>
        <x:v>28655.920374194855</x:v>
      </x:c>
      <x:c r="E102" s="32" t="n">
        <x:f>'DRLG'!F17</x:f>
        <x:v>437759.0800950547</x:v>
      </x:c>
      <x:c r="F102" s="32"/>
      <x:c r="G102" s="32"/>
      <x:c r="H102" s="32"/>
      <x:c r="I102" s="32"/>
      <x:c r="J102" s="32"/>
      <x:c r="K102" s="32"/>
      <x:c r="L102" s="32"/>
      <x:c r="M102" s="32"/>
      <x:c r="N102" s="32"/>
    </x:row>
    <x:row r="103">
      <x:c r="A103" s="32" t="n">
        <x:f>'DRLG'!A18</x:f>
        <x:v>1603.5857184000001</x:v>
      </x:c>
      <x:c r="B103" s="32" t="n">
        <x:f>'DRLG'!B18</x:f>
        <x:v>475023.9437135505</x:v>
      </x:c>
      <x:c r="C103" s="32" t="n">
        <x:f>'DRLG'!A18</x:f>
        <x:v>1603.5857184000001</x:v>
      </x:c>
      <x:c r="D103" s="32" t="n">
        <x:f>'DRLG'!C18</x:f>
        <x:v>28650.556001776695</x:v>
      </x:c>
      <x:c r="E103" s="32" t="n">
        <x:f>'DRLG'!F18</x:f>
        <x:v>446986.0882684575</x:v>
      </x:c>
      <x:c r="F103" s="32"/>
      <x:c r="G103" s="32"/>
      <x:c r="H103" s="32"/>
      <x:c r="I103" s="32"/>
      <x:c r="J103" s="32"/>
      <x:c r="K103" s="32"/>
      <x:c r="L103" s="32"/>
      <x:c r="M103" s="32"/>
      <x:c r="N103" s="32"/>
    </x:row>
    <x:row r="104">
      <x:c r="A104" s="32" t="n">
        <x:f>'DRLG'!A19</x:f>
        <x:v>1640.9209752000002</x:v>
      </x:c>
      <x:c r="B104" s="32" t="n">
        <x:f>'DRLG'!B19</x:f>
        <x:v>482983.18016497383</x:v>
      </x:c>
      <x:c r="C104" s="32" t="n">
        <x:f>'DRLG'!A19</x:f>
        <x:v>1640.9209752000002</x:v>
      </x:c>
      <x:c r="D104" s="32" t="n">
        <x:f>'DRLG'!C19</x:f>
        <x:v>28646.180797957255</x:v>
      </x:c>
      <x:c r="E104" s="32" t="n">
        <x:f>'DRLG'!F19</x:f>
        <x:v>456048.6340034196</x:v>
      </x:c>
      <x:c r="F104" s="32"/>
      <x:c r="G104" s="32"/>
      <x:c r="H104" s="32"/>
      <x:c r="I104" s="32"/>
      <x:c r="J104" s="32"/>
      <x:c r="K104" s="32"/>
      <x:c r="L104" s="32"/>
      <x:c r="M104" s="32"/>
      <x:c r="N104" s="32"/>
    </x:row>
    <x:row r="105">
      <x:c r="A105" s="32" t="n">
        <x:f>'DRLG'!A20</x:f>
        <x:v>1678.2970752</x:v>
      </x:c>
      <x:c r="B105" s="32" t="n">
        <x:f>'DRLG'!B20</x:f>
        <x:v>490967.14040348405</x:v>
      </x:c>
      <x:c r="C105" s="32" t="n">
        <x:f>'DRLG'!A20</x:f>
        <x:v>1678.2970752</x:v>
      </x:c>
      <x:c r="D105" s="32" t="n">
        <x:f>'DRLG'!C20</x:f>
        <x:v>28643.99378239939</x:v>
      </x:c>
      <x:c r="E105" s="32" t="n">
        <x:f>'DRLG'!F20</x:f>
        <x:v>464692.4760454514</x:v>
      </x:c>
      <x:c r="F105" s="32"/>
      <x:c r="G105" s="32"/>
      <x:c r="H105" s="32"/>
      <x:c r="I105" s="32"/>
      <x:c r="J105" s="32"/>
      <x:c r="K105" s="32"/>
      <x:c r="L105" s="32"/>
      <x:c r="M105" s="32"/>
      <x:c r="N105" s="32"/>
    </x:row>
    <x:row r="106">
      <x:c r="A106" s="32" t="n">
        <x:f>'DRLG'!A21</x:f>
        <x:v>1716.1166592000002</x:v>
      </x:c>
      <x:c r="B106" s="32" t="n">
        <x:f>'DRLG'!B21</x:f>
        <x:v>499038.4189947745</x:v>
      </x:c>
      <x:c r="C106" s="32" t="n">
        <x:f>'DRLG'!A21</x:f>
        <x:v>1716.1166592000002</x:v>
      </x:c>
      <x:c r="D106" s="32" t="n">
        <x:f>'DRLG'!C21</x:f>
        <x:v>28645.55164627609</x:v>
      </x:c>
      <x:c r="E106" s="32" t="n">
        <x:f>'DRLG'!F21</x:f>
        <x:v>472459.81403843424</x:v>
      </x:c>
      <x:c r="F106" s="32"/>
      <x:c r="G106" s="32"/>
      <x:c r="H106" s="32"/>
      <x:c r="I106" s="32"/>
      <x:c r="J106" s="32"/>
      <x:c r="K106" s="32"/>
      <x:c r="L106" s="32"/>
      <x:c r="M106" s="32"/>
      <x:c r="N106" s="32"/>
    </x:row>
    <x:row r="107">
      <x:c r="A107" s="32" t="n">
        <x:f>'DRLG'!A22</x:f>
        <x:v>1754.5571208000001</x:v>
      </x:c>
      <x:c r="B107" s="32" t="n">
        <x:f>'DRLG'!B22</x:f>
        <x:v>507214.75489862217</x:v>
      </x:c>
      <x:c r="C107" s="32" t="n">
        <x:f>'DRLG'!A22</x:f>
        <x:v>1754.5571208000001</x:v>
      </x:c>
      <x:c r="D107" s="32" t="n">
        <x:f>'DRLG'!C22</x:f>
        <x:v>28650.133872575967</x:v>
      </x:c>
      <x:c r="E107" s="32" t="n">
        <x:f>'DRLG'!F22</x:f>
        <x:v>479557.4506907418</x:v>
      </x:c>
      <x:c r="F107" s="32"/>
      <x:c r="G107" s="32"/>
      <x:c r="H107" s="32"/>
      <x:c r="I107" s="32"/>
      <x:c r="J107" s="32"/>
      <x:c r="K107" s="32"/>
      <x:c r="L107" s="32"/>
      <x:c r="M107" s="32"/>
      <x:c r="N107" s="32"/>
    </x:row>
    <x:row r="108">
      <x:c r="A108" s="32" t="n">
        <x:f>'DRLG'!A23</x:f>
        <x:v>1793.4788616</x:v>
      </x:c>
      <x:c r="B108" s="32" t="n">
        <x:f>'DRLG'!B23</x:f>
        <x:v>515462.2266916272</x:v>
      </x:c>
      <x:c r="C108" s="32" t="n">
        <x:f>'DRLG'!A23</x:f>
        <x:v>1793.4788616</x:v>
      </x:c>
      <x:c r="D108" s="32" t="n">
        <x:f>'DRLG'!C23</x:f>
        <x:v>28655.12477952955</x:v>
      </x:c>
      <x:c r="E108" s="32" t="n">
        <x:f>'DRLG'!F23</x:f>
        <x:v>486640.77697963844</x:v>
      </x:c>
      <x:c r="F108" s="32"/>
      <x:c r="G108" s="32"/>
      <x:c r="H108" s="32"/>
      <x:c r="I108" s="32"/>
      <x:c r="J108" s="32"/>
      <x:c r="K108" s="32"/>
      <x:c r="L108" s="32"/>
      <x:c r="M108" s="32"/>
      <x:c r="N108" s="32"/>
    </x:row>
    <x:row r="109">
      <x:c r="A109" s="32" t="n">
        <x:f>'DRLG'!A24</x:f>
        <x:v>1832.4975288000003</x:v>
      </x:c>
      <x:c r="B109" s="32" t="n">
        <x:f>'DRLG'!B24</x:f>
        <x:v>523714.4049053724</x:v>
      </x:c>
      <x:c r="C109" s="32" t="n">
        <x:f>'DRLG'!A24</x:f>
        <x:v>1832.4975288000003</x:v>
      </x:c>
      <x:c r="D109" s="32" t="n">
        <x:f>'DRLG'!C24</x:f>
        <x:v>28657.473810495594</x:v>
      </x:c>
      <x:c r="E109" s="32" t="n">
        <x:f>'DRLG'!F24</x:f>
        <x:v>494321.852733992</x:v>
      </x:c>
      <x:c r="F109" s="32"/>
      <x:c r="G109" s="32"/>
      <x:c r="H109" s="32"/>
      <x:c r="I109" s="32"/>
      <x:c r="J109" s="32"/>
      <x:c r="K109" s="32"/>
      <x:c r="L109" s="32"/>
      <x:c r="M109" s="32"/>
      <x:c r="N109" s="32"/>
    </x:row>
    <x:row r="110">
      <x:c r="A110" s="32" t="n">
        <x:f>'DRLG'!A25</x:f>
        <x:v>1871.1787824</x:v>
      </x:c>
      <x:c r="B110" s="32" t="n">
        <x:f>'DRLG'!B25</x:f>
        <x:v>531904.7691480203</x:v>
      </x:c>
      <x:c r="C110" s="32" t="n">
        <x:f>'DRLG'!A25</x:f>
        <x:v>1871.1787824</x:v>
      </x:c>
      <x:c r="D110" s="32" t="n">
        <x:f>'DRLG'!C25</x:f>
        <x:v>28655.64313620947</x:v>
      </x:c>
      <x:c r="E110" s="32" t="n">
        <x:f>'DRLG'!F25</x:f>
        <x:v>502858.2532214664</x:v>
      </x:c>
      <x:c r="F110" s="32"/>
      <x:c r="G110" s="32"/>
      <x:c r="H110" s="32"/>
      <x:c r="I110" s="32"/>
      <x:c r="J110" s="32"/>
      <x:c r="K110" s="32"/>
      <x:c r="L110" s="32"/>
      <x:c r="M110" s="32"/>
      <x:c r="N110" s="32"/>
    </x:row>
    <x:row r="111">
      <x:c r="A111" s="32" t="n">
        <x:f>'DRLG'!A26</x:f>
        <x:v>1947.3607992000002</x:v>
      </x:c>
      <x:c r="B111" s="32" t="n">
        <x:f>'DRLG'!B26</x:f>
        <x:v>548553.5110684601</x:v>
      </x:c>
      <x:c r="C111" s="32" t="n">
        <x:f>'DRLG'!A26</x:f>
        <x:v>1947.3607992000002</x:v>
      </x:c>
      <x:c r="D111" s="32" t="n">
        <x:f>'DRLG'!C26</x:f>
        <x:v>28637.227676048366</x:v>
      </x:c>
      <x:c r="E111" s="32" t="n">
        <x:f>'DRLG'!F26</x:f>
        <x:v>531623.9675781586</x:v>
      </x:c>
      <x:c r="F111" s="32"/>
      <x:c r="G111" s="32"/>
      <x:c r="H111" s="32"/>
      <x:c r="I111" s="32"/>
      <x:c r="J111" s="32"/>
      <x:c r="K111" s="32"/>
      <x:c r="L111" s="32"/>
      <x:c r="M111" s="32"/>
      <x:c r="N111" s="32"/>
    </x:row>
    <x:row r="112">
      <x:c r="A112" s="32" t="n">
        <x:f>'DRLG'!A27</x:f>
        <x:v>2022.9868608</x:v>
      </x:c>
      <x:c r="B112" s="32" t="n">
        <x:f>'DRLG'!B27</x:f>
        <x:v>565177.7735507294</x:v>
      </x:c>
      <x:c r="C112" s="32" t="n">
        <x:f>'DRLG'!A27</x:f>
        <x:v>2022.9868608</x:v>
      </x:c>
      <x:c r="D112" s="32" t="n">
        <x:f>'DRLG'!C27</x:f>
        <x:v>28623.402520451196</x:v>
      </x:c>
      <x:c r="E112" s="32" t="n">
        <x:f>'DRLG'!F27</x:f>
        <x:v>551705.7109591657</x:v>
      </x:c>
      <x:c r="F112" s="32"/>
      <x:c r="G112" s="32"/>
      <x:c r="H112" s="32"/>
      <x:c r="I112" s="32"/>
      <x:c r="J112" s="32"/>
      <x:c r="K112" s="32"/>
      <x:c r="L112" s="32"/>
      <x:c r="M112" s="32"/>
      <x:c r="N112" s="32"/>
    </x:row>
    <x:row r="113">
      <x:c r="A113" s="32" t="n">
        <x:f>'DRLG'!A28</x:f>
        <x:v>2098.3837128</x:v>
      </x:c>
      <x:c r="B113" s="32" t="n">
        <x:f>'DRLG'!B28</x:f>
        <x:v>581757.977354576</x:v>
      </x:c>
      <x:c r="C113" s="32" t="n">
        <x:f>'DRLG'!A28</x:f>
        <x:v>2098.3837128</x:v>
      </x:c>
      <x:c r="D113" s="32" t="n">
        <x:f>'DRLG'!C28</x:f>
        <x:v>28622.447764702734</x:v>
      </x:c>
      <x:c r="E113" s="32" t="n">
        <x:f>'DRLG'!F28</x:f>
        <x:v>568543.5465474324</x:v>
      </x:c>
      <x:c r="F113" s="32"/>
      <x:c r="G113" s="32"/>
      <x:c r="H113" s="32"/>
      <x:c r="I113" s="32"/>
      <x:c r="J113" s="32"/>
      <x:c r="K113" s="32"/>
      <x:c r="L113" s="32"/>
      <x:c r="M113" s="32"/>
      <x:c r="N113" s="32"/>
    </x:row>
    <x:row r="114">
      <x:c r="A114" s="32" t="n">
        <x:f>'DRLG'!A29</x:f>
        <x:v>2173.9945344000002</x:v>
      </x:c>
      <x:c r="B114" s="32" t="n">
        <x:f>'DRLG'!B29</x:f>
        <x:v>598394.2715607802</x:v>
      </x:c>
      <x:c r="C114" s="32" t="n">
        <x:f>'DRLG'!A29</x:f>
        <x:v>2173.9945344000002</x:v>
      </x:c>
      <x:c r="D114" s="32" t="n">
        <x:f>'DRLG'!C29</x:f>
        <x:v>28621.24896567042</x:v>
      </x:c>
      <x:c r="E114" s="32" t="n">
        <x:f>'DRLG'!F29</x:f>
        <x:v>585555.7375457754</x:v>
      </x:c>
      <x:c r="F114" s="32"/>
      <x:c r="G114" s="32"/>
      <x:c r="H114" s="32"/>
      <x:c r="I114" s="32"/>
      <x:c r="J114" s="32"/>
      <x:c r="K114" s="32"/>
      <x:c r="L114" s="32"/>
      <x:c r="M114" s="32"/>
      <x:c r="N114" s="32"/>
    </x:row>
    <x:row r="115">
      <x:c r="A115" s="32" t="n">
        <x:f>'DRLG'!A30</x:f>
        <x:v>2250.1543008</x:v>
      </x:c>
      <x:c r="B115" s="32" t="n">
        <x:f>'DRLG'!B30</x:f>
        <x:v>615162.8034411283</x:v>
      </x:c>
      <x:c r="C115" s="32" t="n">
        <x:f>'DRLG'!A30</x:f>
        <x:v>2250.1543008</x:v>
      </x:c>
      <x:c r="D115" s="32" t="n">
        <x:f>'DRLG'!C30</x:f>
        <x:v>28619.802843146415</x:v>
      </x:c>
      <x:c r="E115" s="32" t="n">
        <x:f>'DRLG'!F30</x:f>
        <x:v>602813.5845285696</x:v>
      </x:c>
      <x:c r="F115" s="32"/>
      <x:c r="G115" s="32"/>
      <x:c r="H115" s="32"/>
      <x:c r="I115" s="32"/>
      <x:c r="J115" s="32"/>
      <x:c r="K115" s="32"/>
      <x:c r="L115" s="32"/>
      <x:c r="M115" s="32"/>
      <x:c r="N115" s="32"/>
    </x:row>
    <x:row r="116">
      <x:c r="A116" s="32" t="n">
        <x:f>'DRLG'!A31</x:f>
        <x:v>2326.9172664000002</x:v>
      </x:c>
      <x:c r="B116" s="32" t="n">
        <x:f>'DRLG'!B31</x:f>
        <x:v>632077.6149666572</x:v>
      </x:c>
      <x:c r="C116" s="32" t="n">
        <x:f>'DRLG'!A31</x:f>
        <x:v>2326.9172664000002</x:v>
      </x:c>
      <x:c r="D116" s="32" t="n">
        <x:f>'DRLG'!C31</x:f>
        <x:v>28618.07795096018</x:v>
      </x:c>
      <x:c r="E116" s="32" t="n">
        <x:f>'DRLG'!F31</x:f>
        <x:v>620324.9258872577</x:v>
      </x:c>
      <x:c r="F116" s="32"/>
      <x:c r="G116" s="32"/>
      <x:c r="H116" s="32"/>
      <x:c r="I116" s="32"/>
      <x:c r="J116" s="32"/>
      <x:c r="K116" s="32"/>
      <x:c r="L116" s="32"/>
      <x:c r="M116" s="32"/>
      <x:c r="N116" s="32"/>
    </x:row>
    <x:row r="117">
      <x:c r="A117" s="32" t="n">
        <x:f>'DRLG'!A32</x:f>
        <x:v>2404.030752</x:v>
      </x:c>
      <x:c r="B117" s="32" t="n">
        <x:f>'DRLG'!B32</x:f>
        <x:v>649084.5607830377</x:v>
      </x:c>
      <x:c r="C117" s="32" t="n">
        <x:f>'DRLG'!A32</x:f>
        <x:v>2404.030752</x:v>
      </x:c>
      <x:c r="D117" s="32" t="n">
        <x:f>'DRLG'!C32</x:f>
        <x:v>28616.079418311117</x:v>
      </x:c>
      <x:c r="E117" s="32" t="n">
        <x:f>'DRLG'!F32</x:f>
        <x:v>638025.7477155563</x:v>
      </x:c>
      <x:c r="F117" s="32"/>
      <x:c r="G117" s="32"/>
      <x:c r="H117" s="32"/>
      <x:c r="I117" s="32"/>
      <x:c r="J117" s="32"/>
      <x:c r="K117" s="32"/>
      <x:c r="L117" s="32"/>
      <x:c r="M117" s="32"/>
      <x:c r="N117" s="32"/>
    </x:row>
    <x:row r="118">
      <x:c r="A118" s="32" t="n">
        <x:f>'DRLG'!A33</x:f>
        <x:v>2481.0637704</x:v>
      </x:c>
      <x:c r="B118" s="32" t="n">
        <x:f>'DRLG'!B33</x:f>
        <x:v>666089.5530951733</x:v>
      </x:c>
      <x:c r="C118" s="32" t="n">
        <x:f>'DRLG'!A33</x:f>
        <x:v>2481.0637704</x:v>
      </x:c>
      <x:c r="D118" s="32" t="n">
        <x:f>'DRLG'!C33</x:f>
        <x:v>28613.856345693515</x:v>
      </x:c>
      <x:c r="E118" s="32" t="n">
        <x:f>'DRLG'!F33</x:f>
        <x:v>655818.2767364146</x:v>
      </x:c>
      <x:c r="F118" s="32"/>
      <x:c r="G118" s="32"/>
      <x:c r="H118" s="32"/>
      <x:c r="I118" s="32"/>
      <x:c r="J118" s="32"/>
      <x:c r="K118" s="32"/>
      <x:c r="L118" s="32"/>
      <x:c r="M118" s="32"/>
      <x:c r="N118" s="32"/>
    </x:row>
    <x:row r="119">
      <x:c r="A119" s="32" t="n">
        <x:f>'DRLG'!A34</x:f>
        <x:v>2557.6252632</x:v>
      </x:c>
      <x:c r="B119" s="32" t="n">
        <x:f>'DRLG'!B34</x:f>
        <x:v>683006.0673463177</x:v>
      </x:c>
      <x:c r="C119" s="32" t="n">
        <x:f>'DRLG'!A34</x:f>
        <x:v>2557.6252632</x:v>
      </x:c>
      <x:c r="D119" s="32" t="n">
        <x:f>'DRLG'!C34</x:f>
        <x:v>28611.59068283126</x:v>
      </x:c>
      <x:c r="E119" s="32" t="n">
        <x:f>'DRLG'!F34</x:f>
        <x:v>673583.0968393496</x:v>
      </x:c>
      <x:c r="F119" s="32"/>
      <x:c r="G119" s="32"/>
      <x:c r="H119" s="32"/>
      <x:c r="I119" s="32"/>
      <x:c r="J119" s="32"/>
      <x:c r="K119" s="32"/>
      <x:c r="L119" s="32"/>
      <x:c r="M119" s="32"/>
      <x:c r="N119" s="32"/>
    </x:row>
    <x:row r="120">
      <x:c r="A120" s="32" t="n">
        <x:f>'DRLG'!A35</x:f>
        <x:v>2633.5658784</x:v>
      </x:c>
      <x:c r="B120" s="32" t="n">
        <x:f>'DRLG'!B35</x:f>
        <x:v>699800.3995342111</x:v>
      </x:c>
      <x:c r="C120" s="32" t="n">
        <x:f>'DRLG'!A35</x:f>
        <x:v>2633.5658784</x:v>
      </x:c>
      <x:c r="D120" s="32" t="n">
        <x:f>'DRLG'!C35</x:f>
        <x:v>28609.400784203306</x:v>
      </x:c>
      <x:c r="E120" s="32" t="n">
        <x:f>'DRLG'!F35</x:f>
        <x:v>691279.5380890379</x:v>
      </x:c>
      <x:c r="F120" s="32"/>
      <x:c r="G120" s="32"/>
      <x:c r="H120" s="32"/>
      <x:c r="I120" s="32"/>
      <x:c r="J120" s="32"/>
      <x:c r="K120" s="32"/>
      <x:c r="L120" s="32"/>
      <x:c r="M120" s="32"/>
      <x:c r="N120" s="32"/>
    </x:row>
    <x:row r="121">
      <x:c r="A121" s="32" t="n">
        <x:f>'DRLG'!A36</x:f>
        <x:v>2709.0514272</x:v>
      </x:c>
      <x:c r="B121" s="32" t="n">
        <x:f>'DRLG'!B36</x:f>
        <x:v>716507.5171333092</x:v>
      </x:c>
      <x:c r="C121" s="32" t="n">
        <x:f>'DRLG'!A36</x:f>
        <x:v>2709.0514272</x:v>
      </x:c>
      <x:c r="D121" s="32" t="n">
        <x:f>'DRLG'!C36</x:f>
        <x:v>28607.46915505814</x:v>
      </x:c>
      <x:c r="E121" s="32" t="n">
        <x:f>'DRLG'!F36</x:f>
        <x:v>708889.4929582224</x:v>
      </x:c>
      <x:c r="F121" s="32"/>
      <x:c r="G121" s="32"/>
      <x:c r="H121" s="32"/>
      <x:c r="I121" s="32"/>
      <x:c r="J121" s="32"/>
      <x:c r="K121" s="32"/>
      <x:c r="L121" s="32"/>
      <x:c r="M121" s="32"/>
      <x:c r="N121" s="32"/>
    </x:row>
    <x:row r="122">
      <x:c r="A122" s="32" t="n">
        <x:f>'DRLG'!A37</x:f>
        <x:v>2784.480588</x:v>
      </x:c>
      <x:c r="B122" s="32" t="n">
        <x:f>'DRLG'!B37</x:f>
        <x:v>733213.5635852496</x:v>
      </x:c>
      <x:c r="C122" s="32" t="n">
        <x:f>'DRLG'!A37</x:f>
        <x:v>2784.480588</x:v>
      </x:c>
      <x:c r="D122" s="32" t="n">
        <x:f>'DRLG'!C37</x:f>
        <x:v>28605.869719411843</x:v>
      </x:c>
      <x:c r="E122" s="32" t="n">
        <x:f>'DRLG'!F37</x:f>
        <x:v>726457.7516729061</x:v>
      </x:c>
      <x:c r="F122" s="32"/>
      <x:c r="G122" s="32"/>
      <x:c r="H122" s="32"/>
      <x:c r="I122" s="32"/>
      <x:c r="J122" s="32"/>
      <x:c r="K122" s="32"/>
      <x:c r="L122" s="32"/>
      <x:c r="M122" s="32"/>
      <x:c r="N122" s="32"/>
    </x:row>
    <x:row r="123">
      <x:c r="A123" s="32" t="n">
        <x:f>'DRLG'!A38</x:f>
        <x:v>2860.2800807999997</x:v>
      </x:c>
      <x:c r="B123" s="32" t="n">
        <x:f>'DRLG'!B38</x:f>
        <x:v>750010.9735344269</x:v>
      </x:c>
      <x:c r="C123" s="32" t="n">
        <x:f>'DRLG'!A38</x:f>
        <x:v>2860.2800807999997</x:v>
      </x:c>
      <x:c r="D123" s="32" t="n">
        <x:f>'DRLG'!C38</x:f>
        <x:v>28604.593406461943</x:v>
      </x:c>
      <x:c r="E123" s="32" t="n">
        <x:f>'DRLG'!F38</x:f>
        <x:v>744049.2366364407</x:v>
      </x:c>
      <x:c r="F123" s="32"/>
      <x:c r="G123" s="32"/>
      <x:c r="H123" s="32"/>
      <x:c r="I123" s="32"/>
      <x:c r="J123" s="32"/>
      <x:c r="K123" s="32"/>
      <x:c r="L123" s="32"/>
      <x:c r="M123" s="32"/>
      <x:c r="N123" s="32"/>
    </x:row>
    <x:row r="124">
      <x:c r="A124" s="32" t="n">
        <x:f>'DRLG'!A39</x:f>
        <x:v>2936.688564</x:v>
      </x:c>
      <x:c r="B124" s="32" t="n">
        <x:f>'DRLG'!B39</x:f>
        <x:v>766951.240161732</x:v>
      </x:c>
      <x:c r="C124" s="32" t="n">
        <x:f>'DRLG'!A39</x:f>
        <x:v>2936.688564</x:v>
      </x:c>
      <x:c r="D124" s="32" t="n">
        <x:f>'DRLG'!C39</x:f>
        <x:v>28603.526337492924</x:v>
      </x:c>
      <x:c r="E124" s="32" t="n">
        <x:f>'DRLG'!F39</x:f>
        <x:v>761748.5296056723</x:v>
      </x:c>
      <x:c r="F124" s="32"/>
      <x:c r="G124" s="32"/>
      <x:c r="H124" s="32"/>
      <x:c r="I124" s="32"/>
      <x:c r="J124" s="32"/>
      <x:c r="K124" s="32"/>
      <x:c r="L124" s="32"/>
      <x:c r="M124" s="32"/>
      <x:c r="N124" s="32"/>
    </x:row>
    <x:row r="125">
      <x:c r="A125" s="32" t="n">
        <x:f>'DRLG'!A40</x:f>
        <x:v>3013.6334952</x:v>
      </x:c>
      <x:c r="B125" s="32" t="n">
        <x:f>'DRLG'!B40</x:f>
        <x:v>784017.5061779759</x:v>
      </x:c>
      <x:c r="C125" s="32" t="n">
        <x:f>'DRLG'!A40</x:f>
        <x:v>3013.6334952</x:v>
      </x:c>
      <x:c r="D125" s="32" t="n">
        <x:f>'DRLG'!C40</x:f>
        <x:v>28602.564070595457</x:v>
      </x:c>
      <x:c r="E125" s="32" t="n">
        <x:f>'DRLG'!F40</x:f>
        <x:v>779596.5776021659</x:v>
      </x:c>
      <x:c r="F125" s="32"/>
      <x:c r="G125" s="32"/>
      <x:c r="H125" s="32"/>
      <x:c r="I125" s="32"/>
      <x:c r="J125" s="32"/>
      <x:c r="K125" s="32"/>
      <x:c r="L125" s="32"/>
      <x:c r="M125" s="32"/>
      <x:c r="N125" s="32"/>
    </x:row>
    <x:row r="126">
      <x:c r="A126" s="32" t="n">
        <x:f>'DRLG'!A41</x:f>
        <x:v>3090.7698408</x:v>
      </x:c>
      <x:c r="B126" s="32" t="n">
        <x:f>'DRLG'!B41</x:f>
        <x:v>801132.0373323669</x:v>
      </x:c>
      <x:c r="C126" s="32" t="n">
        <x:f>'DRLG'!A41</x:f>
        <x:v>3090.7698408</x:v>
      </x:c>
      <x:c r="D126" s="32" t="n">
        <x:f>'DRLG'!C41</x:f>
        <x:v>28601.758831011655</x:v>
      </x:c>
      <x:c r="E126" s="32" t="n">
        <x:f>'DRLG'!F41</x:f>
        <x:v>797475.070305697</x:v>
      </x:c>
      <x:c r="F126" s="32"/>
      <x:c r="G126" s="32"/>
      <x:c r="H126" s="32"/>
      <x:c r="I126" s="32"/>
      <x:c r="J126" s="32"/>
      <x:c r="K126" s="32"/>
      <x:c r="L126" s="32"/>
      <x:c r="M126" s="32"/>
      <x:c r="N126" s="32"/>
    </x:row>
    <x:row r="127">
      <x:c r="A127" s="32" t="n">
        <x:f>'DRLG'!A42</x:f>
        <x:v>3167.6544215999998</x:v>
      </x:c>
      <x:c r="B127" s="32" t="n">
        <x:f>'DRLG'!B42</x:f>
        <x:v>818190.9258303377</x:v>
      </x:c>
      <x:c r="C127" s="32" t="n">
        <x:f>'DRLG'!A42</x:f>
        <x:v>3167.6544215999998</x:v>
      </x:c>
      <x:c r="D127" s="32" t="n">
        <x:f>'DRLG'!C42</x:f>
        <x:v>28601.722727027758</x:v>
      </x:c>
      <x:c r="E127" s="32" t="n">
        <x:f>'DRLG'!F42</x:f>
        <x:v>814565.766279476</x:v>
      </x:c>
      <x:c r="F127" s="32"/>
      <x:c r="G127" s="32"/>
      <x:c r="H127" s="32"/>
      <x:c r="I127" s="32"/>
      <x:c r="J127" s="32"/>
      <x:c r="K127" s="32"/>
      <x:c r="L127" s="32"/>
      <x:c r="M127" s="32"/>
      <x:c r="N127" s="32"/>
    </x:row>
    <x:row r="128">
      <x:c r="A128" s="32" t="n">
        <x:f>'DRLG'!A43</x:f>
        <x:v>3243.9723792</x:v>
      </x:c>
      <x:c r="B128" s="32" t="n">
        <x:f>'DRLG'!B43</x:f>
        <x:v>835118.0075327385</x:v>
      </x:c>
      <x:c r="C128" s="32" t="n">
        <x:f>'DRLG'!A43</x:f>
        <x:v>3243.9723792</x:v>
      </x:c>
      <x:c r="D128" s="32" t="n">
        <x:f>'DRLG'!C43</x:f>
        <x:v>28602.56029719639</x:v>
      </x:c>
      <x:c r="E128" s="32" t="n">
        <x:f>'DRLG'!F43</x:f>
        <x:v>830682.2240659129</x:v>
      </x:c>
      <x:c r="F128" s="32"/>
      <x:c r="G128" s="32"/>
      <x:c r="H128" s="32"/>
      <x:c r="I128" s="32"/>
      <x:c r="J128" s="32"/>
      <x:c r="K128" s="32"/>
      <x:c r="L128" s="32"/>
      <x:c r="M128" s="32"/>
      <x:c r="N128" s="32"/>
    </x:row>
    <x:row r="129">
      <x:c r="A129" s="32" t="n">
        <x:f>'DRLG'!A44</x:f>
        <x:v>3319.6978056000003</x:v>
      </x:c>
      <x:c r="B129" s="32" t="n">
        <x:f>'DRLG'!B44</x:f>
        <x:v>851906.0400679975</x:v>
      </x:c>
      <x:c r="C129" s="32" t="n">
        <x:f>'DRLG'!A44</x:f>
        <x:v>3319.6978056000003</x:v>
      </x:c>
      <x:c r="D129" s="32" t="n">
        <x:f>'DRLG'!C44</x:f>
        <x:v>28603.605997663533</x:v>
      </x:c>
      <x:c r="E129" s="32" t="n">
        <x:f>'DRLG'!F44</x:f>
        <x:v>846621.2179494919</x:v>
      </x:c>
      <x:c r="F129" s="32"/>
      <x:c r="G129" s="32"/>
      <x:c r="H129" s="32"/>
      <x:c r="I129" s="32"/>
      <x:c r="J129" s="32"/>
      <x:c r="K129" s="32"/>
      <x:c r="L129" s="32"/>
      <x:c r="M129" s="32"/>
      <x:c r="N129" s="32"/>
    </x:row>
    <x:row r="130">
      <x:c r="A130" s="32" t="n">
        <x:f>'DRLG'!A45</x:f>
        <x:v>3395.1068496000003</x:v>
      </x:c>
      <x:c r="B130" s="32" t="n">
        <x:f>'DRLG'!B45</x:f>
        <x:v>868616.94718898</x:v>
      </x:c>
      <x:c r="C130" s="32" t="n">
        <x:f>'DRLG'!A45</x:f>
        <x:v>3395.1068496000003</x:v>
      </x:c>
      <x:c r="D130" s="32" t="n">
        <x:f>'DRLG'!C45</x:f>
        <x:v>28604.566689656534</x:v>
      </x:c>
      <x:c r="E130" s="32" t="n">
        <x:f>'DRLG'!F45</x:f>
        <x:v>862657.2039570386</x:v>
      </x:c>
      <x:c r="F130" s="32"/>
      <x:c r="G130" s="32"/>
      <x:c r="H130" s="32"/>
      <x:c r="I130" s="32"/>
      <x:c r="J130" s="32"/>
      <x:c r="K130" s="32"/>
      <x:c r="L130" s="32"/>
      <x:c r="M130" s="32"/>
      <x:c r="N130" s="32"/>
    </x:row>
    <x:row r="131">
      <x:c r="A131" s="32" t="n">
        <x:f>'DRLG'!A46</x:f>
        <x:v>3470.6368992</x:v>
      </x:c>
      <x:c r="B131" s="32" t="n">
        <x:f>'DRLG'!B46</x:f>
        <x:v>885348.6982656334</x:v>
      </x:c>
      <x:c r="C131" s="32" t="n">
        <x:f>'DRLG'!A46</x:f>
        <x:v>3470.6368992</x:v>
      </x:c>
      <x:c r="D131" s="32" t="n">
        <x:f>'DRLG'!C46</x:f>
        <x:v>28605.40820924909</x:v>
      </x:c>
      <x:c r="E131" s="32" t="n">
        <x:f>'DRLG'!F46</x:f>
        <x:v>878868.2451111147</x:v>
      </x:c>
      <x:c r="F131" s="32"/>
      <x:c r="G131" s="32"/>
      <x:c r="H131" s="32"/>
      <x:c r="I131" s="32"/>
      <x:c r="J131" s="32"/>
      <x:c r="K131" s="32"/>
      <x:c r="L131" s="32"/>
      <x:c r="M131" s="32"/>
      <x:c r="N131" s="32"/>
    </x:row>
    <x:row r="132">
      <x:c r="A132" s="32" t="n">
        <x:f>'DRLG'!A47</x:f>
        <x:v>3546.6631632</x:v>
      </x:c>
      <x:c r="B132" s="32" t="n">
        <x:f>'DRLG'!B47</x:f>
        <x:v>902184.4548048641</x:v>
      </x:c>
      <x:c r="C132" s="32" t="n">
        <x:f>'DRLG'!A47</x:f>
        <x:v>3546.6631632</x:v>
      </x:c>
      <x:c r="D132" s="32" t="n">
        <x:f>'DRLG'!C47</x:f>
        <x:v>28606.27050528408</x:v>
      </x:c>
      <x:c r="E132" s="32" t="n">
        <x:f>'DRLG'!F47</x:f>
        <x:v>895229.2814091786</x:v>
      </x:c>
      <x:c r="F132" s="32"/>
      <x:c r="G132" s="32"/>
      <x:c r="H132" s="32"/>
      <x:c r="I132" s="32"/>
      <x:c r="J132" s="32"/>
      <x:c r="K132" s="32"/>
      <x:c r="L132" s="32"/>
      <x:c r="M132" s="32"/>
      <x:c r="N132" s="32"/>
    </x:row>
    <x:row r="133">
      <x:c r="A133" s="32" t="n">
        <x:f>'DRLG'!A48</x:f>
        <x:v>3623.3087808</x:v>
      </x:c>
      <x:c r="B133" s="32" t="n">
        <x:f>'DRLG'!B48</x:f>
        <x:v>919150.4032984045</x:v>
      </x:c>
      <x:c r="C133" s="32" t="n">
        <x:f>'DRLG'!A48</x:f>
        <x:v>3623.3087808</x:v>
      </x:c>
      <x:c r="D133" s="32" t="n">
        <x:f>'DRLG'!C48</x:f>
        <x:v>28607.294149836456</x:v>
      </x:c>
      <x:c r="E133" s="32" t="n">
        <x:f>'DRLG'!F48</x:f>
        <x:v>911679.3438291576</x:v>
      </x:c>
      <x:c r="F133" s="32"/>
      <x:c r="G133" s="32"/>
      <x:c r="H133" s="32"/>
      <x:c r="I133" s="32"/>
      <x:c r="J133" s="32"/>
      <x:c r="K133" s="32"/>
      <x:c r="L133" s="32"/>
      <x:c r="M133" s="32"/>
      <x:c r="N133" s="32"/>
    </x:row>
    <x:row r="134">
      <x:c r="A134" s="32" t="n">
        <x:f>'DRLG'!A49</x:f>
        <x:v>3700.3805088</x:v>
      </x:c>
      <x:c r="B134" s="32" t="n">
        <x:f>'DRLG'!B49</x:f>
        <x:v>936201.9429977234</x:v>
      </x:c>
      <x:c r="C134" s="32" t="n">
        <x:f>'DRLG'!A49</x:f>
        <x:v>3700.3805088</x:v>
      </x:c>
      <x:c r="D134" s="32" t="n">
        <x:f>'DRLG'!C49</x:f>
        <x:v>28608.554391989604</x:v>
      </x:c>
      <x:c r="E134" s="32" t="n">
        <x:f>'DRLG'!F49</x:f>
        <x:v>928133.5778881945</x:v>
      </x:c>
      <x:c r="F134" s="32"/>
      <x:c r="G134" s="32"/>
      <x:c r="H134" s="32"/>
      <x:c r="I134" s="32"/>
      <x:c r="J134" s="32"/>
      <x:c r="K134" s="32"/>
      <x:c r="L134" s="32"/>
      <x:c r="M134" s="32"/>
      <x:c r="N134" s="32"/>
    </x:row>
    <x:row r="135">
      <x:c r="A135" s="32" t="n">
        <x:f>'DRLG'!A50</x:f>
        <x:v>3777.4683912</x:v>
      </x:c>
      <x:c r="B135" s="32" t="n">
        <x:f>'DRLG'!B50</x:f>
        <x:v>953247.3732166202</x:v>
      </x:c>
      <x:c r="C135" s="32" t="n">
        <x:f>'DRLG'!A50</x:f>
        <x:v>3777.4683912</x:v>
      </x:c>
      <x:c r="D135" s="32" t="n">
        <x:f>'DRLG'!C50</x:f>
        <x:v>28609.90897272849</x:v>
      </x:c>
      <x:c r="E135" s="32" t="n">
        <x:f>'DRLG'!F50</x:f>
        <x:v>944564.573649733</x:v>
      </x:c>
      <x:c r="F135" s="32"/>
      <x:c r="G135" s="32"/>
      <x:c r="H135" s="32"/>
      <x:c r="I135" s="32"/>
      <x:c r="J135" s="32"/>
      <x:c r="K135" s="32"/>
      <x:c r="L135" s="32"/>
      <x:c r="M135" s="32"/>
      <x:c r="N135" s="32"/>
    </x:row>
    <x:row r="136">
      <x:c r="A136" s="32" t="n">
        <x:f>'DRLG'!A51</x:f>
        <x:v>3854.1542424</x:v>
      </x:c>
      <x:c r="B136" s="32" t="n">
        <x:f>'DRLG'!B51</x:f>
        <x:v>970194.0804175219</x:v>
      </x:c>
      <x:c r="C136" s="32" t="n">
        <x:f>'DRLG'!A51</x:f>
        <x:v>3854.1542424</x:v>
      </x:c>
      <x:c r="D136" s="32" t="n">
        <x:f>'DRLG'!C51</x:f>
        <x:v>28611.23014699836</x:v>
      </x:c>
      <x:c r="E136" s="32" t="n">
        <x:f>'DRLG'!F51</x:f>
        <x:v>960926.3452181949</x:v>
      </x:c>
      <x:c r="F136" s="32"/>
      <x:c r="G136" s="32"/>
      <x:c r="H136" s="32"/>
      <x:c r="I136" s="32"/>
      <x:c r="J136" s="32"/>
      <x:c r="K136" s="32"/>
      <x:c r="L136" s="32"/>
      <x:c r="M136" s="32"/>
      <x:c r="N136" s="32"/>
    </x:row>
    <x:row r="137">
      <x:c r="A137" s="32" t="n">
        <x:f>'DRLG'!A52</x:f>
        <x:v>3930.2240928</x:v>
      </x:c>
      <x:c r="B137" s="32" t="n">
        <x:f>'DRLG'!B52</x:f>
        <x:v>986995.911058625</x:v>
      </x:c>
      <x:c r="C137" s="32" t="n">
        <x:f>'DRLG'!A52</x:f>
        <x:v>3930.2240928</x:v>
      </x:c>
      <x:c r="D137" s="32" t="n">
        <x:f>'DRLG'!C52</x:f>
        <x:v>28612.36194088117</x:v>
      </x:c>
      <x:c r="E137" s="32" t="n">
        <x:f>'DRLG'!F52</x:f>
        <x:v>977233.0846485983</x:v>
      </x:c>
      <x:c r="F137" s="32"/>
      <x:c r="G137" s="32"/>
      <x:c r="H137" s="32"/>
      <x:c r="I137" s="32"/>
      <x:c r="J137" s="32"/>
      <x:c r="K137" s="32"/>
      <x:c r="L137" s="32"/>
      <x:c r="M137" s="32"/>
      <x:c r="N137" s="32"/>
    </x:row>
    <x:row r="138">
      <x:c r="A138" s="32" t="n">
        <x:f>'DRLG'!A53</x:f>
        <x:v>4005.779136</x:v>
      </x:c>
      <x:c r="B138" s="32" t="n">
        <x:f>'DRLG'!B53</x:f>
        <x:v>1003676.8408510318</x:v>
      </x:c>
      <x:c r="C138" s="32" t="n">
        <x:f>'DRLG'!A53</x:f>
        <x:v>4005.779136</x:v>
      </x:c>
      <x:c r="D138" s="32" t="n">
        <x:f>'DRLG'!C53</x:f>
        <x:v>28613.283208291596</x:v>
      </x:c>
      <x:c r="E138" s="32" t="n">
        <x:f>'DRLG'!F53</x:f>
        <x:v>993522.3470334081</x:v>
      </x:c>
      <x:c r="F138" s="32"/>
      <x:c r="G138" s="32"/>
      <x:c r="H138" s="32"/>
      <x:c r="I138" s="32"/>
      <x:c r="J138" s="32"/>
      <x:c r="K138" s="32"/>
      <x:c r="L138" s="32"/>
      <x:c r="M138" s="32"/>
      <x:c r="N138" s="32"/>
    </x:row>
    <x:row r="139">
      <x:c r="A139" s="32" t="n">
        <x:f>'DRLG'!A54</x:f>
        <x:v>4081.1817792</x:v>
      </x:c>
      <x:c r="B139" s="32" t="n">
        <x:f>'DRLG'!B54</x:f>
        <x:v>1020318.5401385546</x:v>
      </x:c>
      <x:c r="C139" s="32" t="n">
        <x:f>'DRLG'!A54</x:f>
        <x:v>4081.1817792</x:v>
      </x:c>
      <x:c r="D139" s="32" t="n">
        <x:f>'DRLG'!C54</x:f>
        <x:v>28614.03648035307</x:v>
      </x:c>
      <x:c r="E139" s="32" t="n">
        <x:f>'DRLG'!F54</x:f>
        <x:v>1009869.5494239427</x:v>
      </x:c>
      <x:c r="F139" s="32"/>
      <x:c r="G139" s="32"/>
      <x:c r="H139" s="32"/>
      <x:c r="I139" s="32"/>
      <x:c r="J139" s="32"/>
      <x:c r="K139" s="32"/>
      <x:c r="L139" s="32"/>
      <x:c r="M139" s="32"/>
      <x:c r="N139" s="32"/>
    </x:row>
    <x:row r="140">
      <x:c r="A140" s="32" t="n">
        <x:f>'DRLG'!A55</x:f>
        <x:v>4156.8727632</x:v>
      </x:c>
      <x:c r="B140" s="32" t="n">
        <x:f>'DRLG'!B55</x:f>
        <x:v>1037019.7969557836</x:v>
      </x:c>
      <x:c r="C140" s="32" t="n">
        <x:f>'DRLG'!A55</x:f>
        <x:v>4156.8727632</x:v>
      </x:c>
      <x:c r="D140" s="32" t="n">
        <x:f>'DRLG'!C55</x:f>
        <x:v>28614.660211611903</x:v>
      </x:c>
      <x:c r="E140" s="32" t="n">
        <x:f>'DRLG'!F55</x:f>
        <x:v>1026361.5307983346</x:v>
      </x:c>
      <x:c r="F140" s="32"/>
      <x:c r="G140" s="32"/>
      <x:c r="H140" s="32"/>
      <x:c r="I140" s="32"/>
      <x:c r="J140" s="32"/>
      <x:c r="K140" s="32"/>
      <x:c r="L140" s="32"/>
      <x:c r="M140" s="32"/>
      <x:c r="N140" s="32"/>
    </x:row>
    <x:row r="141">
      <x:c r="A141" s="32" t="n">
        <x:f>'DRLG'!A56</x:f>
        <x:v>4233.1456104</x:v>
      </x:c>
      <x:c r="B141" s="32" t="n">
        <x:f>'DRLG'!B56</x:f>
        <x:v>1053846.4739392952</x:v>
      </x:c>
      <x:c r="C141" s="32" t="n">
        <x:f>'DRLG'!A56</x:f>
        <x:v>4233.1456104</x:v>
      </x:c>
      <x:c r="D141" s="32" t="n">
        <x:f>'DRLG'!C56</x:f>
        <x:v>28615.187576501845</x:v>
      </x:c>
      <x:c r="E141" s="32" t="n">
        <x:f>'DRLG'!F56</x:f>
        <x:v>1043039.6574381675</x:v>
      </x:c>
      <x:c r="F141" s="32"/>
      <x:c r="G141" s="32"/>
      <x:c r="H141" s="32"/>
      <x:c r="I141" s="32"/>
      <x:c r="J141" s="32"/>
      <x:c r="K141" s="32"/>
      <x:c r="L141" s="32"/>
      <x:c r="M141" s="32"/>
      <x:c r="N141" s="32"/>
    </x:row>
    <x:row r="142">
      <x:c r="A142" s="32" t="n">
        <x:f>'DRLG'!A57</x:f>
        <x:v>4309.9975776</x:v>
      </x:c>
      <x:c r="B142" s="32" t="n">
        <x:f>'DRLG'!B57</x:f>
        <x:v>1070799.1602705836</x:v>
      </x:c>
      <x:c r="C142" s="32" t="n">
        <x:f>'DRLG'!A57</x:f>
        <x:v>4309.9975776</x:v>
      </x:c>
      <x:c r="D142" s="32" t="n">
        <x:f>'DRLG'!C57</x:f>
        <x:v>28615.547542606535</x:v>
      </x:c>
      <x:c r="E142" s="32" t="n">
        <x:f>'DRLG'!F57</x:f>
        <x:v>1059906.3008030595</x:v>
      </x:c>
      <x:c r="F142" s="32"/>
      <x:c r="G142" s="32"/>
      <x:c r="H142" s="32"/>
      <x:c r="I142" s="32"/>
      <x:c r="J142" s="32"/>
      <x:c r="K142" s="32"/>
      <x:c r="L142" s="32"/>
      <x:c r="M142" s="32"/>
      <x:c r="N142" s="32"/>
    </x:row>
    <x:row r="143">
      <x:c r="A143" s="32" t="n">
        <x:f>'DRLG'!A58</x:f>
        <x:v>4387.1302656</x:v>
      </x:c>
      <x:c r="B143" s="32" t="n">
        <x:f>'DRLG'!B58</x:f>
        <x:v>1087812.9940658004</x:v>
      </x:c>
      <x:c r="C143" s="32" t="n">
        <x:f>'DRLG'!A58</x:f>
        <x:v>4387.1302656</x:v>
      </x:c>
      <x:c r="D143" s="32" t="n">
        <x:f>'DRLG'!C58</x:f>
        <x:v>28615.712798580986</x:v>
      </x:c>
      <x:c r="E143" s="32" t="n">
        <x:f>'DRLG'!F58</x:f>
        <x:v>1076882.3423702845</x:v>
      </x:c>
      <x:c r="F143" s="32"/>
      <x:c r="G143" s="32"/>
      <x:c r="H143" s="32"/>
      <x:c r="I143" s="32"/>
      <x:c r="J143" s="32"/>
      <x:c r="K143" s="32"/>
      <x:c r="L143" s="32"/>
      <x:c r="M143" s="32"/>
      <x:c r="N143" s="32"/>
    </x:row>
    <x:row r="144">
      <x:c r="A144" s="32" t="n">
        <x:f>'DRLG'!A59</x:f>
        <x:v>4464.1026288</x:v>
      </x:c>
      <x:c r="B144" s="32" t="n">
        <x:f>'DRLG'!B59</x:f>
        <x:v>1104791.564922813</x:v>
      </x:c>
      <x:c r="C144" s="32" t="n">
        <x:f>'DRLG'!A59</x:f>
        <x:v>4464.1026288</x:v>
      </x:c>
      <x:c r="D144" s="32" t="n">
        <x:f>'DRLG'!C59</x:f>
        <x:v>28615.665985644835</x:v>
      </x:c>
      <x:c r="E144" s="32" t="n">
        <x:f>'DRLG'!F59</x:f>
        <x:v>1093865.8473694501</x:v>
      </x:c>
      <x:c r="F144" s="32"/>
      <x:c r="G144" s="32"/>
      <x:c r="H144" s="32"/>
      <x:c r="I144" s="32"/>
      <x:c r="J144" s="32"/>
      <x:c r="K144" s="32"/>
      <x:c r="L144" s="32"/>
      <x:c r="M144" s="32"/>
      <x:c r="N144" s="32"/>
    </x:row>
    <x:row r="145">
      <x:c r="A145" s="32" t="n">
        <x:f>'DRLG'!A60</x:f>
        <x:v>4540.555308</x:v>
      </x:c>
      <x:c r="B145" s="32" t="n">
        <x:f>'DRLG'!B60</x:f>
        <x:v>1121656.1618409925</x:v>
      </x:c>
      <x:c r="C145" s="32" t="n">
        <x:f>'DRLG'!A60</x:f>
        <x:v>4540.555308</x:v>
      </x:c>
      <x:c r="D145" s="32" t="n">
        <x:f>'DRLG'!C60</x:f>
        <x:v>28615.468292404294</x:v>
      </x:c>
      <x:c r="E145" s="32" t="n">
        <x:f>'DRLG'!F60</x:f>
        <x:v>1110762.7643963285</x:v>
      </x:c>
      <x:c r="F145" s="32"/>
      <x:c r="G145" s="32"/>
      <x:c r="H145" s="32"/>
      <x:c r="I145" s="32"/>
      <x:c r="J145" s="32"/>
      <x:c r="K145" s="32"/>
      <x:c r="L145" s="32"/>
      <x:c r="M145" s="32"/>
      <x:c r="N145" s="32"/>
    </x:row>
    <x:row r="146">
      <x:c r="A146" s="32" t="n">
        <x:f>'DRLG'!A61</x:f>
        <x:v>4616.3935104</x:v>
      </x:c>
      <x:c r="B146" s="32" t="n">
        <x:f>'DRLG'!B61</x:f>
        <x:v>1138386.296912006</x:v>
      </x:c>
      <x:c r="C146" s="32" t="n">
        <x:f>'DRLG'!A61</x:f>
        <x:v>4616.3935104</x:v>
      </x:c>
      <x:c r="D146" s="32" t="n">
        <x:f>'DRLG'!C61</x:f>
        <x:v>28615.19242322703</x:v>
      </x:c>
      <x:c r="E146" s="32" t="n">
        <x:f>'DRLG'!F61</x:f>
        <x:v>1127546.8274228717</x:v>
      </x:c>
      <x:c r="F146" s="32"/>
      <x:c r="G146" s="32"/>
      <x:c r="H146" s="32"/>
      <x:c r="I146" s="32"/>
      <x:c r="J146" s="32"/>
      <x:c r="K146" s="32"/>
      <x:c r="L146" s="32"/>
      <x:c r="M146" s="32"/>
      <x:c r="N146" s="32"/>
    </x:row>
    <x:row r="147">
      <x:c r="A147" s="32" t="n">
        <x:f>'DRLG'!A62</x:f>
        <x:v>4691.8360824</x:v>
      </x:c>
      <x:c r="B147" s="32" t="n">
        <x:f>'DRLG'!B62</x:f>
        <x:v>1155030.372613192</x:v>
      </x:c>
      <x:c r="C147" s="32" t="n">
        <x:f>'DRLG'!A62</x:f>
        <x:v>4691.8360824</x:v>
      </x:c>
      <x:c r="D147" s="32" t="n">
        <x:f>'DRLG'!C62</x:f>
        <x:v>28614.943029485676</x:v>
      </x:c>
      <x:c r="E147" s="32" t="n">
        <x:f>'DRLG'!F62</x:f>
        <x:v>1144252.0891548435</x:v>
      </x:c>
      <x:c r="F147" s="32"/>
      <x:c r="G147" s="32"/>
      <x:c r="H147" s="32"/>
      <x:c r="I147" s="32"/>
      <x:c r="J147" s="32"/>
      <x:c r="K147" s="32"/>
      <x:c r="L147" s="32"/>
      <x:c r="M147" s="32"/>
      <x:c r="N147" s="32"/>
    </x:row>
    <x:row r="148">
      <x:c r="A148" s="32" t="n">
        <x:f>'DRLG'!A63</x:f>
        <x:v>4767.3027336000005</x:v>
      </x:c>
      <x:c r="B148" s="32" t="n">
        <x:f>'DRLG'!B63</x:f>
        <x:v>1171680.8264845596</x:v>
      </x:c>
      <x:c r="C148" s="32" t="n">
        <x:f>'DRLG'!A63</x:f>
        <x:v>4767.3027336000005</x:v>
      </x:c>
      <x:c r="D148" s="32" t="n">
        <x:f>'DRLG'!C63</x:f>
        <x:v>28614.798901367703</x:v>
      </x:c>
      <x:c r="E148" s="32" t="n">
        <x:f>'DRLG'!F63</x:f>
        <x:v>1160956.3595219303</x:v>
      </x:c>
      <x:c r="F148" s="32"/>
      <x:c r="G148" s="32"/>
      <x:c r="H148" s="32"/>
      <x:c r="I148" s="32"/>
      <x:c r="J148" s="32"/>
      <x:c r="K148" s="32"/>
      <x:c r="L148" s="32"/>
      <x:c r="M148" s="32"/>
      <x:c r="N148" s="32"/>
    </x:row>
    <x:row r="149">
      <x:c r="A149" s="32" t="n">
        <x:f>'DRLG'!A64</x:f>
        <x:v>4843.2018960000005</x:v>
      </x:c>
      <x:c r="B149" s="32" t="n">
        <x:f>'DRLG'!B64</x:f>
        <x:v>1188427.2943145775</x:v>
      </x:c>
      <x:c r="C149" s="32" t="n">
        <x:f>'DRLG'!A64</x:f>
        <x:v>4843.2018960000005</x:v>
      </x:c>
      <x:c r="D149" s="32" t="n">
        <x:f>'DRLG'!C64</x:f>
        <x:v>28614.801628582438</x:v>
      </x:c>
      <x:c r="E149" s="32" t="n">
        <x:f>'DRLG'!F64</x:f>
        <x:v>1177732.4423692804</x:v>
      </x:c>
      <x:c r="F149" s="32"/>
      <x:c r="G149" s="32"/>
      <x:c r="H149" s="32"/>
      <x:c r="I149" s="32"/>
      <x:c r="J149" s="32"/>
      <x:c r="K149" s="32"/>
      <x:c r="L149" s="32"/>
      <x:c r="M149" s="32"/>
      <x:c r="N149" s="32"/>
    </x:row>
    <x:row r="150">
      <x:c r="A150" s="32" t="n">
        <x:f>'DRLG'!A65</x:f>
        <x:v>4919.7207168</x:v>
      </x:c>
      <x:c r="B150" s="32" t="n">
        <x:f>'DRLG'!B65</x:f>
        <x:v>1205310.4574943804</x:v>
      </x:c>
      <x:c r="C150" s="32" t="n">
        <x:f>'DRLG'!A65</x:f>
        <x:v>4919.7207168</x:v>
      </x:c>
      <x:c r="D150" s="32" t="n">
        <x:f>'DRLG'!C65</x:f>
        <x:v>28614.926203245843</x:v>
      </x:c>
      <x:c r="E150" s="32" t="n">
        <x:f>'DRLG'!F65</x:f>
        <x:v>1194614.2687367965</x:v>
      </x:c>
      <x:c r="F150" s="32"/>
      <x:c r="G150" s="32"/>
      <x:c r="H150" s="32"/>
      <x:c r="I150" s="32"/>
      <x:c r="J150" s="32"/>
      <x:c r="K150" s="32"/>
      <x:c r="L150" s="32"/>
      <x:c r="M150" s="32"/>
      <x:c r="N150" s="32"/>
    </x:row>
  </x:sheetData>
  <x:mergeCells>
    <x:mergeCell ref="A1:N1"/>
    <x:mergeCell ref="A3:N3"/>
  </x:mergeCells>
  <x:pageMargins left="0.7" right="0.7" top="0.75" bottom="0.75" header="0.3" footer="0.3"/>
  <x:drawing xmlns:r="http://schemas.openxmlformats.org/officeDocument/2006/relationships" r:id="rId1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Observed Data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Mock observed data — replace with validated EDR or rig measurements before operational use</x:v>
      </x:c>
      <x:c r="B3" s="33" t="str">
        <x:v>Mock observed data — replace with validated EDR or rig measurements before operational use</x:v>
      </x:c>
      <x:c r="C3" s="33" t="str">
        <x:v>Mock observed data — replace with validated EDR or rig measurements before operational use</x:v>
      </x:c>
      <x:c r="D3" s="33" t="str">
        <x:v>Mock observed data — replace with validated EDR or rig measurements before operational use</x:v>
      </x:c>
      <x:c r="E3" s="33" t="str">
        <x:v>Mock observed data — replace with validated EDR or rig measurements before operational use</x:v>
      </x:c>
      <x:c r="F3" s="33" t="str">
        <x:v>Mock observed data — replace with validated EDR or rig measurements before operational use</x:v>
      </x:c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MD m (canonical SI)</x:v>
      </x:c>
      <x:c r="B5" s="34" t="str">
        <x:v>Observed hookload N (canonical SI)</x:v>
      </x:c>
      <x:c r="C5" s="34" t="str">
        <x:v>Observed torque N-m (canonical SI)</x:v>
      </x:c>
      <x:c r="D5" s="34" t="str">
        <x:v>Provenance</x:v>
      </x:c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6" t="n">
        <x:f>'Survey'!A6</x:f>
        <x:v>0</x:v>
      </x:c>
      <x:c r="B6" s="36" t="n">
        <x:f>'Calc'!G6*(1+0.018*SIN(1))</x:f>
        <x:v>121817.57732718506</x:v>
      </x:c>
      <x:c r="C6" s="36" t="n">
        <x:f>'Calc'!J6*(1+0.012*COS(1))</x:f>
        <x:v>26168.57431943086</x:v>
      </x:c>
      <x:c r="D6" s="36" t="str">
        <x:f>"MOCK — replace with EDR"</x:f>
        <x:v>MOCK — replace with EDR</x:v>
      </x:c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6" t="n">
        <x:f>'Survey'!A7</x:f>
        <x:v>155.10875760000002</x:v>
      </x:c>
      <x:c r="B7" s="36" t="n">
        <x:f>'Calc'!G7*(1+0.018*SIN(2))</x:f>
        <x:v>157039.05743308828</x:v>
      </x:c>
      <x:c r="C7" s="36" t="n">
        <x:f>'Calc'!J7*(1+0.012*COS(2))</x:f>
        <x:v>25879.040055857247</x:v>
      </x:c>
      <x:c r="D7" s="36" t="str">
        <x:f>"MOCK — replace with EDR"</x:f>
        <x:v>MOCK — replace with EDR</x:v>
      </x:c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6" t="n">
        <x:f>'Survey'!A8</x:f>
        <x:v>307.974492</x:v>
      </x:c>
      <x:c r="B8" s="36" t="n">
        <x:f>'Calc'!G8*(1+0.018*SIN(3))</x:f>
        <x:v>188946.65290163804</x:v>
      </x:c>
      <x:c r="C8" s="36" t="n">
        <x:f>'Calc'!J8*(1+0.012*COS(3))</x:f>
        <x:v>25693.12177221702</x:v>
      </x:c>
      <x:c r="D8" s="36" t="str">
        <x:f>"MOCK — replace with EDR"</x:f>
        <x:v>MOCK — replace with EDR</x:v>
      </x:c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6" t="n">
        <x:f>'Survey'!A9</x:f>
        <x:v>460.2227016</x:v>
      </x:c>
      <x:c r="B9" s="36" t="n">
        <x:f>'Calc'!G9*(1+0.018*SIN(4))</x:f>
        <x:v>219266.2605093704</x:v>
      </x:c>
      <x:c r="C9" s="36" t="n">
        <x:f>'Calc'!J9*(1+0.012*COS(4))</x:f>
        <x:v>25798.811033022106</x:v>
      </x:c>
      <x:c r="D9" s="36" t="str">
        <x:f>"MOCK — replace with EDR"</x:f>
        <x:v>MOCK — replace with EDR</x:v>
      </x:c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6" t="n">
        <x:f>'Survey'!A10</x:f>
        <x:v>611.9649432</x:v>
      </x:c>
      <x:c r="B10" s="36" t="n">
        <x:f>'Calc'!G10*(1+0.018*SIN(5))</x:f>
        <x:v>251597.06199106082</x:v>
      </x:c>
      <x:c r="C10" s="36" t="n">
        <x:f>'Calc'!J10*(1+0.012*COS(5))</x:f>
        <x:v>26092.22601913119</x:v>
      </x:c>
      <x:c r="D10" s="36" t="str">
        <x:f>"MOCK — replace with EDR"</x:f>
        <x:v>MOCK — replace with EDR</x:v>
      </x:c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6" t="n">
        <x:f>'Survey'!A11</x:f>
        <x:v>763.5706344</x:v>
      </x:c>
      <x:c r="B11" s="36" t="n">
        <x:f>'Calc'!G11*(1+0.018*SIN(6))</x:f>
        <x:v>288261.33261841047</x:v>
      </x:c>
      <x:c r="C11" s="36" t="n">
        <x:f>'Calc'!J11*(1+0.012*COS(6))</x:f>
        <x:v>26304.754498142207</x:v>
      </x:c>
      <x:c r="D11" s="36" t="str">
        <x:f>"MOCK — replace with EDR"</x:f>
        <x:v>MOCK — replace with EDR</x:v>
      </x:c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6" t="n">
        <x:f>'Survey'!A12</x:f>
        <x:v>915.4786872000001</x:v>
      </x:c>
      <x:c r="B12" s="36" t="n">
        <x:f>'Calc'!G12*(1+0.018*SIN(7))</x:f>
        <x:v>327282.29934483353</x:v>
      </x:c>
      <x:c r="C12" s="36" t="n">
        <x:f>'Calc'!J12*(1+0.012*COS(7))</x:f>
        <x:v>26236.435180024586</x:v>
      </x:c>
      <x:c r="D12" s="36" t="str">
        <x:f>"MOCK — replace with EDR"</x:f>
        <x:v>MOCK — replace with EDR</x:v>
      </x:c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6" t="n">
        <x:f>'Survey'!A13</x:f>
        <x:v>1067.9740896</x:v>
      </x:c>
      <x:c r="B13" s="36" t="n">
        <x:f>'Calc'!G13*(1+0.018*SIN(8))</x:f>
        <x:v>363708.054446687</x:v>
      </x:c>
      <x:c r="C13" s="36" t="n">
        <x:f>'Calc'!J13*(1+0.012*COS(8))</x:f>
        <x:v>25958.092338112583</x:v>
      </x:c>
      <x:c r="D13" s="36" t="str">
        <x:f>"MOCK — replace with EDR"</x:f>
        <x:v>MOCK — replace with EDR</x:v>
      </x:c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6" t="n">
        <x:f>'Survey'!A14</x:f>
        <x:v>1221.042516</x:v>
      </x:c>
      <x:c r="B14" s="36" t="n">
        <x:f>'Calc'!G14*(1+0.018*SIN(9))</x:f>
        <x:v>394248.73894032446</x:v>
      </x:c>
      <x:c r="C14" s="36" t="n">
        <x:f>'Calc'!J14*(1+0.012*COS(9))</x:f>
        <x:v>25717.552092721377</x:v>
      </x:c>
      <x:c r="D14" s="36" t="str">
        <x:f>"MOCK — replace with EDR"</x:f>
        <x:v>MOCK — replace with EDR</x:v>
      </x:c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36" t="n">
        <x:f>'Survey'!A15</x:f>
        <x:v>1374.3773376000001</x:v>
      </x:c>
      <x:c r="B15" s="36" t="n">
        <x:f>'Calc'!G15*(1+0.018*SIN(10))</x:f>
        <x:v>421262.67194410786</x:v>
      </x:c>
      <x:c r="C15" s="36" t="n">
        <x:f>'Calc'!J15*(1+0.012*COS(10))</x:f>
        <x:v>25742.85450013991</x:v>
      </x:c>
      <x:c r="D15" s="36" t="str">
        <x:f>"MOCK — replace with EDR"</x:f>
        <x:v>MOCK — replace with EDR</x:v>
      </x:c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6" t="n">
        <x:f>'Survey'!A16</x:f>
        <x:v>1527.5362896000001</x:v>
      </x:c>
      <x:c r="B16" s="36" t="n">
        <x:f>'Calc'!G16*(1+0.018*SIN(11))</x:f>
        <x:v>451168.93508420215</x:v>
      </x:c>
      <x:c r="C16" s="36" t="n">
        <x:f>'Calc'!J16*(1+0.012*COS(11))</x:f>
        <x:v>26001.783394825576</x:v>
      </x:c>
      <x:c r="D16" s="36" t="str">
        <x:f>"MOCK — replace with EDR"</x:f>
        <x:v>MOCK — replace with EDR</x:v>
      </x:c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6" t="n">
        <x:f>'Survey'!A17</x:f>
        <x:v>1565.8667184</x:v>
      </x:c>
      <x:c r="B17" s="36" t="n">
        <x:f>'Calc'!G17*(1+0.018*SIN(12))</x:f>
        <x:v>463826.3444079588</x:v>
      </x:c>
      <x:c r="C17" s="36" t="n">
        <x:f>'Calc'!J17*(1+0.012*COS(12))</x:f>
        <x:v>26314.633923983183</x:v>
      </x:c>
      <x:c r="D17" s="36" t="str">
        <x:f>"MOCK — replace with EDR"</x:f>
        <x:v>MOCK — replace with EDR</x:v>
      </x:c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6" t="n">
        <x:f>'Survey'!A18</x:f>
        <x:v>1603.5857184000001</x:v>
      </x:c>
      <x:c r="B18" s="36" t="n">
        <x:f>'Calc'!G18*(1+0.018*SIN(13))</x:f>
        <x:v>480694.92590471177</x:v>
      </x:c>
      <x:c r="C18" s="36" t="n">
        <x:f>'Calc'!J18*(1+0.012*COS(13))</x:f>
        <x:v>26329.58387249413</x:v>
      </x:c>
      <x:c r="D18" s="36" t="str">
        <x:f>"MOCK — replace with EDR"</x:f>
        <x:v>MOCK — replace with EDR</x:v>
      </x:c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6" t="n">
        <x:f>'Survey'!A19</x:f>
        <x:v>1640.9209752000002</x:v>
      </x:c>
      <x:c r="B19" s="36" t="n">
        <x:f>'Calc'!G19*(1+0.018*SIN(14))</x:f>
        <x:v>494367.70513807226</x:v>
      </x:c>
      <x:c r="C19" s="36" t="n">
        <x:f>'Calc'!J19*(1+0.012*COS(14))</x:f>
        <x:v>26084.713442593045</x:v>
      </x:c>
      <x:c r="D19" s="36" t="str">
        <x:f>"MOCK — replace with EDR"</x:f>
        <x:v>MOCK — replace with EDR</x:v>
      </x:c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6" t="n">
        <x:f>'Survey'!A20</x:f>
        <x:v>1678.2970752</x:v>
      </x:c>
      <x:c r="B20" s="36" t="n">
        <x:f>'Calc'!G20*(1+0.018*SIN(15))</x:f>
        <x:v>500107.0027667045</x:v>
      </x:c>
      <x:c r="C20" s="36" t="n">
        <x:f>'Calc'!J20*(1+0.012*COS(15))</x:f>
        <x:v>25802.607120154073</x:v>
      </x:c>
      <x:c r="D20" s="36" t="str">
        <x:f>"MOCK — replace with EDR"</x:f>
        <x:v>MOCK — replace with EDR</x:v>
      </x:c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6" t="n">
        <x:f>'Survey'!A21</x:f>
        <x:v>1716.1166592000002</x:v>
      </x:c>
      <x:c r="B21" s="36" t="n">
        <x:f>'Calc'!G21*(1+0.018*SIN(16))</x:f>
        <x:v>500437.39486777695</x:v>
      </x:c>
      <x:c r="C21" s="36" t="n">
        <x:f>'Calc'!J21*(1+0.012*COS(16))</x:f>
        <x:v>25742.144942762086</x:v>
      </x:c>
      <x:c r="D21" s="36" t="str">
        <x:f>"MOCK — replace with EDR"</x:f>
        <x:v>MOCK — replace with EDR</x:v>
      </x:c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6" t="n">
        <x:f>'Survey'!A22</x:f>
        <x:v>1754.5571208000001</x:v>
      </x:c>
      <x:c r="B22" s="36" t="n">
        <x:f>'Calc'!G22*(1+0.018*SIN(17))</x:f>
        <x:v>503079.2003429036</x:v>
      </x:c>
      <x:c r="C22" s="36" t="n">
        <x:f>'Calc'!J22*(1+0.012*COS(17))</x:f>
        <x:v>25959.57479537448</x:v>
      </x:c>
      <x:c r="D22" s="36" t="str">
        <x:f>"MOCK — replace with EDR"</x:f>
        <x:v>MOCK — replace with EDR</x:v>
      </x:c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6" t="n">
        <x:f>'Survey'!A23</x:f>
        <x:v>1793.4788616</x:v>
      </x:c>
      <x:c r="B23" s="36" t="n">
        <x:f>'Calc'!G23*(1+0.018*SIN(18))</x:f>
        <x:v>513932.61202560435</x:v>
      </x:c>
      <x:c r="C23" s="36" t="n">
        <x:f>'Calc'!J23*(1+0.012*COS(18))</x:f>
        <x:v>26256.52933777678</x:v>
      </x:c>
      <x:c r="D23" s="36" t="str">
        <x:f>"MOCK — replace with EDR"</x:f>
        <x:v>MOCK — replace with EDR</x:v>
      </x:c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36" t="n">
        <x:f>'Survey'!A24</x:f>
        <x:v>1832.4975288000003</x:v>
      </x:c>
      <x:c r="B24" s="36" t="n">
        <x:f>'Calc'!G24*(1+0.018*SIN(19))</x:f>
        <x:v>531479.9923039187</x:v>
      </x:c>
      <x:c r="C24" s="36" t="n">
        <x:f>'Calc'!J24*(1+0.012*COS(19))</x:f>
        <x:v>26361.344664472363</x:v>
      </x:c>
      <x:c r="D24" s="36" t="str">
        <x:f>"MOCK — replace with EDR"</x:f>
        <x:v>MOCK — replace with EDR</x:v>
      </x:c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36" t="n">
        <x:f>'Survey'!A25</x:f>
        <x:v>1871.1787824</x:v>
      </x:c>
      <x:c r="B25" s="36" t="n">
        <x:f>'Calc'!G25*(1+0.018*SIN(20))</x:f>
        <x:v>547895.0048407514</x:v>
      </x:c>
      <x:c r="C25" s="36" t="n">
        <x:f>'Calc'!J25*(1+0.012*COS(20))</x:f>
        <x:v>26178.153984920755</x:v>
      </x:c>
      <x:c r="D25" s="36" t="str">
        <x:f>"MOCK — replace with EDR"</x:f>
        <x:v>MOCK — replace with EDR</x:v>
      </x:c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36" t="n">
        <x:f>'Survey'!A26</x:f>
        <x:v>1947.3607992000002</x:v>
      </x:c>
      <x:c r="B26" s="36" t="n">
        <x:f>'Calc'!G26*(1+0.018*SIN(21))</x:f>
        <x:v>564595.2532565144</x:v>
      </x:c>
      <x:c r="C26" s="36" t="n">
        <x:f>'Calc'!J26*(1+0.012*COS(21))</x:f>
        <x:v>25862.72936880896</x:v>
      </x:c>
      <x:c r="D26" s="36" t="str">
        <x:f>"MOCK — replace with EDR"</x:f>
        <x:v>MOCK — replace with EDR</x:v>
      </x:c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36" t="n">
        <x:f>'Survey'!A27</x:f>
        <x:v>2022.9868608</x:v>
      </x:c>
      <x:c r="B27" s="36" t="n">
        <x:f>'Calc'!G27*(1+0.018*SIN(22))</x:f>
        <x:v>573086.6912779916</x:v>
      </x:c>
      <x:c r="C27" s="36" t="n">
        <x:f>'Calc'!J27*(1+0.012*COS(22))</x:f>
        <x:v>25709.03195053479</x:v>
      </x:c>
      <x:c r="D27" s="36" t="str">
        <x:f>"MOCK — replace with EDR"</x:f>
        <x:v>MOCK — replace with EDR</x:v>
      </x:c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6" t="n">
        <x:f>'Survey'!A28</x:f>
        <x:v>2098.3837128</x:v>
      </x:c>
      <x:c r="B28" s="36" t="n">
        <x:f>'Calc'!G28*(1+0.018*SIN(23))</x:f>
        <x:v>581091.5138957512</x:v>
      </x:c>
      <x:c r="C28" s="36" t="n">
        <x:f>'Calc'!J28*(1+0.012*COS(23))</x:f>
        <x:v>25854.032673819198</x:v>
      </x:c>
      <x:c r="D28" s="36" t="str">
        <x:f>"MOCK — replace with EDR"</x:f>
        <x:v>MOCK — replace with EDR</x:v>
      </x:c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</x:row>
    <x:row r="29">
      <x:c r="A29" s="36" t="n">
        <x:f>'Survey'!A29</x:f>
        <x:v>2173.9945344000002</x:v>
      </x:c>
      <x:c r="B29" s="36" t="n">
        <x:f>'Calc'!G29*(1+0.018*SIN(24))</x:f>
        <x:v>597125.4129346877</x:v>
      </x:c>
      <x:c r="C29" s="36" t="n">
        <x:f>'Calc'!J29*(1+0.012*COS(24))</x:f>
        <x:v>26151.759419427683</x:v>
      </x:c>
      <x:c r="D29" s="36" t="str">
        <x:f>"MOCK — replace with EDR"</x:f>
        <x:v>MOCK — replace with EDR</x:v>
      </x:c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</x:row>
    <x:row r="30">
      <x:c r="A30" s="36" t="n">
        <x:f>'Survey'!A30</x:f>
        <x:v>2250.1543008</x:v>
      </x:c>
      <x:c r="B30" s="36" t="n">
        <x:f>'Calc'!G30*(1+0.018*SIN(25))</x:f>
        <x:v>622585.3800504586</x:v>
      </x:c>
      <x:c r="C30" s="36" t="n">
        <x:f>'Calc'!J30*(1+0.012*COS(25))</x:f>
        <x:v>26327.471992530613</x:v>
      </x:c>
      <x:c r="D30" s="36" t="str">
        <x:f>"MOCK — replace with EDR"</x:f>
        <x:v>MOCK — replace with EDR</x:v>
      </x:c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</x:row>
    <x:row r="31">
      <x:c r="A31" s="36" t="n">
        <x:f>'Survey'!A31</x:f>
        <x:v>2326.9172664000002</x:v>
      </x:c>
      <x:c r="B31" s="36" t="n">
        <x:f>'Calc'!G31*(1+0.018*SIN(26))</x:f>
        <x:v>650047.5218695871</x:v>
      </x:c>
      <x:c r="C31" s="36" t="n">
        <x:f>'Calc'!J31*(1+0.012*COS(26))</x:f>
        <x:v>26218.40091099343</x:v>
      </x:c>
      <x:c r="D31" s="36" t="str">
        <x:f>"MOCK — replace with EDR"</x:f>
        <x:v>MOCK — replace with EDR</x:v>
      </x:c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</x:row>
    <x:row r="32">
      <x:c r="A32" s="36" t="n">
        <x:f>'Survey'!A32</x:f>
        <x:v>2404.030752</x:v>
      </x:c>
      <x:c r="B32" s="36" t="n">
        <x:f>'Calc'!G32*(1+0.018*SIN(27))</x:f>
        <x:v>669818.5237866973</x:v>
      </x:c>
      <x:c r="C32" s="36" t="n">
        <x:f>'Calc'!J32*(1+0.012*COS(27))</x:f>
        <x:v>25923.419100080304</x:v>
      </x:c>
      <x:c r="D32" s="36" t="str">
        <x:f>"MOCK — replace with EDR"</x:f>
        <x:v>MOCK — replace with EDR</x:v>
      </x:c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</x:row>
    <x:row r="33">
      <x:c r="A33" s="36" t="n">
        <x:f>'Survey'!A33</x:f>
        <x:v>2481.0637704</x:v>
      </x:c>
      <x:c r="B33" s="36" t="n">
        <x:f>'Calc'!G33*(1+0.018*SIN(28))</x:f>
        <x:v>678981.111307488</x:v>
      </x:c>
      <x:c r="C33" s="36" t="n">
        <x:f>'Calc'!J33*(1+0.012*COS(28))</x:f>
        <x:v>25712.118139980816</x:v>
      </x:c>
      <x:c r="D33" s="36" t="str">
        <x:f>"MOCK — replace with EDR"</x:f>
        <x:v>MOCK — replace with EDR</x:v>
      </x:c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</x:row>
    <x:row r="34">
      <x:c r="A34" s="36" t="n">
        <x:f>'Survey'!A34</x:f>
        <x:v>2557.6252632</x:v>
      </x:c>
      <x:c r="B34" s="36" t="n">
        <x:f>'Calc'!G34*(1+0.018*SIN(29))</x:f>
        <x:v>684493.3043575898</x:v>
      </x:c>
      <x:c r="C34" s="36" t="n">
        <x:f>'Calc'!J34*(1+0.012*COS(29))</x:f>
        <x:v>25777.04844788291</x:v>
      </x:c>
      <x:c r="D34" s="36" t="str">
        <x:f>"MOCK — replace with EDR"</x:f>
        <x:v>MOCK — replace with EDR</x:v>
      </x:c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</x:row>
    <x:row r="35">
      <x:c r="A35" s="36" t="n">
        <x:f>'Survey'!A35</x:f>
        <x:v>2633.5658784</x:v>
      </x:c>
      <x:c r="B35" s="36" t="n">
        <x:f>'Calc'!G35*(1+0.018*SIN(30))</x:f>
        <x:v>697075.9614829029</x:v>
      </x:c>
      <x:c r="C35" s="36" t="n">
        <x:f>'Calc'!J35*(1+0.012*COS(30))</x:f>
        <x:v>26056.688438927133</x:v>
      </x:c>
      <x:c r="D35" s="36" t="str">
        <x:f>"MOCK — replace with EDR"</x:f>
        <x:v>MOCK — replace with EDR</x:v>
      </x:c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</x:row>
    <x:row r="36">
      <x:c r="A36" s="36" t="n">
        <x:f>'Survey'!A36</x:f>
        <x:v>2709.0514272</x:v>
      </x:c>
      <x:c r="B36" s="36" t="n">
        <x:f>'Calc'!G36*(1+0.018*SIN(31))</x:f>
        <x:v>721227.9918261562</x:v>
      </x:c>
      <x:c r="C36" s="36" t="n">
        <x:f>'Calc'!J36*(1+0.012*COS(31))</x:f>
        <x:v>26292.2642913516</x:v>
      </x:c>
      <x:c r="D36" s="36" t="str">
        <x:f>"MOCK — replace with EDR"</x:f>
        <x:v>MOCK — replace with EDR</x:v>
      </x:c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</x:row>
    <x:row r="37">
      <x:c r="A37" s="36" t="n">
        <x:f>'Survey'!A37</x:f>
        <x:v>2784.480588</x:v>
      </x:c>
      <x:c r="B37" s="36" t="n">
        <x:f>'Calc'!G37*(1+0.018*SIN(32))</x:f>
        <x:v>750679.5322703216</x:v>
      </x:c>
      <x:c r="C37" s="36" t="n">
        <x:f>'Calc'!J37*(1+0.012*COS(32))</x:f>
        <x:v>26265.667215111192</x:v>
      </x:c>
      <x:c r="D37" s="36" t="str">
        <x:f>"MOCK — replace with EDR"</x:f>
        <x:v>MOCK — replace with EDR</x:v>
      </x:c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</x:row>
    <x:row r="38">
      <x:c r="A38" s="36" t="n">
        <x:f>'Survey'!A38</x:f>
        <x:v>2860.2800807999997</x:v>
      </x:c>
      <x:c r="B38" s="36" t="n">
        <x:f>'Calc'!G38*(1+0.018*SIN(33))</x:f>
        <x:v>773846.6903352209</x:v>
      </x:c>
      <x:c r="C38" s="36" t="n">
        <x:f>'Calc'!J38*(1+0.012*COS(33))</x:f>
        <x:v>26000.032813626392</x:v>
      </x:c>
      <x:c r="D38" s="36" t="str">
        <x:f>"MOCK — replace with EDR"</x:f>
        <x:v>MOCK — replace with EDR</x:v>
      </x:c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</x:row>
    <x:row r="39">
      <x:c r="A39" s="36" t="n">
        <x:f>'Survey'!A39</x:f>
        <x:v>2936.688564</x:v>
      </x:c>
      <x:c r="B39" s="36" t="n">
        <x:f>'Calc'!G39*(1+0.018*SIN(34))</x:f>
        <x:v>784556.9117634549</x:v>
      </x:c>
      <x:c r="C39" s="36" t="n">
        <x:f>'Calc'!J39*(1+0.012*COS(34))</x:f>
        <x:v>25738.419191858855</x:v>
      </x:c>
      <x:c r="D39" s="36" t="str">
        <x:f>"MOCK — replace with EDR"</x:f>
        <x:v>MOCK — replace with EDR</x:v>
      </x:c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</x:row>
    <x:row r="40">
      <x:c r="A40" s="36" t="n">
        <x:f>'Survey'!A40</x:f>
        <x:v>3013.6334952</x:v>
      </x:c>
      <x:c r="B40" s="36" t="n">
        <x:f>'Calc'!G40*(1+0.018*SIN(35))</x:f>
        <x:v>788137.0727423179</x:v>
      </x:c>
      <x:c r="C40" s="36" t="n">
        <x:f>'Calc'!J40*(1+0.012*COS(35))</x:f>
        <x:v>25720.353727491565</x:v>
      </x:c>
      <x:c r="D40" s="36" t="str">
        <x:f>"MOCK — replace with EDR"</x:f>
        <x:v>MOCK — replace with EDR</x:v>
      </x:c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</x:row>
    <x:row r="41">
      <x:c r="A41" s="36" t="n">
        <x:f>'Survey'!A41</x:f>
        <x:v>3090.7698408</x:v>
      </x:c>
      <x:c r="B41" s="36" t="n">
        <x:f>'Calc'!G41*(1+0.018*SIN(36))</x:f>
        <x:v>796913.2649281424</x:v>
      </x:c>
      <x:c r="C41" s="36" t="n">
        <x:f>'Calc'!J41*(1+0.012*COS(36))</x:f>
        <x:v>25961.671810848602</x:v>
      </x:c>
      <x:c r="D41" s="36" t="str">
        <x:f>"MOCK — replace with EDR"</x:f>
        <x:v>MOCK — replace with EDR</x:v>
      </x:c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</x:row>
    <x:row r="42">
      <x:c r="A42" s="36" t="n">
        <x:f>'Survey'!A42</x:f>
        <x:v>3167.6544215999998</x:v>
      </x:c>
      <x:c r="B42" s="36" t="n">
        <x:f>'Calc'!G42*(1+0.018*SIN(37))</x:f>
        <x:v>818885.0412676178</x:v>
      </x:c>
      <x:c r="C42" s="36" t="n">
        <x:f>'Calc'!J42*(1+0.012*COS(37))</x:f>
        <x:v>26240.389684408266</x:v>
      </x:c>
      <x:c r="D42" s="36" t="str">
        <x:f>"MOCK — replace with EDR"</x:f>
        <x:v>MOCK — replace with EDR</x:v>
      </x:c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</x:row>
    <x:row r="43">
      <x:c r="A43" s="36" t="n">
        <x:f>'Survey'!A43</x:f>
        <x:v>3243.9723792</x:v>
      </x:c>
      <x:c r="B43" s="36" t="n">
        <x:f>'Calc'!G43*(1+0.018*SIN(38))</x:f>
        <x:v>849955.7953641264</x:v>
      </x:c>
      <x:c r="C43" s="36" t="n">
        <x:f>'Calc'!J43*(1+0.012*COS(38))</x:f>
        <x:v>26300.337195547174</x:v>
      </x:c>
      <x:c r="D43" s="36" t="str">
        <x:f>"MOCK — replace with EDR"</x:f>
        <x:v>MOCK — replace with EDR</x:v>
      </x:c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</x:row>
    <x:row r="44">
      <x:c r="A44" s="36" t="n">
        <x:f>'Survey'!A44</x:f>
        <x:v>3319.6978056000003</x:v>
      </x:c>
      <x:c r="B44" s="36" t="n">
        <x:f>'Calc'!G44*(1+0.018*SIN(39))</x:f>
        <x:v>877244.508154193</x:v>
      </x:c>
      <x:c r="C44" s="36" t="n">
        <x:f>'Calc'!J44*(1+0.012*COS(39))</x:f>
        <x:v>26086.481263831774</x:v>
      </x:c>
      <x:c r="D44" s="36" t="str">
        <x:f>"MOCK — replace with EDR"</x:f>
        <x:v>MOCK — replace with EDR</x:v>
      </x:c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</x:row>
    <x:row r="45">
      <x:c r="A45" s="36" t="n">
        <x:f>'Survey'!A45</x:f>
        <x:v>3395.1068496000003</x:v>
      </x:c>
      <x:c r="B45" s="36" t="n">
        <x:f>'Calc'!G45*(1+0.018*SIN(40))</x:f>
        <x:v>890851.6014846342</x:v>
      </x:c>
      <x:c r="C45" s="36" t="n">
        <x:f>'Calc'!J45*(1+0.012*COS(40))</x:f>
        <x:v>25796.033635007003</x:v>
      </x:c>
      <x:c r="D45" s="36" t="str">
        <x:f>"MOCK — replace with EDR"</x:f>
        <x:v>MOCK — replace with EDR</x:v>
      </x:c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</x:row>
    <x:row r="46">
      <x:c r="A46" s="36" t="n">
        <x:f>'Survey'!A46</x:f>
        <x:v>3470.6368992</x:v>
      </x:c>
      <x:c r="B46" s="36" t="n">
        <x:f>'Calc'!G46*(1+0.018*SIN(41))</x:f>
        <x:v>893312.8746377303</x:v>
      </x:c>
      <x:c r="C46" s="36" t="n">
        <x:f>'Calc'!J46*(1+0.012*COS(41))</x:f>
        <x:v>25696.80844759451</x:v>
      </x:c>
      <x:c r="D46" s="36" t="str">
        <x:f>"MOCK — replace with EDR"</x:f>
        <x:v>MOCK — replace with EDR</x:v>
      </x:c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</x:row>
    <x:row r="47">
      <x:c r="A47" s="36" t="n">
        <x:f>'Survey'!A47</x:f>
        <x:v>3546.6631632</x:v>
      </x:c>
      <x:c r="B47" s="36" t="n">
        <x:f>'Calc'!G47*(1+0.018*SIN(42))</x:f>
        <x:v>897737.5450259125</x:v>
      </x:c>
      <x:c r="C47" s="36" t="n">
        <x:f>'Calc'!J47*(1+0.012*COS(42))</x:f>
        <x:v>25880.877679872458</x:v>
      </x:c>
      <x:c r="D47" s="36" t="str">
        <x:f>"MOCK — replace with EDR"</x:f>
        <x:v>MOCK — replace with EDR</x:v>
      </x:c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</x:row>
    <x:row r="48">
      <x:c r="A48" s="36" t="n">
        <x:f>'Survey'!A48</x:f>
        <x:v>3623.3087808</x:v>
      </x:c>
      <x:c r="B48" s="36" t="n">
        <x:f>'Calc'!G48*(1+0.018*SIN(43))</x:f>
        <x:v>915944.7609816786</x:v>
      </x:c>
      <x:c r="C48" s="36" t="n">
        <x:f>'Calc'!J48*(1+0.012*COS(43))</x:f>
        <x:v>26179.87056715773</x:v>
      </x:c>
      <x:c r="D48" s="36" t="str">
        <x:f>"MOCK — replace with EDR"</x:f>
        <x:v>MOCK — replace with EDR</x:v>
      </x:c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</x:row>
    <x:row r="49">
      <x:c r="A49" s="36" t="n">
        <x:f>'Survey'!A49</x:f>
        <x:v>3700.3805088</x:v>
      </x:c>
      <x:c r="B49" s="36" t="n">
        <x:f>'Calc'!G49*(1+0.018*SIN(44))</x:f>
        <x:v>947342.4417326832</x:v>
      </x:c>
      <x:c r="C49" s="36" t="n">
        <x:f>'Calc'!J49*(1+0.012*COS(44))</x:f>
        <x:v>26319.82113830598</x:v>
      </x:c>
      <x:c r="D49" s="36" t="str">
        <x:f>"MOCK — replace with EDR"</x:f>
        <x:v>MOCK — replace with EDR</x:v>
      </x:c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</x:row>
    <x:row r="50">
      <x:c r="A50" s="36" t="n">
        <x:f>'Survey'!A50</x:f>
        <x:v>3777.4683912</x:v>
      </x:c>
      <x:c r="B50" s="36" t="n">
        <x:f>'Calc'!G50*(1+0.018*SIN(45))</x:f>
        <x:v>978996.3423620455</x:v>
      </x:c>
      <x:c r="C50" s="36" t="n">
        <x:f>'Calc'!J50*(1+0.012*COS(45))</x:f>
        <x:v>26172.965403732607</x:v>
      </x:c>
      <x:c r="D50" s="36" t="str">
        <x:f>"MOCK — replace with EDR"</x:f>
        <x:v>MOCK — replace with EDR</x:v>
      </x:c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</x:row>
    <x:row r="51">
      <x:c r="A51" s="36" t="n">
        <x:f>'Survey'!A51</x:f>
        <x:v>3854.1542424</x:v>
      </x:c>
      <x:c r="B51" s="36" t="n">
        <x:f>'Calc'!G51*(1+0.018*SIN(46))</x:f>
        <x:v>997264.6789186178</x:v>
      </x:c>
      <x:c r="C51" s="36" t="n">
        <x:f>'Calc'!J51*(1+0.012*COS(46))</x:f>
        <x:v>25875.316759319725</x:v>
      </x:c>
      <x:c r="D51" s="36" t="str">
        <x:f>"MOCK — replace with EDR"</x:f>
        <x:v>MOCK — replace with EDR</x:v>
      </x:c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</x:row>
    <x:row r="52">
      <x:c r="A52" s="36" t="n">
        <x:f>'Survey'!A52</x:f>
        <x:v>3930.2240928</x:v>
      </x:c>
      <x:c r="B52" s="36" t="n">
        <x:f>'Calc'!G52*(1+0.018*SIN(47))</x:f>
        <x:v>1000534.830740535</x:v>
      </x:c>
      <x:c r="C52" s="36" t="n">
        <x:f>'Calc'!J52*(1+0.012*COS(47))</x:f>
        <x:v>25701.49563778156</x:v>
      </x:c>
      <x:c r="D52" s="36" t="str">
        <x:f>"MOCK — replace with EDR"</x:f>
        <x:v>MOCK — replace with EDR</x:v>
      </x:c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</x:row>
    <x:row r="53">
      <x:c r="A53" s="36" t="n">
        <x:f>'Survey'!A53</x:f>
        <x:v>4005.779136</x:v>
      </x:c>
      <x:c r="B53" s="36" t="n">
        <x:f>'Calc'!G53*(1+0.018*SIN(48))</x:f>
        <x:v>1001146.7856034396</x:v>
      </x:c>
      <x:c r="C53" s="36" t="n">
        <x:f>'Calc'!J53*(1+0.012*COS(48))</x:f>
        <x:v>25812.257848125988</x:v>
      </x:c>
      <x:c r="D53" s="36" t="str">
        <x:f>"MOCK — replace with EDR"</x:f>
        <x:v>MOCK — replace with EDR</x:v>
      </x:c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</x:row>
    <x:row r="54">
      <x:c r="A54" s="36" t="n">
        <x:f>'Survey'!A54</x:f>
        <x:v>4081.1817792</x:v>
      </x:c>
      <x:c r="B54" s="36" t="n">
        <x:f>'Calc'!G54*(1+0.018*SIN(49))</x:f>
        <x:v>1014310.622414648</x:v>
      </x:c>
      <x:c r="C54" s="36" t="n">
        <x:f>'Calc'!J54*(1+0.012*COS(49))</x:f>
        <x:v>26106.591338638085</x:v>
      </x:c>
      <x:c r="D54" s="36" t="str">
        <x:f>"MOCK — replace with EDR"</x:f>
        <x:v>MOCK — replace with EDR</x:v>
      </x:c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</x:row>
    <x:row r="55">
      <x:c r="A55" s="36" t="n">
        <x:f>'Survey'!A55</x:f>
        <x:v>4156.8727632</x:v>
      </x:c>
      <x:c r="B55" s="36" t="n">
        <x:f>'Calc'!G55*(1+0.018*SIN(50))</x:f>
        <x:v>1043985.2761453318</x:v>
      </x:c>
      <x:c r="C55" s="36" t="n">
        <x:f>'Calc'!J55*(1+0.012*COS(50))</x:f>
        <x:v>26314.551192604093</x:v>
      </x:c>
      <x:c r="D55" s="36" t="str">
        <x:f>"MOCK — replace with EDR"</x:f>
        <x:v>MOCK — replace with EDR</x:v>
      </x:c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</x:row>
    <x:row r="56">
      <x:c r="A56" s="36" t="n">
        <x:f>'Survey'!A56</x:f>
        <x:v>4233.1456104</x:v>
      </x:c>
      <x:c r="B56" s="36" t="n">
        <x:f>'Calc'!G56*(1+0.018*SIN(51))</x:f>
        <x:v>1078843.4145047888</x:v>
      </x:c>
      <x:c r="C56" s="36" t="n">
        <x:f>'Calc'!J56*(1+0.012*COS(51))</x:f>
        <x:v>26245.481959210923</x:v>
      </x:c>
      <x:c r="D56" s="36" t="str">
        <x:f>"MOCK — replace with EDR"</x:f>
        <x:v>MOCK — replace with EDR</x:v>
      </x:c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</x:row>
    <x:row r="57">
      <x:c r="A57" s="36" t="n">
        <x:f>'Survey'!A57</x:f>
        <x:v>4309.9975776</x:v>
      </x:c>
      <x:c r="B57" s="36" t="n">
        <x:f>'Calc'!G57*(1+0.018*SIN(52))</x:f>
        <x:v>1102394.6637559647</x:v>
      </x:c>
      <x:c r="C57" s="36" t="n">
        <x:f>'Calc'!J57*(1+0.012*COS(52))</x:f>
        <x:v>25963.253361240124</x:v>
      </x:c>
      <x:c r="D57" s="36" t="str">
        <x:f>"MOCK — replace with EDR"</x:f>
        <x:v>MOCK — replace with EDR</x:v>
      </x:c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</x:row>
    <x:row r="58">
      <x:c r="A58" s="36" t="n">
        <x:f>'Survey'!A58</x:f>
        <x:v>4387.1302656</x:v>
      </x:c>
      <x:c r="B58" s="36" t="n">
        <x:f>'Calc'!G58*(1+0.018*SIN(53))</x:f>
        <x:v>1108239.4639730041</x:v>
      </x:c>
      <x:c r="C58" s="36" t="n">
        <x:f>'Calc'!J58*(1+0.012*COS(53))</x:f>
        <x:v>25727.622728039514</x:v>
      </x:c>
      <x:c r="D58" s="36" t="str">
        <x:f>"MOCK — replace with EDR"</x:f>
        <x:v>MOCK — replace with EDR</x:v>
      </x:c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</x:row>
    <x:row r="59">
      <x:c r="A59" s="36" t="n">
        <x:f>'Survey'!A59</x:f>
        <x:v>4464.1026288</x:v>
      </x:c>
      <x:c r="B59" s="36" t="n">
        <x:f>'Calc'!G59*(1+0.018*SIN(54))</x:f>
        <x:v>1106359.116525015</x:v>
      </x:c>
      <x:c r="C59" s="36" t="n">
        <x:f>'Calc'!J59*(1+0.012*COS(54))</x:f>
        <x:v>25755.355406849965</x:v>
      </x:c>
      <x:c r="D59" s="36" t="str">
        <x:f>"MOCK — replace with EDR"</x:f>
        <x:v>MOCK — replace with EDR</x:v>
      </x:c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</x:row>
    <x:row r="60">
      <x:c r="A60" s="36" t="n">
        <x:f>'Survey'!A60</x:f>
        <x:v>4540.555308</x:v>
      </x:c>
      <x:c r="B60" s="36" t="n">
        <x:f>'Calc'!G60*(1+0.018*SIN(55))</x:f>
        <x:v>1114266.8613851145</x:v>
      </x:c>
      <x:c r="C60" s="36" t="n">
        <x:f>'Calc'!J60*(1+0.012*COS(55))</x:f>
        <x:v>26020.969365737295</x:v>
      </x:c>
      <x:c r="D60" s="36" t="str">
        <x:f>"MOCK — replace with EDR"</x:f>
        <x:v>MOCK — replace with EDR</x:v>
      </x:c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</x:row>
    <x:row r="61">
      <x:c r="A61" s="36" t="n">
        <x:f>'Survey'!A61</x:f>
        <x:v>4616.3935104</x:v>
      </x:c>
      <x:c r="B61" s="36" t="n">
        <x:f>'Calc'!G61*(1+0.018*SIN(56))</x:f>
        <x:v>1140822.4043718372</x:v>
      </x:c>
      <x:c r="C61" s="36" t="n">
        <x:f>'Calc'!J61*(1+0.012*COS(56))</x:f>
        <x:v>26280.15737633564</x:v>
      </x:c>
      <x:c r="D61" s="36" t="str">
        <x:f>"MOCK — replace with EDR"</x:f>
        <x:v>MOCK — replace with EDR</x:v>
      </x:c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</x:row>
    <x:row r="62">
      <x:c r="A62" s="36" t="n">
        <x:f>'Survey'!A62</x:f>
        <x:v>4691.8360824</x:v>
      </x:c>
      <x:c r="B62" s="36" t="n">
        <x:f>'Calc'!G62*(1+0.018*SIN(57))</x:f>
        <x:v>1177665.643871592</x:v>
      </x:c>
      <x:c r="C62" s="36" t="n">
        <x:f>'Calc'!J62*(1+0.012*COS(57))</x:f>
        <x:v>26294.48971394531</x:v>
      </x:c>
      <x:c r="D62" s="36" t="str">
        <x:f>"MOCK — replace with EDR"</x:f>
        <x:v>MOCK — replace with EDR</x:v>
      </x:c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</x:row>
    <x:row r="63">
      <x:c r="A63" s="36" t="n">
        <x:f>'Survey'!A63</x:f>
        <x:v>4767.3027336000005</x:v>
      </x:c>
      <x:c r="B63" s="36" t="n">
        <x:f>'Calc'!G63*(1+0.018*SIN(58))</x:f>
        <x:v>1206538.4785733954</x:v>
      </x:c>
      <x:c r="C63" s="36" t="n">
        <x:f>'Calc'!J63*(1+0.012*COS(58))</x:f>
        <x:v>26050.65698970415</x:v>
      </x:c>
      <x:c r="D63" s="36" t="str">
        <x:f>"MOCK — replace with EDR"</x:f>
        <x:v>MOCK — replace with EDR</x:v>
      </x:c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</x:row>
    <x:row r="64">
      <x:c r="A64" s="36" t="n">
        <x:f>'Survey'!A64</x:f>
        <x:v>4843.2018960000005</x:v>
      </x:c>
      <x:c r="B64" s="36" t="n">
        <x:f>'Calc'!G64*(1+0.018*SIN(59))</x:f>
        <x:v>1216092.594759469</x:v>
      </x:c>
      <x:c r="C64" s="36" t="n">
        <x:f>'Calc'!J64*(1+0.012*COS(59))</x:f>
        <x:v>25772.754488309376</x:v>
      </x:c>
      <x:c r="D64" s="36" t="str">
        <x:f>"MOCK — replace with EDR"</x:f>
        <x:v>MOCK — replace with EDR</x:v>
      </x:c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</x:row>
    <x:row r="65">
      <x:c r="A65" s="36" t="n">
        <x:f>'Survey'!A65</x:f>
        <x:v>4919.7207168</x:v>
      </x:c>
      <x:c r="B65" s="36" t="n">
        <x:f>'Calc'!G65*(1+0.018*SIN(60))</x:f>
        <x:v>1212719.0007170532</x:v>
      </x:c>
      <x:c r="C65" s="36" t="n">
        <x:f>'Calc'!J65*(1+0.012*COS(60))</x:f>
        <x:v>25716.26134313702</x:v>
      </x:c>
      <x:c r="D65" s="36" t="str">
        <x:f>"MOCK — replace with EDR"</x:f>
        <x:v>MOCK — replace with EDR</x:v>
      </x:c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</x:row>
  </x:sheetData>
  <x:mergeCells>
    <x:mergeCell ref="A1:N1"/>
    <x:mergeCell ref="A3:F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Engineering Dashboard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3" t="str">
        <x:v>Integrated torque-and-drag engineering review — operations, observations, limits and well context</x:v>
      </x:c>
      <x:c r="B3" s="33" t="str">
        <x:v>Integrated torque-and-drag engineering review — operations, observations, limits and well context</x:v>
      </x:c>
      <x:c r="C3" s="33" t="str">
        <x:v>Integrated torque-and-drag engineering review — operations, observations, limits and well context</x:v>
      </x:c>
      <x:c r="D3" s="33" t="str">
        <x:v>Integrated torque-and-drag engineering review — operations, observations, limits and well context</x:v>
      </x:c>
      <x:c r="E3" s="33" t="str">
        <x:v>Integrated torque-and-drag engineering review — operations, observations, limits and well context</x:v>
      </x:c>
      <x:c r="F3" s="33" t="str">
        <x:v>Integrated torque-and-drag engineering review — operations, observations, limits and well context</x:v>
      </x:c>
      <x:c r="G3" s="33" t="str">
        <x:v>Integrated torque-and-drag engineering review — operations, observations, limits and well context</x:v>
      </x:c>
      <x:c r="H3" s="33" t="str">
        <x:v>Integrated torque-and-drag engineering review — operations, observations, limits and well context</x:v>
      </x:c>
      <x:c r="I3" s="33" t="str">
        <x:v>Integrated torque-and-drag engineering review — operations, observations, limits and well context</x:v>
      </x:c>
      <x:c r="J3" s="33" t="str">
        <x:v>Integrated torque-and-drag engineering review — operations, observations, limits and well context</x:v>
      </x:c>
      <x:c r="K3" s="33" t="str">
        <x:v>Integrated torque-and-drag engineering review — operations, observations, limits and well context</x:v>
      </x:c>
      <x:c r="L3" s="33" t="str">
        <x:v>Integrated torque-and-drag engineering review — operations, observations, limits and well context</x:v>
      </x:c>
      <x:c r="M3" s="33" t="str">
        <x:v>Integrated torque-and-drag engineering review — operations, observations, limits and well context</x:v>
      </x:c>
      <x:c r="N3" s="33" t="str">
        <x:v>Integrated torque-and-drag engineering review — operations, observations, limits and well context</x:v>
      </x:c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2" t="str">
        <x:v>Selected MD</x:v>
      </x:c>
      <x:c r="B5" s="36" t="n">
        <x:f>'Chart Settings'!B6*'Unit Map'!$I$8</x:f>
        <x:v>2709.0514272</x:v>
      </x:c>
      <x:c r="C5" s="32" t="str">
        <x:f>'Unit Map'!$H$8</x:f>
        <x:v>m</x:v>
      </x:c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4" t="str">
        <x:v>Nearest station MD</x:v>
      </x:c>
      <x:c r="B8" s="35" t="n">
        <x:f>INDEX($A$61:$A$120,MATCH($B$5,$A$61:$A$120,1))</x:f>
        <x:v>2709.0514272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4" t="str">
        <x:v>Inclination</x:v>
      </x:c>
      <x:c r="B9" s="35" t="n">
        <x:f>INDEX($U$61:$U$120,MATCH($B$5,$A$61:$A$120,1))</x:f>
        <x:v>1.5529590618395142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4" t="str">
        <x:v>PUW</x:v>
      </x:c>
      <x:c r="B10" s="35" t="n">
        <x:f>INDEX($B$61:$B$120,MATCH($B$5,$A$61:$A$120,1))</x:f>
        <x:v>726511.6770373742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4" t="str">
        <x:v>SOW</x:v>
      </x:c>
      <x:c r="B11" s="35" t="n">
        <x:f>INDEX($C$61:$C$120,MATCH($B$5,$A$61:$A$120,1))</x:f>
        <x:v>716507.5171333092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4" t="str">
        <x:v>Observed hookload</x:v>
      </x:c>
      <x:c r="B12" s="35" t="n">
        <x:f>INDEX($H$61:$H$120,MATCH($B$5,$A$61:$A$120,1))</x:f>
        <x:v>721227.9918261562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4" t="str">
        <x:v>Tension margin</x:v>
      </x:c>
      <x:c r="B13" s="35" t="n">
        <x:f>INDEX($I$61:$I$120,MATCH($B$5,$A$61:$A$120,1))-INDEX($H$61:$H$120,MATCH($B$5,$A$61:$A$120,1))</x:f>
        <x:v>1584085.4008363276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4" t="str">
        <x:v>ROT torque</x:v>
      </x:c>
      <x:c r="B14" s="35" t="n">
        <x:f>INDEX($O$61:$O$120,MATCH($B$5,$A$61:$A$120,1))</x:f>
        <x:v>26006.790140961944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4" t="str">
        <x:v>Observed torque</x:v>
      </x:c>
      <x:c r="B15" s="35" t="n">
        <x:f>INDEX($Q$61:$Q$120,MATCH($B$5,$A$61:$A$120,1))</x:f>
        <x:v>26292.2642913516</x:v>
      </x:c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4" t="str">
        <x:v>Torsional margin</x:v>
      </x:c>
      <x:c r="B16" s="35" t="n">
        <x:f>INDEX($R$61:$R$120,MATCH($B$5,$A$61:$A$120,1))-INDEX($Q$61:$Q$120,MATCH($B$5,$A$61:$A$120,1))</x:f>
        <x:v>46866.622392367484</x:v>
      </x:c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4" t="str">
        <x:v>Governing state</x:v>
      </x:c>
      <x:c r="B17" s="35" t="str">
        <x:f>IF(OR(B13&lt;0,B16&lt;0),"REVIEW","WITHIN LIMITS")</x:f>
        <x:v>WITHIN LIMITS</x:v>
      </x:c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4" t="str">
        <x:v>Well context</x:v>
      </x:c>
      <x:c r="B19" s="34" t="str">
        <x:v>Top MD</x:v>
      </x:c>
      <x:c r="C19" s="34" t="str">
        <x:v>Bottom MD</x:v>
      </x:c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5" t="str">
        <x:v>8-1/2 in open hole</x:v>
      </x:c>
      <x:c r="B20" s="35" t="n">
        <x:v>0</x:v>
      </x:c>
      <x:c r="C20" s="35" t="n">
        <x:v>2660</x:v>
      </x:c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5" t="str">
        <x:v>Drillstring extent</x:v>
      </x:c>
      <x:c r="B21" s="35" t="n">
        <x:v>0</x:v>
      </x:c>
      <x:c r="C21" s="35" t="n">
        <x:v>2670</x:v>
      </x:c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5" t="str">
        <x:v>Calculation range</x:v>
      </x:c>
      <x:c r="B22" s="35" t="n">
        <x:v>0</x:v>
      </x:c>
      <x:c r="C22" s="35" t="n">
        <x:v>4919.7207168</x:v>
      </x:c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 t="str">
        <x:f>"MD "&amp;'Unit Map'!$H$8</x:f>
        <x:v>MD m</x:v>
      </x:c>
      <x:c r="B60" s="32" t="str">
        <x:f>"PUW "&amp;'Unit Map'!$H$14</x:f>
        <x:v>PUW N</x:v>
      </x:c>
      <x:c r="C60" s="32" t="str">
        <x:f>"SOW "&amp;'Unit Map'!$H$14</x:f>
        <x:v>SOW N</x:v>
      </x:c>
      <x:c r="D60" s="32" t="str">
        <x:f>"BKR "&amp;'Unit Map'!$H$14</x:f>
        <x:v>BKR N</x:v>
      </x:c>
      <x:c r="E60" s="32" t="str">
        <x:f>"SLD "&amp;'Unit Map'!$H$14</x:f>
        <x:v>SLD N</x:v>
      </x:c>
      <x:c r="F60" s="32" t="str">
        <x:f>"ROT "&amp;'Unit Map'!$H$14</x:f>
        <x:v>ROT N</x:v>
      </x:c>
      <x:c r="G60" s="32" t="str">
        <x:f>"DRLG "&amp;'Unit Map'!$H$14</x:f>
        <x:v>DRLG N</x:v>
      </x:c>
      <x:c r="H60" s="32" t="str">
        <x:f>"Observed hookload "&amp;'Unit Map'!$H$14</x:f>
        <x:v>Observed hookload N</x:v>
      </x:c>
      <x:c r="I60" s="32" t="str">
        <x:f>"Tension rating "&amp;'Unit Map'!$H$14</x:f>
        <x:v>Tension rating N</x:v>
      </x:c>
      <x:c r="J60" s="32" t="str">
        <x:f>"Sinusoidal buckling "&amp;'Unit Map'!$H$14</x:f>
        <x:v>Sinusoidal buckling N</x:v>
      </x:c>
      <x:c r="K60" s="32" t="str">
        <x:f>"Helical buckling "&amp;'Unit Map'!$H$14</x:f>
        <x:v>Helical buckling N</x:v>
      </x:c>
      <x:c r="L60" s="32"/>
      <x:c r="M60" s="32" t="str">
        <x:f>"MD "&amp;'Unit Map'!$H$8</x:f>
        <x:v>MD m</x:v>
      </x:c>
      <x:c r="N60" s="32" t="str">
        <x:f>"BKR "&amp;'Unit Map'!$H$16</x:f>
        <x:v>BKR N-m</x:v>
      </x:c>
      <x:c r="O60" s="32" t="str">
        <x:f>"ROT "&amp;'Unit Map'!$H$16</x:f>
        <x:v>ROT N-m</x:v>
      </x:c>
      <x:c r="P60" s="32" t="str">
        <x:f>"DRLG "&amp;'Unit Map'!$H$16</x:f>
        <x:v>DRLG N-m</x:v>
      </x:c>
      <x:c r="Q60" s="32" t="str">
        <x:f>"Observed torque "&amp;'Unit Map'!$H$16</x:f>
        <x:v>Observed torque N-m</x:v>
      </x:c>
      <x:c r="R60" s="32" t="str">
        <x:f>"Torsional rating "&amp;'Unit Map'!$H$16</x:f>
        <x:v>Torsional rating N-m</x:v>
      </x:c>
      <x:c r="S60" s="32"/>
      <x:c r="T60" s="32" t="str">
        <x:f>"MD "&amp;'Unit Map'!$H$8</x:f>
        <x:v>MD m</x:v>
      </x:c>
      <x:c r="U60" s="32" t="str">
        <x:f>"Inclination "&amp;'Unit Map'!$H$18</x:f>
        <x:v>Inclination rad</x:v>
      </x:c>
      <x:c r="V60" s="32"/>
      <x:c r="W60" s="32" t="str">
        <x:f>"MD "&amp;'Unit Map'!$H$8</x:f>
        <x:v>MD m</x:v>
      </x:c>
      <x:c r="X60" s="32" t="str">
        <x:f>"Low friction PUW "&amp;'Unit Map'!$H$14</x:f>
        <x:v>Low friction PUW N</x:v>
      </x:c>
      <x:c r="Y60" s="32" t="str">
        <x:f>"Base friction PUW "&amp;'Unit Map'!$H$14</x:f>
        <x:v>Base friction PUW N</x:v>
      </x:c>
      <x:c r="Z60" s="32" t="str">
        <x:f>"High friction PUW "&amp;'Unit Map'!$H$14</x:f>
        <x:v>High friction PUW N</x:v>
      </x:c>
    </x:row>
    <x:row r="61">
      <x:c r="A61" s="32" t="n">
        <x:f>'Results'!A6</x:f>
        <x:v>0</x:v>
      </x:c>
      <x:c r="B61" s="32" t="n">
        <x:f>'Results'!B6</x:f>
        <x:v>120000</x:v>
      </x:c>
      <x:c r="C61" s="32" t="n">
        <x:f>'Results'!C6</x:f>
        <x:v>120000</x:v>
      </x:c>
      <x:c r="D61" s="32" t="n">
        <x:f>('Calc'!G6+'Inputs'!$B$7*0.35)*'Unit Map'!$I$14</x:f>
        <x:v>162000</x:v>
      </x:c>
      <x:c r="E61" s="32" t="n">
        <x:f>('Calc'!H6-'Inputs'!$B$7)*'Unit Map'!$I$14</x:f>
        <x:v>0</x:v>
      </x:c>
      <x:c r="F61" s="32" t="n">
        <x:f>('Calc'!H6-'Inputs'!$B$7*0.25)*'Unit Map'!$I$14</x:f>
        <x:v>90000</x:v>
      </x:c>
      <x:c r="G61" s="32" t="n">
        <x:f>('Calc'!H6-'Inputs'!$B$7*0.5)*'Unit Map'!$I$14</x:f>
        <x:v>60000</x:v>
      </x:c>
      <x:c r="H61" s="32" t="n">
        <x:f>'Observed Data'!B6*'Unit Map'!$I$14</x:f>
        <x:v>121817.57732718506</x:v>
      </x:c>
      <x:c r="I61" s="32" t="n">
        <x:f>'Inputs'!$B$13*'Unit Map'!$I$14</x:f>
        <x:v>2305313.3926624837</x:v>
      </x:c>
      <x:c r="J61" s="32" t="n">
        <x:f>'Results'!G6</x:f>
        <x:v>0</x:v>
      </x:c>
      <x:c r="K61" s="32" t="n">
        <x:f>'Results'!H6</x:f>
        <x:v>0</x:v>
      </x:c>
      <x:c r="L61" s="32"/>
      <x:c r="M61" s="32" t="n">
        <x:f>'Results'!A6</x:f>
        <x:v>0</x:v>
      </x:c>
      <x:c r="N61" s="32" t="n">
        <x:f>'Results'!F6</x:f>
        <x:v>26000</x:v>
      </x:c>
      <x:c r="O61" s="32" t="n">
        <x:f>'Results'!E6</x:f>
        <x:v>26000</x:v>
      </x:c>
      <x:c r="P61" s="32" t="n">
        <x:f>'Results'!E6*1.1</x:f>
        <x:v>28600.000000000004</x:v>
      </x:c>
      <x:c r="Q61" s="32" t="n">
        <x:f>'Observed Data'!C6*'Unit Map'!$I$16</x:f>
        <x:v>26168.57431943086</x:v>
      </x:c>
      <x:c r="R61" s="32" t="n">
        <x:f>'Inputs'!$B$14*'Unit Map'!$I$16</x:f>
        <x:v>73158.88668371909</x:v>
      </x:c>
      <x:c r="S61" s="32"/>
      <x:c r="T61" s="32" t="n">
        <x:f>'Results'!A6</x:f>
        <x:v>0</x:v>
      </x:c>
      <x:c r="U61" s="32" t="n">
        <x:f>'Survey'!B6*'Unit Map'!$I$18</x:f>
        <x:v>0</x:v>
      </x:c>
      <x:c r="V61" s="32"/>
      <x:c r="W61" s="32" t="n">
        <x:f>'Results'!A6</x:f>
        <x:v>0</x:v>
      </x:c>
      <x:c r="X61" s="32" t="n">
        <x:f>(('Inputs'!$B$7+'Calc'!D6*'Calc'!A6)+('Calc'!G6-('Inputs'!$B$7+'Calc'!D6*'Calc'!A6))*'Chart Settings'!$B$8)*'Unit Map'!$I$14</x:f>
        <x:v>120000</x:v>
      </x:c>
      <x:c r="Y61" s="32" t="n">
        <x:f>'Results'!B6</x:f>
        <x:v>120000</x:v>
      </x:c>
      <x:c r="Z61" s="32" t="n">
        <x:f>(('Inputs'!$B$7+'Calc'!D6*'Calc'!A6)+('Calc'!G6-('Inputs'!$B$7+'Calc'!D6*'Calc'!A6))*'Chart Settings'!$B$10)*'Unit Map'!$I$14</x:f>
        <x:v>120000</x:v>
      </x:c>
    </x:row>
    <x:row r="62">
      <x:c r="A62" s="32" t="n">
        <x:f>'Results'!A7</x:f>
        <x:v>155.10875760000002</x:v>
      </x:c>
      <x:c r="B62" s="32" t="n">
        <x:f>'Results'!B7</x:f>
        <x:v>154510.13539941903</x:v>
      </x:c>
      <x:c r="C62" s="32" t="n">
        <x:f>'Results'!C7</x:f>
        <x:v>154369.6247643189</x:v>
      </x:c>
      <x:c r="D62" s="32" t="n">
        <x:f>('Calc'!G7+'Inputs'!$B$7*0.35)*'Unit Map'!$I$14</x:f>
        <x:v>196510.13539941903</x:v>
      </x:c>
      <x:c r="E62" s="32" t="n">
        <x:f>('Calc'!H7-'Inputs'!$B$7)*'Unit Map'!$I$14</x:f>
        <x:v>34369.6247643189</x:v>
      </x:c>
      <x:c r="F62" s="32" t="n">
        <x:f>('Calc'!H7-'Inputs'!$B$7*0.25)*'Unit Map'!$I$14</x:f>
        <x:v>124369.6247643189</x:v>
      </x:c>
      <x:c r="G62" s="32" t="n">
        <x:f>('Calc'!H7-'Inputs'!$B$7*0.5)*'Unit Map'!$I$14</x:f>
        <x:v>94369.6247643189</x:v>
      </x:c>
      <x:c r="H62" s="32" t="n">
        <x:f>'Observed Data'!B7*'Unit Map'!$I$14</x:f>
        <x:v>157039.05743308828</x:v>
      </x:c>
      <x:c r="I62" s="32" t="n">
        <x:f>'Inputs'!$B$13*'Unit Map'!$I$14</x:f>
        <x:v>2305313.3926624837</x:v>
      </x:c>
      <x:c r="J62" s="32" t="n">
        <x:f>'Results'!G7</x:f>
        <x:v>3045.9878423456744</x:v>
      </x:c>
      <x:c r="K62" s="32" t="n">
        <x:f>'Results'!H7</x:f>
        <x:v>6091.975684691349</x:v>
      </x:c>
      <x:c r="L62" s="32"/>
      <x:c r="M62" s="32" t="n">
        <x:f>'Results'!A7</x:f>
        <x:v>155.10875760000002</x:v>
      </x:c>
      <x:c r="N62" s="32" t="n">
        <x:f>'Results'!F7</x:f>
        <x:v>26011.153031661073</x:v>
      </x:c>
      <x:c r="O62" s="32" t="n">
        <x:f>'Results'!E7</x:f>
        <x:v>26008.922425328856</x:v>
      </x:c>
      <x:c r="P62" s="32" t="n">
        <x:f>'Results'!E7*1.1</x:f>
        <x:v>28609.814667861745</x:v>
      </x:c>
      <x:c r="Q62" s="32" t="n">
        <x:f>'Observed Data'!C7*'Unit Map'!$I$16</x:f>
        <x:v>25879.040055857247</x:v>
      </x:c>
      <x:c r="R62" s="32" t="n">
        <x:f>'Inputs'!$B$14*'Unit Map'!$I$16</x:f>
        <x:v>73158.88668371909</x:v>
      </x:c>
      <x:c r="S62" s="32"/>
      <x:c r="T62" s="32" t="n">
        <x:f>'Results'!A7</x:f>
        <x:v>155.10875760000002</x:v>
      </x:c>
      <x:c r="U62" s="32" t="n">
        <x:f>'Survey'!B7*'Unit Map'!$I$18</x:f>
        <x:v>0.008499753457212385</x:v>
      </x:c>
      <x:c r="V62" s="32"/>
      <x:c r="W62" s="32" t="n">
        <x:f>'Results'!A7</x:f>
        <x:v>155.10875760000002</x:v>
      </x:c>
      <x:c r="X62" s="32" t="n">
        <x:f>(('Inputs'!$B$7+'Calc'!D7*'Calc'!A7)+('Calc'!G7-('Inputs'!$B$7+'Calc'!D7*'Calc'!A7))*'Chart Settings'!$B$8)*'Unit Map'!$I$14</x:f>
        <x:v>154496.08433590902</x:v>
      </x:c>
      <x:c r="Y62" s="32" t="n">
        <x:f>'Results'!B7</x:f>
        <x:v>154510.13539941903</x:v>
      </x:c>
      <x:c r="Z62" s="32" t="n">
        <x:f>(('Inputs'!$B$7+'Calc'!D7*'Calc'!A7)+('Calc'!G7-('Inputs'!$B$7+'Calc'!D7*'Calc'!A7))*'Chart Settings'!$B$10)*'Unit Map'!$I$14</x:f>
        <x:v>154524.18646292904</x:v>
      </x:c>
    </x:row>
    <x:row r="63">
      <x:c r="A63" s="32" t="n">
        <x:f>'Results'!A8</x:f>
        <x:v>307.974492</x:v>
      </x:c>
      <x:c r="B63" s="32" t="n">
        <x:f>'Results'!B8</x:f>
        <x:v>188467.9142173173</x:v>
      </x:c>
      <x:c r="C63" s="32" t="n">
        <x:f>'Results'!C8</x:f>
        <x:v>188295.53791614895</x:v>
      </x:c>
      <x:c r="D63" s="32" t="n">
        <x:f>('Calc'!G8+'Inputs'!$B$7*0.35)*'Unit Map'!$I$14</x:f>
        <x:v>230467.9142173173</x:v>
      </x:c>
      <x:c r="E63" s="32" t="n">
        <x:f>('Calc'!H8-'Inputs'!$B$7)*'Unit Map'!$I$14</x:f>
        <x:v>68295.53791614895</x:v>
      </x:c>
      <x:c r="F63" s="32" t="n">
        <x:f>('Calc'!H8-'Inputs'!$B$7*0.25)*'Unit Map'!$I$14</x:f>
        <x:v>158295.53791614895</x:v>
      </x:c>
      <x:c r="G63" s="32" t="n">
        <x:f>('Calc'!H8-'Inputs'!$B$7*0.5)*'Unit Map'!$I$14</x:f>
        <x:v>128295.53791614895</x:v>
      </x:c>
      <x:c r="H63" s="32" t="n">
        <x:f>'Observed Data'!B8*'Unit Map'!$I$14</x:f>
        <x:v>188946.65290163804</x:v>
      </x:c>
      <x:c r="I63" s="32" t="n">
        <x:f>'Inputs'!$B$13*'Unit Map'!$I$14</x:f>
        <x:v>2305313.3926624837</x:v>
      </x:c>
      <x:c r="J63" s="32" t="n">
        <x:f>'Results'!G8</x:f>
        <x:v>1461.161274893059</x:v>
      </x:c>
      <x:c r="K63" s="32" t="n">
        <x:f>'Results'!H8</x:f>
        <x:v>2922.322549786118</x:v>
      </x:c>
      <x:c r="L63" s="32"/>
      <x:c r="M63" s="32" t="n">
        <x:f>'Results'!A8</x:f>
        <x:v>307.974492</x:v>
      </x:c>
      <x:c r="N63" s="32" t="n">
        <x:f>'Results'!F8</x:f>
        <x:v>26002.529337244167</x:v>
      </x:c>
      <x:c r="O63" s="32" t="n">
        <x:f>'Results'!E8</x:f>
        <x:v>26002.02346979533</x:v>
      </x:c>
      <x:c r="P63" s="32" t="n">
        <x:f>'Results'!E8*1.1</x:f>
        <x:v>28602.225816774866</x:v>
      </x:c>
      <x:c r="Q63" s="32" t="n">
        <x:f>'Observed Data'!C8*'Unit Map'!$I$16</x:f>
        <x:v>25693.12177221702</x:v>
      </x:c>
      <x:c r="R63" s="32" t="n">
        <x:f>'Inputs'!$B$14*'Unit Map'!$I$16</x:f>
        <x:v>73158.88668371909</x:v>
      </x:c>
      <x:c r="S63" s="32"/>
      <x:c r="T63" s="32" t="n">
        <x:f>'Results'!A8</x:f>
        <x:v>307.974492</x:v>
      </x:c>
      <x:c r="U63" s="32" t="n">
        <x:f>'Survey'!B8*'Unit Map'!$I$18</x:f>
        <x:v>0.010454522219446033</x:v>
      </x:c>
      <x:c r="V63" s="32"/>
      <x:c r="W63" s="32" t="n">
        <x:f>'Results'!A8</x:f>
        <x:v>307.974492</x:v>
      </x:c>
      <x:c r="X63" s="32" t="n">
        <x:f>(('Inputs'!$B$7+'Calc'!D8*'Calc'!A8)+('Calc'!G8-('Inputs'!$B$7+'Calc'!D8*'Calc'!A8))*'Chart Settings'!$B$8)*'Unit Map'!$I$14</x:f>
        <x:v>188450.67658720046</x:v>
      </x:c>
      <x:c r="Y63" s="32" t="n">
        <x:f>'Results'!B8</x:f>
        <x:v>188467.9142173173</x:v>
      </x:c>
      <x:c r="Z63" s="32" t="n">
        <x:f>(('Inputs'!$B$7+'Calc'!D8*'Calc'!A8)+('Calc'!G8-('Inputs'!$B$7+'Calc'!D8*'Calc'!A8))*'Chart Settings'!$B$10)*'Unit Map'!$I$14</x:f>
        <x:v>188485.15184743414</x:v>
      </x:c>
    </x:row>
    <x:row r="64">
      <x:c r="A64" s="32" t="n">
        <x:f>'Results'!A9</x:f>
        <x:v>460.2227016</x:v>
      </x:c>
      <x:c r="B64" s="32" t="n">
        <x:f>'Results'!B9</x:f>
        <x:v>222294.45447042436</x:v>
      </x:c>
      <x:c r="C64" s="32" t="n">
        <x:f>'Results'!C9</x:f>
        <x:v>222078.4629496525</x:v>
      </x:c>
      <x:c r="D64" s="32" t="n">
        <x:f>('Calc'!G9+'Inputs'!$B$7*0.35)*'Unit Map'!$I$14</x:f>
        <x:v>264294.45447042433</x:v>
      </x:c>
      <x:c r="E64" s="32" t="n">
        <x:f>('Calc'!H9-'Inputs'!$B$7)*'Unit Map'!$I$14</x:f>
        <x:v>102078.46294965249</x:v>
      </x:c>
      <x:c r="F64" s="32" t="n">
        <x:f>('Calc'!H9-'Inputs'!$B$7*0.25)*'Unit Map'!$I$14</x:f>
        <x:v>192078.4629496525</x:v>
      </x:c>
      <x:c r="G64" s="32" t="n">
        <x:f>('Calc'!H9-'Inputs'!$B$7*0.5)*'Unit Map'!$I$14</x:f>
        <x:v>162078.4629496525</x:v>
      </x:c>
      <x:c r="H64" s="32" t="n">
        <x:f>'Observed Data'!B9*'Unit Map'!$I$14</x:f>
        <x:v>219266.2605093704</x:v>
      </x:c>
      <x:c r="I64" s="32" t="n">
        <x:f>'Inputs'!$B$13*'Unit Map'!$I$14</x:f>
        <x:v>2305313.3926624837</x:v>
      </x:c>
      <x:c r="J64" s="32" t="n">
        <x:f>'Results'!G9</x:f>
        <x:v>1712.910460216405</x:v>
      </x:c>
      <x:c r="K64" s="32" t="n">
        <x:f>'Results'!H9</x:f>
        <x:v>3425.82092043281</x:v>
      </x:c>
      <x:c r="L64" s="32"/>
      <x:c r="M64" s="32" t="n">
        <x:f>'Results'!A9</x:f>
        <x:v>460.2227016</x:v>
      </x:c>
      <x:c r="N64" s="32" t="n">
        <x:f>'Results'!F9</x:f>
        <x:v>26003.46195805603</x:v>
      </x:c>
      <x:c r="O64" s="32" t="n">
        <x:f>'Results'!E9</x:f>
        <x:v>26002.769566444822</x:v>
      </x:c>
      <x:c r="P64" s="32" t="n">
        <x:f>'Results'!E9*1.1</x:f>
        <x:v>28603.046523089306</x:v>
      </x:c>
      <x:c r="Q64" s="32" t="n">
        <x:f>'Observed Data'!C9*'Unit Map'!$I$16</x:f>
        <x:v>25798.811033022106</x:v>
      </x:c>
      <x:c r="R64" s="32" t="n">
        <x:f>'Inputs'!$B$14*'Unit Map'!$I$16</x:f>
        <x:v>73158.88668371909</x:v>
      </x:c>
      <x:c r="S64" s="32"/>
      <x:c r="T64" s="32" t="n">
        <x:f>'Results'!A9</x:f>
        <x:v>460.2227016</x:v>
      </x:c>
      <x:c r="U64" s="32" t="n">
        <x:f>'Survey'!B9*'Unit Map'!$I$18</x:f>
        <x:v>0.007766715171374767</x:v>
      </x:c>
      <x:c r="V64" s="32"/>
      <x:c r="W64" s="32" t="n">
        <x:f>'Results'!A9</x:f>
        <x:v>460.2227016</x:v>
      </x:c>
      <x:c r="X64" s="32" t="n">
        <x:f>(('Inputs'!$B$7+'Calc'!D9*'Calc'!A9)+('Calc'!G9-('Inputs'!$B$7+'Calc'!D9*'Calc'!A9))*'Chart Settings'!$B$8)*'Unit Map'!$I$14</x:f>
        <x:v>222272.85531834717</x:v>
      </x:c>
      <x:c r="Y64" s="32" t="n">
        <x:f>'Results'!B9</x:f>
        <x:v>222294.45447042436</x:v>
      </x:c>
      <x:c r="Z64" s="32" t="n">
        <x:f>(('Inputs'!$B$7+'Calc'!D9*'Calc'!A9)+('Calc'!G9-('Inputs'!$B$7+'Calc'!D9*'Calc'!A9))*'Chart Settings'!$B$10)*'Unit Map'!$I$14</x:f>
        <x:v>222316.05362250155</x:v>
      </x:c>
    </x:row>
    <x:row r="65">
      <x:c r="A65" s="32" t="n">
        <x:f>'Results'!A10</x:f>
        <x:v>611.9649432</x:v>
      </x:c>
      <x:c r="B65" s="32" t="n">
        <x:f>'Results'!B10</x:f>
        <x:v>256016.06229413615</x:v>
      </x:c>
      <x:c r="C65" s="32" t="n">
        <x:f>'Results'!C10</x:f>
        <x:v>255741.63319933537</x:v>
      </x:c>
      <x:c r="D65" s="32" t="n">
        <x:f>('Calc'!G10+'Inputs'!$B$7*0.35)*'Unit Map'!$I$14</x:f>
        <x:v>298016.06229413615</x:v>
      </x:c>
      <x:c r="E65" s="32" t="n">
        <x:f>('Calc'!H10-'Inputs'!$B$7)*'Unit Map'!$I$14</x:f>
        <x:v>135741.63319933537</x:v>
      </x:c>
      <x:c r="F65" s="32" t="n">
        <x:f>('Calc'!H10-'Inputs'!$B$7*0.25)*'Unit Map'!$I$14</x:f>
        <x:v>225741.63319933537</x:v>
      </x:c>
      <x:c r="G65" s="32" t="n">
        <x:f>('Calc'!H10-'Inputs'!$B$7*0.5)*'Unit Map'!$I$14</x:f>
        <x:v>195741.63319933537</x:v>
      </x:c>
      <x:c r="H65" s="32" t="n">
        <x:f>'Observed Data'!B10*'Unit Map'!$I$14</x:f>
        <x:v>251597.06199106082</x:v>
      </x:c>
      <x:c r="I65" s="32" t="n">
        <x:f>'Inputs'!$B$13*'Unit Map'!$I$14</x:f>
        <x:v>2305313.3926624837</x:v>
      </x:c>
      <x:c r="J65" s="32" t="n">
        <x:f>'Results'!G10</x:f>
        <x:v>1986.0243471491665</x:v>
      </x:c>
      <x:c r="K65" s="32" t="n">
        <x:f>'Results'!H10</x:f>
        <x:v>3972.048694298333</x:v>
      </x:c>
      <x:c r="L65" s="32"/>
      <x:c r="M65" s="32" t="n">
        <x:f>'Results'!A10</x:f>
        <x:v>611.9649432</x:v>
      </x:c>
      <x:c r="N65" s="32" t="n">
        <x:f>'Results'!F10</x:f>
        <x:v>26004.638482438542</x:v>
      </x:c>
      <x:c r="O65" s="32" t="n">
        <x:f>'Results'!E10</x:f>
        <x:v>26003.710785950836</x:v>
      </x:c>
      <x:c r="P65" s="32" t="n">
        <x:f>'Results'!E10*1.1</x:f>
        <x:v>28604.081864545922</x:v>
      </x:c>
      <x:c r="Q65" s="32" t="n">
        <x:f>'Observed Data'!C10*'Unit Map'!$I$16</x:f>
        <x:v>26092.22601913119</x:v>
      </x:c>
      <x:c r="R65" s="32" t="n">
        <x:f>'Inputs'!$B$14*'Unit Map'!$I$16</x:f>
        <x:v>73158.88668371909</x:v>
      </x:c>
      <x:c r="S65" s="32"/>
      <x:c r="T65" s="32" t="n">
        <x:f>'Results'!A10</x:f>
        <x:v>611.9649432</x:v>
      </x:c>
      <x:c r="U65" s="32" t="n">
        <x:f>'Survey'!B10*'Unit Map'!$I$18</x:f>
        <x:v>0.004153883619746505</x:v>
      </x:c>
      <x:c r="V65" s="32"/>
      <x:c r="W65" s="32" t="n">
        <x:f>'Results'!A10</x:f>
        <x:v>611.9649432</x:v>
      </x:c>
      <x:c r="X65" s="32" t="n">
        <x:f>(('Inputs'!$B$7+'Calc'!D10*'Calc'!A10)+('Calc'!G10-('Inputs'!$B$7+'Calc'!D10*'Calc'!A10))*'Chart Settings'!$B$8)*'Unit Map'!$I$14</x:f>
        <x:v>255988.61938465608</x:v>
      </x:c>
      <x:c r="Y65" s="32" t="n">
        <x:f>'Results'!B10</x:f>
        <x:v>256016.06229413615</x:v>
      </x:c>
      <x:c r="Z65" s="32" t="n">
        <x:f>(('Inputs'!$B$7+'Calc'!D10*'Calc'!A10)+('Calc'!G10-('Inputs'!$B$7+'Calc'!D10*'Calc'!A10))*'Chart Settings'!$B$10)*'Unit Map'!$I$14</x:f>
        <x:v>256043.50520361622</x:v>
      </x:c>
    </x:row>
    <x:row r="66">
      <x:c r="A66" s="32" t="n">
        <x:f>'Results'!A11</x:f>
        <x:v>763.5706344</x:v>
      </x:c>
      <x:c r="B66" s="32" t="n">
        <x:f>'Results'!B11</x:f>
        <x:v>289718.4655474009</x:v>
      </x:c>
      <x:c r="C66" s="32" t="n">
        <x:f>'Results'!C11</x:f>
        <x:v>289363.3695426456</x:v>
      </x:c>
      <x:c r="D66" s="32" t="n">
        <x:f>('Calc'!G11+'Inputs'!$B$7*0.35)*'Unit Map'!$I$14</x:f>
        <x:v>331718.4655474009</x:v>
      </x:c>
      <x:c r="E66" s="32" t="n">
        <x:f>('Calc'!H11-'Inputs'!$B$7)*'Unit Map'!$I$14</x:f>
        <x:v>169363.36954264558</x:v>
      </x:c>
      <x:c r="F66" s="32" t="n">
        <x:f>('Calc'!H11-'Inputs'!$B$7*0.25)*'Unit Map'!$I$14</x:f>
        <x:v>259363.36954264558</x:v>
      </x:c>
      <x:c r="G66" s="32" t="n">
        <x:f>('Calc'!H11-'Inputs'!$B$7*0.5)*'Unit Map'!$I$14</x:f>
        <x:v>229363.36954264558</x:v>
      </x:c>
      <x:c r="H66" s="32" t="n">
        <x:f>'Observed Data'!B11*'Unit Map'!$I$14</x:f>
        <x:v>288261.33261841047</x:v>
      </x:c>
      <x:c r="I66" s="32" t="n">
        <x:f>'Inputs'!$B$13*'Unit Map'!$I$14</x:f>
        <x:v>2305313.3926624837</x:v>
      </x:c>
      <x:c r="J66" s="32" t="n">
        <x:f>'Results'!G11</x:f>
        <x:v>2334.434457092405</x:v>
      </x:c>
      <x:c r="K66" s="32" t="n">
        <x:f>'Results'!H11</x:f>
        <x:v>4668.86891418481</x:v>
      </x:c>
      <x:c r="L66" s="32"/>
      <x:c r="M66" s="32" t="n">
        <x:f>'Results'!A11</x:f>
        <x:v>763.5706344</x:v>
      </x:c>
      <x:c r="N66" s="32" t="n">
        <x:f>'Results'!F11</x:f>
        <x:v>26006.40293597764</x:v>
      </x:c>
      <x:c r="O66" s="32" t="n">
        <x:f>'Results'!E11</x:f>
        <x:v>26005.12234878211</x:v>
      </x:c>
      <x:c r="P66" s="32" t="n">
        <x:f>'Results'!E11*1.1</x:f>
        <x:v>28605.634583660325</x:v>
      </x:c>
      <x:c r="Q66" s="32" t="n">
        <x:f>'Observed Data'!C11*'Unit Map'!$I$16</x:f>
        <x:v>26304.754498142207</x:v>
      </x:c>
      <x:c r="R66" s="32" t="n">
        <x:f>'Inputs'!$B$14*'Unit Map'!$I$16</x:f>
        <x:v>73158.88668371909</x:v>
      </x:c>
      <x:c r="S66" s="32"/>
      <x:c r="T66" s="32" t="n">
        <x:f>'Results'!A11</x:f>
        <x:v>763.5706344</x:v>
      </x:c>
      <x:c r="U66" s="32" t="n">
        <x:f>'Survey'!B11*'Unit Map'!$I$18</x:f>
        <x:v>0.009145525280450286</x:v>
      </x:c>
      <x:c r="V66" s="32"/>
      <x:c r="W66" s="32" t="n">
        <x:f>'Results'!A11</x:f>
        <x:v>763.5706344</x:v>
      </x:c>
      <x:c r="X66" s="32" t="n">
        <x:f>(('Inputs'!$B$7+'Calc'!D11*'Calc'!A11)+('Calc'!G11-('Inputs'!$B$7+'Calc'!D11*'Calc'!A11))*'Chart Settings'!$B$8)*'Unit Map'!$I$14</x:f>
        <x:v>289682.9559469253</x:v>
      </x:c>
      <x:c r="Y66" s="32" t="n">
        <x:f>'Results'!B11</x:f>
        <x:v>289718.4655474009</x:v>
      </x:c>
      <x:c r="Z66" s="32" t="n">
        <x:f>(('Inputs'!$B$7+'Calc'!D11*'Calc'!A11)+('Calc'!G11-('Inputs'!$B$7+'Calc'!D11*'Calc'!A11))*'Chart Settings'!$B$10)*'Unit Map'!$I$14</x:f>
        <x:v>289753.9751478764</x:v>
      </x:c>
    </x:row>
    <x:row r="67">
      <x:c r="A67" s="32" t="n">
        <x:f>'Results'!A12</x:f>
        <x:v>915.4786872000001</x:v>
      </x:c>
      <x:c r="B67" s="32" t="n">
        <x:f>'Results'!B12</x:f>
        <x:v>323457.1728441087</x:v>
      </x:c>
      <x:c r="C67" s="32" t="n">
        <x:f>'Results'!C12</x:f>
        <x:v>323083.07275547064</x:v>
      </x:c>
      <x:c r="D67" s="32" t="n">
        <x:f>('Calc'!G12+'Inputs'!$B$7*0.35)*'Unit Map'!$I$14</x:f>
        <x:v>365457.1728441087</x:v>
      </x:c>
      <x:c r="E67" s="32" t="n">
        <x:f>('Calc'!H12-'Inputs'!$B$7)*'Unit Map'!$I$14</x:f>
        <x:v>203083.07275547064</x:v>
      </x:c>
      <x:c r="F67" s="32" t="n">
        <x:f>('Calc'!H12-'Inputs'!$B$7*0.25)*'Unit Map'!$I$14</x:f>
        <x:v>293083.07275547064</x:v>
      </x:c>
      <x:c r="G67" s="32" t="n">
        <x:f>('Calc'!H12-'Inputs'!$B$7*0.5)*'Unit Map'!$I$14</x:f>
        <x:v>263083.07275547064</x:v>
      </x:c>
      <x:c r="H67" s="32" t="n">
        <x:f>'Observed Data'!B12*'Unit Map'!$I$14</x:f>
        <x:v>327282.29934483353</x:v>
      </x:c>
      <x:c r="I67" s="32" t="n">
        <x:f>'Inputs'!$B$13*'Unit Map'!$I$14</x:f>
        <x:v>2305313.3926624837</x:v>
      </x:c>
      <x:c r="J67" s="32" t="n">
        <x:f>'Results'!G12</x:f>
        <x:v>1131.943624491696</x:v>
      </x:c>
      <x:c r="K67" s="32" t="n">
        <x:f>'Results'!H12</x:f>
        <x:v>2263.887248983392</x:v>
      </x:c>
      <x:c r="L67" s="32"/>
      <x:c r="M67" s="32" t="n">
        <x:f>'Results'!A12</x:f>
        <x:v>915.4786872000001</x:v>
      </x:c>
      <x:c r="N67" s="32" t="n">
        <x:f>'Results'!F12</x:f>
        <x:v>26001.5084491582</x:v>
      </x:c>
      <x:c r="O67" s="32" t="n">
        <x:f>'Results'!E12</x:f>
        <x:v>26001.206759326556</x:v>
      </x:c>
      <x:c r="P67" s="32" t="n">
        <x:f>'Results'!E12*1.1</x:f>
        <x:v>28601.327435259216</x:v>
      </x:c>
      <x:c r="Q67" s="32" t="n">
        <x:f>'Observed Data'!C12*'Unit Map'!$I$16</x:f>
        <x:v>26236.435180024586</x:v>
      </x:c>
      <x:c r="R67" s="32" t="n">
        <x:f>'Inputs'!$B$14*'Unit Map'!$I$16</x:f>
        <x:v>73158.88668371909</x:v>
      </x:c>
      <x:c r="S67" s="32"/>
      <x:c r="T67" s="32" t="n">
        <x:f>'Results'!A12</x:f>
        <x:v>915.4786872000001</x:v>
      </x:c>
      <x:c r="U67" s="32" t="n">
        <x:f>'Survey'!B12*'Unit Map'!$I$18</x:f>
        <x:v>0.010314895879286487</x:v>
      </x:c>
      <x:c r="V67" s="32"/>
      <x:c r="W67" s="32" t="n">
        <x:f>'Results'!A12</x:f>
        <x:v>915.4786872000001</x:v>
      </x:c>
      <x:c r="X67" s="32" t="n">
        <x:f>(('Inputs'!$B$7+'Calc'!D12*'Calc'!A12)+('Calc'!G12-('Inputs'!$B$7+'Calc'!D12*'Calc'!A12))*'Chart Settings'!$B$8)*'Unit Map'!$I$14</x:f>
        <x:v>323419.76283524494</x:v>
      </x:c>
      <x:c r="Y67" s="32" t="n">
        <x:f>'Results'!B12</x:f>
        <x:v>323457.1728441087</x:v>
      </x:c>
      <x:c r="Z67" s="32" t="n">
        <x:f>(('Inputs'!$B$7+'Calc'!D12*'Calc'!A12)+('Calc'!G12-('Inputs'!$B$7+'Calc'!D12*'Calc'!A12))*'Chart Settings'!$B$10)*'Unit Map'!$I$14</x:f>
        <x:v>323494.5828529725</x:v>
      </x:c>
    </x:row>
    <x:row r="68">
      <x:c r="A68" s="32" t="n">
        <x:f>'Results'!A13</x:f>
        <x:v>1067.9740896</x:v>
      </x:c>
      <x:c r="B68" s="32" t="n">
        <x:f>'Results'!B13</x:f>
        <x:v>357344.30678427016</x:v>
      </x:c>
      <x:c r="C68" s="32" t="n">
        <x:f>'Results'!C13</x:f>
        <x:v>356915.17598741263</x:v>
      </x:c>
      <x:c r="D68" s="32" t="n">
        <x:f>('Calc'!G13+'Inputs'!$B$7*0.35)*'Unit Map'!$I$14</x:f>
        <x:v>399344.30678427016</x:v>
      </x:c>
      <x:c r="E68" s="32" t="n">
        <x:f>('Calc'!H13-'Inputs'!$B$7)*'Unit Map'!$I$14</x:f>
        <x:v>236915.17598741263</x:v>
      </x:c>
      <x:c r="F68" s="32" t="n">
        <x:f>('Calc'!H13-'Inputs'!$B$7*0.25)*'Unit Map'!$I$14</x:f>
        <x:v>326915.17598741263</x:v>
      </x:c>
      <x:c r="G68" s="32" t="n">
        <x:f>('Calc'!H13-'Inputs'!$B$7*0.5)*'Unit Map'!$I$14</x:f>
        <x:v>296915.17598741263</x:v>
      </x:c>
      <x:c r="H68" s="32" t="n">
        <x:f>'Observed Data'!B13*'Unit Map'!$I$14</x:f>
        <x:v>363708.054446687</x:v>
      </x:c>
      <x:c r="I68" s="32" t="n">
        <x:f>'Inputs'!$B$13*'Unit Map'!$I$14</x:f>
        <x:v>2305313.3926624837</x:v>
      </x:c>
      <x:c r="J68" s="32" t="n">
        <x:f>'Results'!G13</x:f>
        <x:v>1922.4980265136417</x:v>
      </x:c>
      <x:c r="K68" s="32" t="n">
        <x:f>'Results'!H13</x:f>
        <x:v>3844.9960530272833</x:v>
      </x:c>
      <x:c r="L68" s="32"/>
      <x:c r="M68" s="32" t="n">
        <x:f>'Results'!A13</x:f>
        <x:v>1067.9740896</x:v>
      </x:c>
      <x:c r="N68" s="32" t="n">
        <x:f>'Results'!F13</x:f>
        <x:v>26004.36806246492</x:v>
      </x:c>
      <x:c r="O68" s="32" t="n">
        <x:f>'Results'!E13</x:f>
        <x:v>26003.49444997194</x:v>
      </x:c>
      <x:c r="P68" s="32" t="n">
        <x:f>'Results'!E13*1.1</x:f>
        <x:v>28603.843894969134</x:v>
      </x:c>
      <x:c r="Q68" s="32" t="n">
        <x:f>'Observed Data'!C13*'Unit Map'!$I$16</x:f>
        <x:v>25958.092338112583</x:v>
      </x:c>
      <x:c r="R68" s="32" t="n">
        <x:f>'Inputs'!$B$14*'Unit Map'!$I$16</x:f>
        <x:v>73158.88668371909</x:v>
      </x:c>
      <x:c r="S68" s="32"/>
      <x:c r="T68" s="32" t="n">
        <x:f>'Results'!A13</x:f>
        <x:v>1067.9740896</x:v>
      </x:c>
      <x:c r="U68" s="32" t="n">
        <x:f>'Survey'!B13*'Unit Map'!$I$18</x:f>
        <x:v>0.006928957130417489</x:v>
      </x:c>
      <x:c r="V68" s="32"/>
      <x:c r="W68" s="32" t="n">
        <x:f>'Results'!A13</x:f>
        <x:v>1067.9740896</x:v>
      </x:c>
      <x:c r="X68" s="32" t="n">
        <x:f>(('Inputs'!$B$7+'Calc'!D13*'Calc'!A13)+('Calc'!G13-('Inputs'!$B$7+'Calc'!D13*'Calc'!A13))*'Chart Settings'!$B$8)*'Unit Map'!$I$14</x:f>
        <x:v>357301.3937045844</x:v>
      </x:c>
      <x:c r="Y68" s="32" t="n">
        <x:f>'Results'!B13</x:f>
        <x:v>357344.30678427016</x:v>
      </x:c>
      <x:c r="Z68" s="32" t="n">
        <x:f>(('Inputs'!$B$7+'Calc'!D13*'Calc'!A13)+('Calc'!G13-('Inputs'!$B$7+'Calc'!D13*'Calc'!A13))*'Chart Settings'!$B$10)*'Unit Map'!$I$14</x:f>
        <x:v>357387.2198639559</x:v>
      </x:c>
    </x:row>
    <x:row r="69">
      <x:c r="A69" s="32" t="n">
        <x:f>'Results'!A14</x:f>
        <x:v>1221.042516</x:v>
      </x:c>
      <x:c r="B69" s="32" t="n">
        <x:f>'Results'!B14</x:f>
        <x:v>391345.68470615847</x:v>
      </x:c>
      <x:c r="C69" s="32" t="n">
        <x:f>'Results'!C14</x:f>
        <x:v>390887.50027428183</x:v>
      </x:c>
      <x:c r="D69" s="32" t="n">
        <x:f>('Calc'!G14+'Inputs'!$B$7*0.35)*'Unit Map'!$I$14</x:f>
        <x:v>433345.68470615847</x:v>
      </x:c>
      <x:c r="E69" s="32" t="n">
        <x:f>('Calc'!H14-'Inputs'!$B$7)*'Unit Map'!$I$14</x:f>
        <x:v>270887.50027428183</x:v>
      </x:c>
      <x:c r="F69" s="32" t="n">
        <x:f>('Calc'!H14-'Inputs'!$B$7*0.25)*'Unit Map'!$I$14</x:f>
        <x:v>360887.50027428183</x:v>
      </x:c>
      <x:c r="G69" s="32" t="n">
        <x:f>('Calc'!H14-'Inputs'!$B$7*0.5)*'Unit Map'!$I$14</x:f>
        <x:v>330887.50027428183</x:v>
      </x:c>
      <x:c r="H69" s="32" t="n">
        <x:f>'Observed Data'!B14*'Unit Map'!$I$14</x:f>
        <x:v>394248.73894032446</x:v>
      </x:c>
      <x:c r="I69" s="32" t="n">
        <x:f>'Inputs'!$B$13*'Unit Map'!$I$14</x:f>
        <x:v>2305313.3926624837</x:v>
      </x:c>
      <x:c r="J69" s="32" t="n">
        <x:f>'Results'!G14</x:f>
        <x:v>1394.2772985072377</x:v>
      </x:c>
      <x:c r="K69" s="32" t="n">
        <x:f>'Results'!H14</x:f>
        <x:v>2788.5545970144753</x:v>
      </x:c>
      <x:c r="L69" s="32"/>
      <x:c r="M69" s="32" t="n">
        <x:f>'Results'!A14</x:f>
        <x:v>1221.042516</x:v>
      </x:c>
      <x:c r="N69" s="32" t="n">
        <x:f>'Results'!F14</x:f>
        <x:v>26002.30613227964</x:v>
      </x:c>
      <x:c r="O69" s="32" t="n">
        <x:f>'Results'!E14</x:f>
        <x:v>26001.844905823713</x:v>
      </x:c>
      <x:c r="P69" s="32" t="n">
        <x:f>'Results'!E14*1.1</x:f>
        <x:v>28602.029396406087</x:v>
      </x:c>
      <x:c r="Q69" s="32" t="n">
        <x:f>'Observed Data'!C14*'Unit Map'!$I$16</x:f>
        <x:v>25717.552092721377</x:v>
      </x:c>
      <x:c r="R69" s="32" t="n">
        <x:f>'Inputs'!$B$14*'Unit Map'!$I$16</x:f>
        <x:v>73158.88668371909</x:v>
      </x:c>
      <x:c r="S69" s="32"/>
      <x:c r="T69" s="32" t="n">
        <x:f>'Results'!A14</x:f>
        <x:v>1221.042516</x:v>
      </x:c>
      <x:c r="U69" s="32" t="n">
        <x:f>'Survey'!B14*'Unit Map'!$I$18</x:f>
        <x:v>0.005148721293383272</x:v>
      </x:c>
      <x:c r="V69" s="32"/>
      <x:c r="W69" s="32" t="n">
        <x:f>'Results'!A14</x:f>
        <x:v>1221.042516</x:v>
      </x:c>
      <x:c r="X69" s="32" t="n">
        <x:f>(('Inputs'!$B$7+'Calc'!D14*'Calc'!A14)+('Calc'!G14-('Inputs'!$B$7+'Calc'!D14*'Calc'!A14))*'Chart Settings'!$B$8)*'Unit Map'!$I$14</x:f>
        <x:v>391299.86626297084</x:v>
      </x:c>
      <x:c r="Y69" s="32" t="n">
        <x:f>'Results'!B14</x:f>
        <x:v>391345.68470615847</x:v>
      </x:c>
      <x:c r="Z69" s="32" t="n">
        <x:f>(('Inputs'!$B$7+'Calc'!D14*'Calc'!A14)+('Calc'!G14-('Inputs'!$B$7+'Calc'!D14*'Calc'!A14))*'Chart Settings'!$B$10)*'Unit Map'!$I$14</x:f>
        <x:v>391391.5031493461</x:v>
      </x:c>
    </x:row>
    <x:row r="70">
      <x:c r="A70" s="32" t="n">
        <x:f>'Results'!A15</x:f>
        <x:v>1374.3773376000001</x:v>
      </x:c>
      <x:c r="B70" s="32" t="n">
        <x:f>'Results'!B15</x:f>
        <x:v>425428.63075766864</x:v>
      </x:c>
      <x:c r="C70" s="32" t="n">
        <x:f>'Results'!C15</x:f>
        <x:v>424896.5556028249</x:v>
      </x:c>
      <x:c r="D70" s="32" t="n">
        <x:f>('Calc'!G15+'Inputs'!$B$7*0.35)*'Unit Map'!$I$14</x:f>
        <x:v>467428.63075766864</x:v>
      </x:c>
      <x:c r="E70" s="32" t="n">
        <x:f>('Calc'!H15-'Inputs'!$B$7)*'Unit Map'!$I$14</x:f>
        <x:v>304896.5556028249</x:v>
      </x:c>
      <x:c r="F70" s="32" t="n">
        <x:f>('Calc'!H15-'Inputs'!$B$7*0.25)*'Unit Map'!$I$14</x:f>
        <x:v>394896.5556028249</x:v>
      </x:c>
      <x:c r="G70" s="32" t="n">
        <x:f>('Calc'!H15-'Inputs'!$B$7*0.5)*'Unit Map'!$I$14</x:f>
        <x:v>364896.5556028249</x:v>
      </x:c>
      <x:c r="H70" s="32" t="n">
        <x:f>'Observed Data'!B15*'Unit Map'!$I$14</x:f>
        <x:v>421262.67194410786</x:v>
      </x:c>
      <x:c r="I70" s="32" t="n">
        <x:f>'Inputs'!$B$13*'Unit Map'!$I$14</x:f>
        <x:v>2305313.3926624837</x:v>
      </x:c>
      <x:c r="J70" s="32" t="n">
        <x:f>'Results'!G15</x:f>
        <x:v>2221.60215796265</x:v>
      </x:c>
      <x:c r="K70" s="32" t="n">
        <x:f>'Results'!H15</x:f>
        <x:v>4443.2043159253</x:v>
      </x:c>
      <x:c r="L70" s="32"/>
      <x:c r="M70" s="32" t="n">
        <x:f>'Results'!A15</x:f>
        <x:v>1374.3773376000001</x:v>
      </x:c>
      <x:c r="N70" s="32" t="n">
        <x:f>'Results'!F15</x:f>
        <x:v>26005.865076135517</x:v>
      </x:c>
      <x:c r="O70" s="32" t="n">
        <x:f>'Results'!E15</x:f>
        <x:v>26004.692060908415</x:v>
      </x:c>
      <x:c r="P70" s="32" t="n">
        <x:f>'Results'!E15*1.1</x:f>
        <x:v>28605.16126699926</x:v>
      </x:c>
      <x:c r="Q70" s="32" t="n">
        <x:f>'Observed Data'!C15*'Unit Map'!$I$16</x:f>
        <x:v>25742.85450013991</x:v>
      </x:c>
      <x:c r="R70" s="32" t="n">
        <x:f>'Inputs'!$B$14*'Unit Map'!$I$16</x:f>
        <x:v>73158.88668371909</x:v>
      </x:c>
      <x:c r="S70" s="32"/>
      <x:c r="T70" s="32" t="n">
        <x:f>'Results'!A15</x:f>
        <x:v>1374.3773376000001</x:v>
      </x:c>
      <x:c r="U70" s="32" t="n">
        <x:f>'Survey'!B15*'Unit Map'!$I$18</x:f>
        <x:v>0.009669124056048585</x:v>
      </x:c>
      <x:c r="V70" s="32"/>
      <x:c r="W70" s="32" t="n">
        <x:f>'Results'!A15</x:f>
        <x:v>1374.3773376000001</x:v>
      </x:c>
      <x:c r="X70" s="32" t="n">
        <x:f>(('Inputs'!$B$7+'Calc'!D15*'Calc'!A15)+('Calc'!G15-('Inputs'!$B$7+'Calc'!D15*'Calc'!A15))*'Chart Settings'!$B$8)*'Unit Map'!$I$14</x:f>
        <x:v>425375.4232421843</x:v>
      </x:c>
      <x:c r="Y70" s="32" t="n">
        <x:f>'Results'!B15</x:f>
        <x:v>425428.63075766864</x:v>
      </x:c>
      <x:c r="Z70" s="32" t="n">
        <x:f>(('Inputs'!$B$7+'Calc'!D15*'Calc'!A15)+('Calc'!G15-('Inputs'!$B$7+'Calc'!D15*'Calc'!A15))*'Chart Settings'!$B$10)*'Unit Map'!$I$14</x:f>
        <x:v>425481.838273153</x:v>
      </x:c>
    </x:row>
    <x:row r="71">
      <x:c r="A71" s="32" t="n">
        <x:f>'Results'!A16</x:f>
        <x:v>1527.5362896000001</x:v>
      </x:c>
      <x:c r="B71" s="32" t="n">
        <x:f>'Results'!B16</x:f>
        <x:v>459438.75162258657</x:v>
      </x:c>
      <x:c r="C71" s="32" t="n">
        <x:f>'Results'!C16</x:f>
        <x:v>458900.33700830623</x:v>
      </x:c>
      <x:c r="D71" s="32" t="n">
        <x:f>('Calc'!G16+'Inputs'!$B$7*0.35)*'Unit Map'!$I$14</x:f>
        <x:v>501438.75162258657</x:v>
      </x:c>
      <x:c r="E71" s="32" t="n">
        <x:f>('Calc'!H16-'Inputs'!$B$7)*'Unit Map'!$I$14</x:f>
        <x:v>338900.33700830623</x:v>
      </x:c>
      <x:c r="F71" s="32" t="n">
        <x:f>('Calc'!H16-'Inputs'!$B$7*0.25)*'Unit Map'!$I$14</x:f>
        <x:v>428900.33700830623</x:v>
      </x:c>
      <x:c r="G71" s="32" t="n">
        <x:f>('Calc'!H16-'Inputs'!$B$7*0.5)*'Unit Map'!$I$14</x:f>
        <x:v>398900.33700830623</x:v>
      </x:c>
      <x:c r="H71" s="32" t="n">
        <x:f>'Observed Data'!B16*'Unit Map'!$I$14</x:f>
        <x:v>451168.93508420215</x:v>
      </x:c>
      <x:c r="I71" s="32" t="n">
        <x:f>'Inputs'!$B$13*'Unit Map'!$I$14</x:f>
        <x:v>2305313.3926624837</x:v>
      </x:c>
      <x:c r="J71" s="32" t="n">
        <x:f>'Results'!G16</x:f>
        <x:v>651.098429003259</x:v>
      </x:c>
      <x:c r="K71" s="32" t="n">
        <x:f>'Results'!H16</x:f>
        <x:v>1302.196858006518</x:v>
      </x:c>
      <x:c r="L71" s="32"/>
      <x:c r="M71" s="32" t="n">
        <x:f>'Results'!A16</x:f>
        <x:v>1527.5362896000001</x:v>
      </x:c>
      <x:c r="N71" s="32" t="n">
        <x:f>'Results'!F16</x:f>
        <x:v>26000.50319459278</x:v>
      </x:c>
      <x:c r="O71" s="32" t="n">
        <x:f>'Results'!E16</x:f>
        <x:v>26000.402555674227</x:v>
      </x:c>
      <x:c r="P71" s="32" t="n">
        <x:f>'Results'!E16*1.1</x:f>
        <x:v>28600.442811241654</x:v>
      </x:c>
      <x:c r="Q71" s="32" t="n">
        <x:f>'Observed Data'!C16*'Unit Map'!$I$16</x:f>
        <x:v>26001.783394825576</x:v>
      </x:c>
      <x:c r="R71" s="32" t="n">
        <x:f>'Inputs'!$B$14*'Unit Map'!$I$16</x:f>
        <x:v>73158.88668371909</x:v>
      </x:c>
      <x:c r="S71" s="32"/>
      <x:c r="T71" s="32" t="n">
        <x:f>'Results'!A16</x:f>
        <x:v>1527.5362896000001</x:v>
      </x:c>
      <x:c r="U71" s="32" t="n">
        <x:f>'Survey'!B16*'Unit Map'!$I$18</x:f>
        <x:v>0.010035643198967393</x:v>
      </x:c>
      <x:c r="V71" s="32"/>
      <x:c r="W71" s="32" t="n">
        <x:f>'Results'!A16</x:f>
        <x:v>1527.5362896000001</x:v>
      </x:c>
      <x:c r="X71" s="32" t="n">
        <x:f>(('Inputs'!$B$7+'Calc'!D16*'Calc'!A16)+('Calc'!G16-('Inputs'!$B$7+'Calc'!D16*'Calc'!A16))*'Chart Settings'!$B$8)*'Unit Map'!$I$14</x:f>
        <x:v>459384.91016115854</x:v>
      </x:c>
      <x:c r="Y71" s="32" t="n">
        <x:f>'Results'!B16</x:f>
        <x:v>459438.75162258657</x:v>
      </x:c>
      <x:c r="Z71" s="32" t="n">
        <x:f>(('Inputs'!$B$7+'Calc'!D16*'Calc'!A16)+('Calc'!G16-('Inputs'!$B$7+'Calc'!D16*'Calc'!A16))*'Chart Settings'!$B$10)*'Unit Map'!$I$14</x:f>
        <x:v>459492.5930840146</x:v>
      </x:c>
    </x:row>
    <x:row r="72">
      <x:c r="A72" s="32" t="n">
        <x:f>'Results'!A17</x:f>
        <x:v>1565.8667184</x:v>
      </x:c>
      <x:c r="B72" s="32" t="n">
        <x:f>'Results'!B17</x:f>
        <x:v>468349.8132751307</x:v>
      </x:c>
      <x:c r="C72" s="32" t="n">
        <x:f>'Results'!C17</x:f>
        <x:v>467010.8206480392</x:v>
      </x:c>
      <x:c r="D72" s="32" t="n">
        <x:f>('Calc'!G17+'Inputs'!$B$7*0.35)*'Unit Map'!$I$14</x:f>
        <x:v>510349.8132751307</x:v>
      </x:c>
      <x:c r="E72" s="32" t="n">
        <x:f>('Calc'!H17-'Inputs'!$B$7)*'Unit Map'!$I$14</x:f>
        <x:v>347010.8206480392</x:v>
      </x:c>
      <x:c r="F72" s="32" t="n">
        <x:f>('Calc'!H17-'Inputs'!$B$7*0.25)*'Unit Map'!$I$14</x:f>
        <x:v>437010.8206480392</x:v>
      </x:c>
      <x:c r="G72" s="32" t="n">
        <x:f>('Calc'!H17-'Inputs'!$B$7*0.5)*'Unit Map'!$I$14</x:f>
        <x:v>407010.8206480392</x:v>
      </x:c>
      <x:c r="H72" s="32" t="n">
        <x:f>'Observed Data'!B17*'Unit Map'!$I$14</x:f>
        <x:v>463826.3444079588</x:v>
      </x:c>
      <x:c r="I72" s="32" t="n">
        <x:f>'Inputs'!$B$13*'Unit Map'!$I$14</x:f>
        <x:v>2305313.3926624837</x:v>
      </x:c>
      <x:c r="J72" s="32" t="n">
        <x:f>'Results'!G17</x:f>
        <x:v>14625.870276492271</x:v>
      </x:c>
      <x:c r="K72" s="32" t="n">
        <x:f>'Results'!H17</x:f>
        <x:v>29251.740552984542</x:v>
      </x:c>
      <x:c r="L72" s="32"/>
      <x:c r="M72" s="32" t="n">
        <x:f>'Results'!A17</x:f>
        <x:v>1565.8667184</x:v>
      </x:c>
      <x:c r="N72" s="32" t="n">
        <x:f>'Results'!F17</x:f>
        <x:v>26063.54587976688</x:v>
      </x:c>
      <x:c r="O72" s="32" t="n">
        <x:f>'Results'!E17</x:f>
        <x:v>26050.836703813504</x:v>
      </x:c>
      <x:c r="P72" s="32" t="n">
        <x:f>'Results'!E17*1.1</x:f>
        <x:v>28655.920374194855</x:v>
      </x:c>
      <x:c r="Q72" s="32" t="n">
        <x:f>'Observed Data'!C17*'Unit Map'!$I$16</x:f>
        <x:v>26314.633923983183</x:v>
      </x:c>
      <x:c r="R72" s="32" t="n">
        <x:f>'Inputs'!$B$14*'Unit Map'!$I$16</x:f>
        <x:v>73158.88668371909</x:v>
      </x:c>
      <x:c r="S72" s="32"/>
      <x:c r="T72" s="32" t="n">
        <x:f>'Results'!A17</x:f>
        <x:v>1565.8667184</x:v>
      </x:c>
      <x:c r="U72" s="32" t="n">
        <x:f>'Survey'!B17*'Unit Map'!$I$18</x:f>
        <x:v>0.20598375832037077</x:v>
      </x:c>
      <x:c r="V72" s="32"/>
      <x:c r="W72" s="32" t="n">
        <x:f>'Results'!A17</x:f>
        <x:v>1565.8667184</x:v>
      </x:c>
      <x:c r="X72" s="32" t="n">
        <x:f>(('Inputs'!$B$7+'Calc'!D17*'Calc'!A17)+('Calc'!G17-('Inputs'!$B$7+'Calc'!D17*'Calc'!A17))*'Chart Settings'!$B$8)*'Unit Map'!$I$14</x:f>
        <x:v>468215.91401242156</x:v>
      </x:c>
      <x:c r="Y72" s="32" t="n">
        <x:f>'Results'!B17</x:f>
        <x:v>468349.8132751307</x:v>
      </x:c>
      <x:c r="Z72" s="32" t="n">
        <x:f>(('Inputs'!$B$7+'Calc'!D17*'Calc'!A17)+('Calc'!G17-('Inputs'!$B$7+'Calc'!D17*'Calc'!A17))*'Chart Settings'!$B$10)*'Unit Map'!$I$14</x:f>
        <x:v>468483.71253783983</x:v>
      </x:c>
    </x:row>
    <x:row r="73">
      <x:c r="A73" s="32" t="n">
        <x:f>'Results'!A18</x:f>
        <x:v>1603.5857184000001</x:v>
      </x:c>
      <x:c r="B73" s="32" t="n">
        <x:f>'Results'!B18</x:f>
        <x:v>477086.71589363687</x:v>
      </x:c>
      <x:c r="C73" s="32" t="n">
        <x:f>'Results'!C18</x:f>
        <x:v>475023.9437135505</x:v>
      </x:c>
      <x:c r="D73" s="32" t="n">
        <x:f>('Calc'!G18+'Inputs'!$B$7*0.35)*'Unit Map'!$I$14</x:f>
        <x:v>519086.71589363687</x:v>
      </x:c>
      <x:c r="E73" s="32" t="n">
        <x:f>('Calc'!H18-'Inputs'!$B$7)*'Unit Map'!$I$14</x:f>
        <x:v>355023.9437135505</x:v>
      </x:c>
      <x:c r="F73" s="32" t="n">
        <x:f>('Calc'!H18-'Inputs'!$B$7*0.25)*'Unit Map'!$I$14</x:f>
        <x:v>445023.9437135505</x:v>
      </x:c>
      <x:c r="G73" s="32" t="n">
        <x:f>('Calc'!H18-'Inputs'!$B$7*0.5)*'Unit Map'!$I$14</x:f>
        <x:v>415023.9437135505</x:v>
      </x:c>
      <x:c r="H73" s="32" t="n">
        <x:f>'Observed Data'!B18*'Unit Map'!$I$14</x:f>
        <x:v>480694.92590471177</x:v>
      </x:c>
      <x:c r="I73" s="32" t="n">
        <x:f>'Inputs'!$B$13*'Unit Map'!$I$14</x:f>
        <x:v>2305313.3926624837</x:v>
      </x:c>
      <x:c r="J73" s="32" t="n">
        <x:f>'Results'!G18</x:f>
        <x:v>14018.927722546516</x:v>
      </x:c>
      <x:c r="K73" s="32" t="n">
        <x:f>'Results'!H18</x:f>
        <x:v>28037.85544509303</x:v>
      </x:c>
      <x:c r="L73" s="32"/>
      <x:c r="M73" s="32" t="n">
        <x:f>'Results'!A18</x:f>
        <x:v>1603.5857184000001</x:v>
      </x:c>
      <x:c r="N73" s="32" t="n">
        <x:f>'Results'!F18</x:f>
        <x:v>26057.450002018966</x:v>
      </x:c>
      <x:c r="O73" s="32" t="n">
        <x:f>'Results'!E18</x:f>
        <x:v>26045.960001615174</x:v>
      </x:c>
      <x:c r="P73" s="32" t="n">
        <x:f>'Results'!E18*1.1</x:f>
        <x:v>28650.556001776695</x:v>
      </x:c>
      <x:c r="Q73" s="32" t="n">
        <x:f>'Observed Data'!C18*'Unit Map'!$I$16</x:f>
        <x:v>26329.58387249413</x:v>
      </x:c>
      <x:c r="R73" s="32" t="n">
        <x:f>'Inputs'!$B$14*'Unit Map'!$I$16</x:f>
        <x:v>73158.88668371909</x:v>
      </x:c>
      <x:c r="S73" s="32"/>
      <x:c r="T73" s="32" t="n">
        <x:f>'Results'!A18</x:f>
        <x:v>1603.5857184000001</x:v>
      </x:c>
      <x:c r="U73" s="32" t="n">
        <x:f>'Survey'!B18*'Unit Map'!$I$18</x:f>
        <x:v>0.38554323176554733</x:v>
      </x:c>
      <x:c r="V73" s="32"/>
      <x:c r="W73" s="32" t="n">
        <x:f>'Results'!A18</x:f>
        <x:v>1603.5857184000001</x:v>
      </x:c>
      <x:c r="X73" s="32" t="n">
        <x:f>(('Inputs'!$B$7+'Calc'!D18*'Calc'!A18)+('Calc'!G18-('Inputs'!$B$7+'Calc'!D18*'Calc'!A18))*'Chart Settings'!$B$8)*'Unit Map'!$I$14</x:f>
        <x:v>476880.4386756282</x:v>
      </x:c>
      <x:c r="Y73" s="32" t="n">
        <x:f>'Results'!B18</x:f>
        <x:v>477086.71589363687</x:v>
      </x:c>
      <x:c r="Z73" s="32" t="n">
        <x:f>(('Inputs'!$B$7+'Calc'!D18*'Calc'!A18)+('Calc'!G18-('Inputs'!$B$7+'Calc'!D18*'Calc'!A18))*'Chart Settings'!$B$10)*'Unit Map'!$I$14</x:f>
        <x:v>477292.9931116455</x:v>
      </x:c>
    </x:row>
    <x:row r="74">
      <x:c r="A74" s="32" t="n">
        <x:f>'Results'!A19</x:f>
        <x:v>1640.9209752000002</x:v>
      </x:c>
      <x:c r="B74" s="32" t="n">
        <x:f>'Results'!B19</x:f>
        <x:v>485707.09476391843</x:v>
      </x:c>
      <x:c r="C74" s="32" t="n">
        <x:f>'Results'!C19</x:f>
        <x:v>482983.18016497383</x:v>
      </x:c>
      <x:c r="D74" s="32" t="n">
        <x:f>('Calc'!G19+'Inputs'!$B$7*0.35)*'Unit Map'!$I$14</x:f>
        <x:v>527707.0947639184</x:v>
      </x:c>
      <x:c r="E74" s="32" t="n">
        <x:f>('Calc'!H19-'Inputs'!$B$7)*'Unit Map'!$I$14</x:f>
        <x:v>362983.18016497383</x:v>
      </x:c>
      <x:c r="F74" s="32" t="n">
        <x:f>('Calc'!H19-'Inputs'!$B$7*0.25)*'Unit Map'!$I$14</x:f>
        <x:v>452983.18016497383</x:v>
      </x:c>
      <x:c r="G74" s="32" t="n">
        <x:f>('Calc'!H19-'Inputs'!$B$7*0.5)*'Unit Map'!$I$14</x:f>
        <x:v>422983.18016497383</x:v>
      </x:c>
      <x:c r="H74" s="32" t="n">
        <x:f>'Observed Data'!B19*'Unit Map'!$I$14</x:f>
        <x:v>494367.70513807226</x:v>
      </x:c>
      <x:c r="I74" s="32" t="n">
        <x:f>'Inputs'!$B$13*'Unit Map'!$I$14</x:f>
        <x:v>2305313.3926624837</x:v>
      </x:c>
      <x:c r="J74" s="32" t="n">
        <x:f>'Results'!G19</x:f>
        <x:v>13467.273080777122</x:v>
      </x:c>
      <x:c r="K74" s="32" t="n">
        <x:f>'Results'!H19</x:f>
        <x:v>26934.546161554244</x:v>
      </x:c>
      <x:c r="L74" s="32"/>
      <x:c r="M74" s="32" t="n">
        <x:f>'Results'!A19</x:f>
        <x:v>1640.9209752000002</x:v>
      </x:c>
      <x:c r="N74" s="32" t="n">
        <x:f>'Results'!F19</x:f>
        <x:v>26052.478179496877</x:v>
      </x:c>
      <x:c r="O74" s="32" t="n">
        <x:f>'Results'!E19</x:f>
        <x:v>26041.982543597504</x:v>
      </x:c>
      <x:c r="P74" s="32" t="n">
        <x:f>'Results'!E19*1.1</x:f>
        <x:v>28646.180797957255</x:v>
      </x:c>
      <x:c r="Q74" s="32" t="n">
        <x:f>'Observed Data'!C19*'Unit Map'!$I$16</x:f>
        <x:v>26084.713442593045</x:v>
      </x:c>
      <x:c r="R74" s="32" t="n">
        <x:f>'Inputs'!$B$14*'Unit Map'!$I$16</x:f>
        <x:v>73158.88668371909</x:v>
      </x:c>
      <x:c r="S74" s="32"/>
      <x:c r="T74" s="32" t="n">
        <x:f>'Results'!A19</x:f>
        <x:v>1640.9209752000002</x:v>
      </x:c>
      <x:c r="U74" s="32" t="n">
        <x:f>'Survey'!B19*'Unit Map'!$I$18</x:f>
        <x:v>0.5509829915620899</x:v>
      </x:c>
      <x:c r="V74" s="32"/>
      <x:c r="W74" s="32" t="n">
        <x:f>'Results'!A19</x:f>
        <x:v>1640.9209752000002</x:v>
      </x:c>
      <x:c r="X74" s="32" t="n">
        <x:f>(('Inputs'!$B$7+'Calc'!D19*'Calc'!A19)+('Calc'!G19-('Inputs'!$B$7+'Calc'!D19*'Calc'!A19))*'Chart Settings'!$B$8)*'Unit Map'!$I$14</x:f>
        <x:v>485434.70330402395</x:v>
      </x:c>
      <x:c r="Y74" s="32" t="n">
        <x:f>'Results'!B19</x:f>
        <x:v>485707.09476391843</x:v>
      </x:c>
      <x:c r="Z74" s="32" t="n">
        <x:f>(('Inputs'!$B$7+'Calc'!D19*'Calc'!A19)+('Calc'!G19-('Inputs'!$B$7+'Calc'!D19*'Calc'!A19))*'Chart Settings'!$B$10)*'Unit Map'!$I$14</x:f>
        <x:v>485979.4862238129</x:v>
      </x:c>
    </x:row>
    <x:row r="75">
      <x:c r="A75" s="32" t="n">
        <x:f>'Results'!A20</x:f>
        <x:v>1678.2970752</x:v>
      </x:c>
      <x:c r="B75" s="32" t="n">
        <x:f>'Results'!B20</x:f>
        <x:v>494320.8872486618</x:v>
      </x:c>
      <x:c r="C75" s="32" t="n">
        <x:f>'Results'!C20</x:f>
        <x:v>490967.14040348405</x:v>
      </x:c>
      <x:c r="D75" s="32" t="n">
        <x:f>('Calc'!G20+'Inputs'!$B$7*0.35)*'Unit Map'!$I$14</x:f>
        <x:v>536320.8872486618</x:v>
      </x:c>
      <x:c r="E75" s="32" t="n">
        <x:f>('Calc'!H20-'Inputs'!$B$7)*'Unit Map'!$I$14</x:f>
        <x:v>370967.14040348405</x:v>
      </x:c>
      <x:c r="F75" s="32" t="n">
        <x:f>('Calc'!H20-'Inputs'!$B$7*0.25)*'Unit Map'!$I$14</x:f>
        <x:v>460967.14040348405</x:v>
      </x:c>
      <x:c r="G75" s="32" t="n">
        <x:f>('Calc'!H20-'Inputs'!$B$7*0.5)*'Unit Map'!$I$14</x:f>
        <x:v>430967.14040348405</x:v>
      </x:c>
      <x:c r="H75" s="32" t="n">
        <x:f>'Observed Data'!B20*'Unit Map'!$I$14</x:f>
        <x:v>500107.0027667045</x:v>
      </x:c>
      <x:c r="I75" s="32" t="n">
        <x:f>'Inputs'!$B$13*'Unit Map'!$I$14</x:f>
        <x:v>2305313.3926624837</x:v>
      </x:c>
      <x:c r="J75" s="32" t="n">
        <x:f>'Results'!G20</x:f>
        <x:v>13137.332179016305</x:v>
      </x:c>
      <x:c r="K75" s="32" t="n">
        <x:f>'Results'!H20</x:f>
        <x:v>26274.66435803261</x:v>
      </x:c>
      <x:c r="L75" s="32"/>
      <x:c r="M75" s="32" t="n">
        <x:f>'Results'!A20</x:f>
        <x:v>1678.2970752</x:v>
      </x:c>
      <x:c r="N75" s="32" t="n">
        <x:f>'Results'!F20</x:f>
        <x:v>26049.99293454476</x:v>
      </x:c>
      <x:c r="O75" s="32" t="n">
        <x:f>'Results'!E20</x:f>
        <x:v>26039.994347635806</x:v>
      </x:c>
      <x:c r="P75" s="32" t="n">
        <x:f>'Results'!E20*1.1</x:f>
        <x:v>28643.99378239939</x:v>
      </x:c>
      <x:c r="Q75" s="32" t="n">
        <x:f>'Observed Data'!C20*'Unit Map'!$I$16</x:f>
        <x:v>25802.607120154073</x:v>
      </x:c>
      <x:c r="R75" s="32" t="n">
        <x:f>'Inputs'!$B$14*'Unit Map'!$I$16</x:f>
        <x:v>73158.88668371909</x:v>
      </x:c>
      <x:c r="S75" s="32"/>
      <x:c r="T75" s="32" t="n">
        <x:f>'Results'!A20</x:f>
        <x:v>1678.2970752</x:v>
      </x:c>
      <x:c r="U75" s="32" t="n">
        <x:f>'Survey'!B20*'Unit Map'!$I$18</x:f>
        <x:v>0.7084815032620583</x:v>
      </x:c>
      <x:c r="V75" s="32"/>
      <x:c r="W75" s="32" t="n">
        <x:f>'Results'!A20</x:f>
        <x:v>1678.2970752</x:v>
      </x:c>
      <x:c r="X75" s="32" t="n">
        <x:f>(('Inputs'!$B$7+'Calc'!D20*'Calc'!A20)+('Calc'!G20-('Inputs'!$B$7+'Calc'!D20*'Calc'!A20))*'Chart Settings'!$B$8)*'Unit Map'!$I$14</x:f>
        <x:v>493985.51256414404</x:v>
      </x:c>
      <x:c r="Y75" s="32" t="n">
        <x:f>'Results'!B20</x:f>
        <x:v>494320.8872486618</x:v>
      </x:c>
      <x:c r="Z75" s="32" t="n">
        <x:f>(('Inputs'!$B$7+'Calc'!D20*'Calc'!A20)+('Calc'!G20-('Inputs'!$B$7+'Calc'!D20*'Calc'!A20))*'Chart Settings'!$B$10)*'Unit Map'!$I$14</x:f>
        <x:v>494656.2619331795</x:v>
      </x:c>
    </x:row>
    <x:row r="76">
      <x:c r="A76" s="32" t="n">
        <x:f>'Results'!A21</x:f>
        <x:v>1716.1166592000002</x:v>
      </x:c>
      <x:c r="B76" s="32" t="n">
        <x:f>'Results'!B21</x:f>
        <x:v>503044.30107654614</x:v>
      </x:c>
      <x:c r="C76" s="32" t="n">
        <x:f>'Results'!C21</x:f>
        <x:v>499038.4189947745</x:v>
      </x:c>
      <x:c r="D76" s="32" t="n">
        <x:f>('Calc'!G21+'Inputs'!$B$7*0.35)*'Unit Map'!$I$14</x:f>
        <x:v>545044.3010765461</x:v>
      </x:c>
      <x:c r="E76" s="32" t="n">
        <x:f>('Calc'!H21-'Inputs'!$B$7)*'Unit Map'!$I$14</x:f>
        <x:v>379038.4189947745</x:v>
      </x:c>
      <x:c r="F76" s="32" t="n">
        <x:f>('Calc'!H21-'Inputs'!$B$7*0.25)*'Unit Map'!$I$14</x:f>
        <x:v>469038.4189947745</x:v>
      </x:c>
      <x:c r="G76" s="32" t="n">
        <x:f>('Calc'!H21-'Inputs'!$B$7*0.5)*'Unit Map'!$I$14</x:f>
        <x:v>439038.4189947745</x:v>
      </x:c>
      <x:c r="H76" s="32" t="n">
        <x:f>'Observed Data'!B21*'Unit Map'!$I$14</x:f>
        <x:v>500437.39486777695</x:v>
      </x:c>
      <x:c r="I76" s="32" t="n">
        <x:f>'Inputs'!$B$13*'Unit Map'!$I$14</x:f>
        <x:v>2305313.3926624837</x:v>
      </x:c>
      <x:c r="J76" s="32" t="n">
        <x:f>'Results'!G21</x:f>
        <x:v>13289.302478170144</x:v>
      </x:c>
      <x:c r="K76" s="32" t="n">
        <x:f>'Results'!H21</x:f>
        <x:v>26578.60495634029</x:v>
      </x:c>
      <x:c r="L76" s="32"/>
      <x:c r="M76" s="32" t="n">
        <x:f>'Results'!A21</x:f>
        <x:v>1716.1166592000002</x:v>
      </x:c>
      <x:c r="N76" s="32" t="n">
        <x:f>'Results'!F21</x:f>
        <x:v>26051.763234404643</x:v>
      </x:c>
      <x:c r="O76" s="32" t="n">
        <x:f>'Results'!E21</x:f>
        <x:v>26041.410587523715</x:v>
      </x:c>
      <x:c r="P76" s="32" t="n">
        <x:f>'Results'!E21*1.1</x:f>
        <x:v>28645.55164627609</x:v>
      </x:c>
      <x:c r="Q76" s="32" t="n">
        <x:f>'Observed Data'!C21*'Unit Map'!$I$16</x:f>
        <x:v>25742.144942762086</x:v>
      </x:c>
      <x:c r="R76" s="32" t="n">
        <x:f>'Inputs'!$B$14*'Unit Map'!$I$16</x:f>
        <x:v>73158.88668371909</x:v>
      </x:c>
      <x:c r="S76" s="32"/>
      <x:c r="T76" s="32" t="n">
        <x:f>'Results'!A21</x:f>
        <x:v>1716.1166592000002</x:v>
      </x:c>
      <x:c r="U76" s="32" t="n">
        <x:f>'Survey'!B21*'Unit Map'!$I$18</x:f>
        <x:v>0.8696277530986946</x:v>
      </x:c>
      <x:c r="V76" s="32"/>
      <x:c r="W76" s="32" t="n">
        <x:f>'Results'!A21</x:f>
        <x:v>1716.1166592000002</x:v>
      </x:c>
      <x:c r="X76" s="32" t="n">
        <x:f>(('Inputs'!$B$7+'Calc'!D21*'Calc'!A21)+('Calc'!G21-('Inputs'!$B$7+'Calc'!D21*'Calc'!A21))*'Chart Settings'!$B$8)*'Unit Map'!$I$14</x:f>
        <x:v>502643.712868369</x:v>
      </x:c>
      <x:c r="Y76" s="32" t="n">
        <x:f>'Results'!B21</x:f>
        <x:v>503044.30107654614</x:v>
      </x:c>
      <x:c r="Z76" s="32" t="n">
        <x:f>(('Inputs'!$B$7+'Calc'!D21*'Calc'!A21)+('Calc'!G21-('Inputs'!$B$7+'Calc'!D21*'Calc'!A21))*'Chart Settings'!$B$10)*'Unit Map'!$I$14</x:f>
        <x:v>503444.88928472326</x:v>
      </x:c>
    </x:row>
    <x:row r="77">
      <x:c r="A77" s="32" t="n">
        <x:f>'Results'!A22</x:f>
        <x:v>1754.5571208000001</x:v>
      </x:c>
      <x:c r="B77" s="32" t="n">
        <x:f>'Results'!B22</x:f>
        <x:v>511938.37316616287</x:v>
      </x:c>
      <x:c r="C77" s="32" t="n">
        <x:f>'Results'!C22</x:f>
        <x:v>507214.75489862217</x:v>
      </x:c>
      <x:c r="D77" s="32" t="n">
        <x:f>('Calc'!G22+'Inputs'!$B$7*0.35)*'Unit Map'!$I$14</x:f>
        <x:v>553938.3731661629</x:v>
      </x:c>
      <x:c r="E77" s="32" t="n">
        <x:f>('Calc'!H22-'Inputs'!$B$7)*'Unit Map'!$I$14</x:f>
        <x:v>387214.75489862217</x:v>
      </x:c>
      <x:c r="F77" s="32" t="n">
        <x:f>('Calc'!H22-'Inputs'!$B$7*0.25)*'Unit Map'!$I$14</x:f>
        <x:v>477214.75489862217</x:v>
      </x:c>
      <x:c r="G77" s="32" t="n">
        <x:f>('Calc'!H22-'Inputs'!$B$7*0.5)*'Unit Map'!$I$14</x:f>
        <x:v>447214.75489862217</x:v>
      </x:c>
      <x:c r="H77" s="32" t="n">
        <x:f>'Observed Data'!B22*'Unit Map'!$I$14</x:f>
        <x:v>503079.2003429036</x:v>
      </x:c>
      <x:c r="I77" s="32" t="n">
        <x:f>'Inputs'!$B$13*'Unit Map'!$I$14</x:f>
        <x:v>2305313.3926624837</x:v>
      </x:c>
      <x:c r="J77" s="32" t="n">
        <x:f>'Results'!G22</x:f>
        <x:v>13828.652103940169</x:v>
      </x:c>
      <x:c r="K77" s="32" t="n">
        <x:f>'Results'!H22</x:f>
        <x:v>27657.304207880337</x:v>
      </x:c>
      <x:c r="L77" s="32"/>
      <x:c r="M77" s="32" t="n">
        <x:f>'Results'!A22</x:f>
        <x:v>1754.5571208000001</x:v>
      </x:c>
      <x:c r="N77" s="32" t="n">
        <x:f>'Results'!F22</x:f>
        <x:v>26056.97030974542</x:v>
      </x:c>
      <x:c r="O77" s="32" t="n">
        <x:f>'Results'!E22</x:f>
        <x:v>26045.576247796333</x:v>
      </x:c>
      <x:c r="P77" s="32" t="n">
        <x:f>'Results'!E22*1.1</x:f>
        <x:v>28650.133872575967</x:v>
      </x:c>
      <x:c r="Q77" s="32" t="n">
        <x:f>'Observed Data'!C22*'Unit Map'!$I$16</x:f>
        <x:v>25959.57479537448</x:v>
      </x:c>
      <x:c r="R77" s="32" t="n">
        <x:f>'Inputs'!$B$14*'Unit Map'!$I$16</x:f>
        <x:v>73158.88668371909</x:v>
      </x:c>
      <x:c r="S77" s="32"/>
      <x:c r="T77" s="32" t="n">
        <x:f>'Results'!A22</x:f>
        <x:v>1754.5571208000001</x:v>
      </x:c>
      <x:c r="U77" s="32" t="n">
        <x:f>'Survey'!B22*'Unit Map'!$I$18</x:f>
        <x:v>1.0435149064748896</x:v>
      </x:c>
      <x:c r="V77" s="32"/>
      <x:c r="W77" s="32" t="n">
        <x:f>'Results'!A22</x:f>
        <x:v>1754.5571208000001</x:v>
      </x:c>
      <x:c r="X77" s="32" t="n">
        <x:f>(('Inputs'!$B$7+'Calc'!D22*'Calc'!A22)+('Calc'!G22-('Inputs'!$B$7+'Calc'!D22*'Calc'!A22))*'Chart Settings'!$B$8)*'Unit Map'!$I$14</x:f>
        <x:v>511466.0113394088</x:v>
      </x:c>
      <x:c r="Y77" s="32" t="n">
        <x:f>'Results'!B22</x:f>
        <x:v>511938.37316616287</x:v>
      </x:c>
      <x:c r="Z77" s="32" t="n">
        <x:f>(('Inputs'!$B$7+'Calc'!D22*'Calc'!A22)+('Calc'!G22-('Inputs'!$B$7+'Calc'!D22*'Calc'!A22))*'Chart Settings'!$B$10)*'Unit Map'!$I$14</x:f>
        <x:v>512410.7349929169</x:v>
      </x:c>
    </x:row>
    <x:row r="78">
      <x:c r="A78" s="32" t="n">
        <x:f>'Results'!A23</x:f>
        <x:v>1793.4788616</x:v>
      </x:c>
      <x:c r="B78" s="32" t="n">
        <x:f>'Results'!B23</x:f>
        <x:v>520975.0329266632</x:v>
      </x:c>
      <x:c r="C78" s="32" t="n">
        <x:f>'Results'!C23</x:f>
        <x:v>515462.2266916272</x:v>
      </x:c>
      <x:c r="D78" s="32" t="n">
        <x:f>('Calc'!G23+'Inputs'!$B$7*0.35)*'Unit Map'!$I$14</x:f>
        <x:v>562975.0329266632</x:v>
      </x:c>
      <x:c r="E78" s="32" t="n">
        <x:f>('Calc'!H23-'Inputs'!$B$7)*'Unit Map'!$I$14</x:f>
        <x:v>395462.2266916272</x:v>
      </x:c>
      <x:c r="F78" s="32" t="n">
        <x:f>('Calc'!H23-'Inputs'!$B$7*0.25)*'Unit Map'!$I$14</x:f>
        <x:v>485462.2266916272</x:v>
      </x:c>
      <x:c r="G78" s="32" t="n">
        <x:f>('Calc'!H23-'Inputs'!$B$7*0.5)*'Unit Map'!$I$14</x:f>
        <x:v>455462.2266916272</x:v>
      </x:c>
      <x:c r="H78" s="32" t="n">
        <x:f>'Observed Data'!B23*'Unit Map'!$I$14</x:f>
        <x:v>513932.61202560435</x:v>
      </x:c>
      <x:c r="I78" s="32" t="n">
        <x:f>'Inputs'!$B$13*'Unit Map'!$I$14</x:f>
        <x:v>2305313.3926624837</x:v>
      </x:c>
      <x:c r="J78" s="32" t="n">
        <x:f>'Results'!G23</x:f>
        <x:v>14410.724855994376</x:v>
      </x:c>
      <x:c r="K78" s="32" t="n">
        <x:f>'Results'!H23</x:f>
        <x:v>28821.449711988753</x:v>
      </x:c>
      <x:c r="L78" s="32"/>
      <x:c r="M78" s="32" t="n">
        <x:f>'Results'!A23</x:f>
        <x:v>1793.4788616</x:v>
      </x:c>
      <x:c r="N78" s="32" t="n">
        <x:f>'Results'!F23</x:f>
        <x:v>26062.641794919942</x:v>
      </x:c>
      <x:c r="O78" s="32" t="n">
        <x:f>'Results'!E23</x:f>
        <x:v>26050.113435935953</x:v>
      </x:c>
      <x:c r="P78" s="32" t="n">
        <x:f>'Results'!E23*1.1</x:f>
        <x:v>28655.12477952955</x:v>
      </x:c>
      <x:c r="Q78" s="32" t="n">
        <x:f>'Observed Data'!C23*'Unit Map'!$I$16</x:f>
        <x:v>26256.52933777678</x:v>
      </x:c>
      <x:c r="R78" s="32" t="n">
        <x:f>'Inputs'!$B$14*'Unit Map'!$I$16</x:f>
        <x:v>73158.88668371909</x:v>
      </x:c>
      <x:c r="S78" s="32"/>
      <x:c r="T78" s="32" t="n">
        <x:f>'Results'!A23</x:f>
        <x:v>1793.4788616</x:v>
      </x:c>
      <x:c r="U78" s="32" t="n">
        <x:f>'Survey'!B23*'Unit Map'!$I$18</x:f>
        <x:v>1.2305967489961618</x:v>
      </x:c>
      <x:c r="V78" s="32"/>
      <x:c r="W78" s="32" t="n">
        <x:f>'Results'!A23</x:f>
        <x:v>1793.4788616</x:v>
      </x:c>
      <x:c r="X78" s="32" t="n">
        <x:f>(('Inputs'!$B$7+'Calc'!D23*'Calc'!A23)+('Calc'!G23-('Inputs'!$B$7+'Calc'!D23*'Calc'!A23))*'Chart Settings'!$B$8)*'Unit Map'!$I$14</x:f>
        <x:v>520423.75230315956</x:v>
      </x:c>
      <x:c r="Y78" s="32" t="n">
        <x:f>'Results'!B23</x:f>
        <x:v>520975.0329266632</x:v>
      </x:c>
      <x:c r="Z78" s="32" t="n">
        <x:f>(('Inputs'!$B$7+'Calc'!D23*'Calc'!A23)+('Calc'!G23-('Inputs'!$B$7+'Calc'!D23*'Calc'!A23))*'Chart Settings'!$B$10)*'Unit Map'!$I$14</x:f>
        <x:v>521526.3135501668</x:v>
      </x:c>
    </x:row>
    <x:row r="79">
      <x:c r="A79" s="32" t="n">
        <x:f>'Results'!A24</x:f>
        <x:v>1832.4975288000003</x:v>
      </x:c>
      <x:c r="B79" s="32" t="n">
        <x:f>'Results'!B24</x:f>
        <x:v>530050.028756666</x:v>
      </x:c>
      <x:c r="C79" s="32" t="n">
        <x:f>'Results'!C24</x:f>
        <x:v>523714.4049053724</x:v>
      </x:c>
      <x:c r="D79" s="32" t="n">
        <x:f>('Calc'!G24+'Inputs'!$B$7*0.35)*'Unit Map'!$I$14</x:f>
        <x:v>572050.028756666</x:v>
      </x:c>
      <x:c r="E79" s="32" t="n">
        <x:f>('Calc'!H24-'Inputs'!$B$7)*'Unit Map'!$I$14</x:f>
        <x:v>403714.4049053724</x:v>
      </x:c>
      <x:c r="F79" s="32" t="n">
        <x:f>('Calc'!H24-'Inputs'!$B$7*0.25)*'Unit Map'!$I$14</x:f>
        <x:v>493714.4049053724</x:v>
      </x:c>
      <x:c r="G79" s="32" t="n">
        <x:f>('Calc'!H24-'Inputs'!$B$7*0.5)*'Unit Map'!$I$14</x:f>
        <x:v>463714.4049053724</x:v>
      </x:c>
      <x:c r="H79" s="32" t="n">
        <x:f>'Observed Data'!B24*'Unit Map'!$I$14</x:f>
        <x:v>531479.9923039187</x:v>
      </x:c>
      <x:c r="I79" s="32" t="n">
        <x:f>'Inputs'!$B$13*'Unit Map'!$I$14</x:f>
        <x:v>2305313.3926624837</x:v>
      </x:c>
      <x:c r="J79" s="32" t="n">
        <x:f>'Results'!G24</x:f>
        <x:v>14696.276085690224</x:v>
      </x:c>
      <x:c r="K79" s="32" t="n">
        <x:f>'Results'!H24</x:f>
        <x:v>29392.55217138045</x:v>
      </x:c>
      <x:c r="L79" s="32"/>
      <x:c r="M79" s="32" t="n">
        <x:f>'Results'!A24</x:f>
        <x:v>1832.4975288000003</x:v>
      </x:c>
      <x:c r="N79" s="32" t="n">
        <x:f>'Results'!F24</x:f>
        <x:v>26065.311148290446</x:v>
      </x:c>
      <x:c r="O79" s="32" t="n">
        <x:f>'Results'!E24</x:f>
        <x:v>26052.248918632355</x:v>
      </x:c>
      <x:c r="P79" s="32" t="n">
        <x:f>'Results'!E24*1.1</x:f>
        <x:v>28657.473810495594</x:v>
      </x:c>
      <x:c r="Q79" s="32" t="n">
        <x:f>'Observed Data'!C24*'Unit Map'!$I$16</x:f>
        <x:v>26361.344664472363</x:v>
      </x:c>
      <x:c r="R79" s="32" t="n">
        <x:f>'Inputs'!$B$14*'Unit Map'!$I$16</x:f>
        <x:v>73158.88668371909</x:v>
      </x:c>
      <x:c r="S79" s="32"/>
      <x:c r="T79" s="32" t="n">
        <x:f>'Results'!A24</x:f>
        <x:v>1832.4975288000003</x:v>
      </x:c>
      <x:c r="U79" s="32" t="n">
        <x:f>'Survey'!B24*'Unit Map'!$I$18</x:f>
        <x:v>1.422321167327739</x:v>
      </x:c>
      <x:c r="V79" s="32"/>
      <x:c r="W79" s="32" t="n">
        <x:f>'Results'!A24</x:f>
        <x:v>1832.4975288000003</x:v>
      </x:c>
      <x:c r="X79" s="32" t="n">
        <x:f>(('Inputs'!$B$7+'Calc'!D24*'Calc'!A24)+('Calc'!G24-('Inputs'!$B$7+'Calc'!D24*'Calc'!A24))*'Chart Settings'!$B$8)*'Unit Map'!$I$14</x:f>
        <x:v>529416.4663715366</x:v>
      </x:c>
      <x:c r="Y79" s="32" t="n">
        <x:f>'Results'!B24</x:f>
        <x:v>530050.028756666</x:v>
      </x:c>
      <x:c r="Z79" s="32" t="n">
        <x:f>(('Inputs'!$B$7+'Calc'!D24*'Calc'!A24)+('Calc'!G24-('Inputs'!$B$7+'Calc'!D24*'Calc'!A24))*'Chart Settings'!$B$10)*'Unit Map'!$I$14</x:f>
        <x:v>530683.5911417954</x:v>
      </x:c>
    </x:row>
    <x:row r="80">
      <x:c r="A80" s="32" t="n">
        <x:f>'Results'!A25</x:f>
        <x:v>1871.1787824</x:v>
      </x:c>
      <x:c r="B80" s="32" t="n">
        <x:f>'Results'!B25</x:f>
        <x:v>539037.0019643743</x:v>
      </x:c>
      <x:c r="C80" s="32" t="n">
        <x:f>'Results'!C25</x:f>
        <x:v>531904.7691480203</x:v>
      </x:c>
      <x:c r="D80" s="32" t="n">
        <x:f>('Calc'!G25+'Inputs'!$B$7*0.35)*'Unit Map'!$I$14</x:f>
        <x:v>581037.0019643743</x:v>
      </x:c>
      <x:c r="E80" s="32" t="n">
        <x:f>('Calc'!H25-'Inputs'!$B$7)*'Unit Map'!$I$14</x:f>
        <x:v>411904.7691480203</x:v>
      </x:c>
      <x:c r="F80" s="32" t="n">
        <x:f>('Calc'!H25-'Inputs'!$B$7*0.25)*'Unit Map'!$I$14</x:f>
        <x:v>501904.7691480203</x:v>
      </x:c>
      <x:c r="G80" s="32" t="n">
        <x:f>('Calc'!H25-'Inputs'!$B$7*0.5)*'Unit Map'!$I$14</x:f>
        <x:v>471904.7691480203</x:v>
      </x:c>
      <x:c r="H80" s="32" t="n">
        <x:f>'Observed Data'!B25*'Unit Map'!$I$14</x:f>
        <x:v>547895.0048407514</x:v>
      </x:c>
      <x:c r="I80" s="32" t="n">
        <x:f>'Inputs'!$B$13*'Unit Map'!$I$14</x:f>
        <x:v>2305313.3926624837</x:v>
      </x:c>
      <x:c r="J80" s="32" t="n">
        <x:f>'Results'!G25</x:f>
        <x:v>14523.257963276968</x:v>
      </x:c>
      <x:c r="K80" s="32" t="n">
        <x:f>'Results'!H25</x:f>
        <x:v>29046.515926553937</x:v>
      </x:c>
      <x:c r="L80" s="32"/>
      <x:c r="M80" s="32" t="n">
        <x:f>'Results'!A25</x:f>
        <x:v>1871.1787824</x:v>
      </x:c>
      <x:c r="N80" s="32" t="n">
        <x:f>'Results'!F25</x:f>
        <x:v>26063.23083660167</x:v>
      </x:c>
      <x:c r="O80" s="32" t="n">
        <x:f>'Results'!E25</x:f>
        <x:v>26050.584669281336</x:v>
      </x:c>
      <x:c r="P80" s="32" t="n">
        <x:f>'Results'!E25*1.1</x:f>
        <x:v>28655.64313620947</x:v>
      </x:c>
      <x:c r="Q80" s="32" t="n">
        <x:f>'Observed Data'!C25*'Unit Map'!$I$16</x:f>
        <x:v>26178.153984920755</x:v>
      </x:c>
      <x:c r="R80" s="32" t="n">
        <x:f>'Inputs'!$B$14*'Unit Map'!$I$16</x:f>
        <x:v>73158.88668371909</x:v>
      </x:c>
      <x:c r="S80" s="32"/>
      <x:c r="T80" s="32" t="n">
        <x:f>'Results'!A25</x:f>
        <x:v>1871.1787824</x:v>
      </x:c>
      <x:c r="U80" s="32" t="n">
        <x:f>'Survey'!B25*'Unit Map'!$I$18</x:f>
        <x:v>1.607011908773779</x:v>
      </x:c>
      <x:c r="V80" s="32"/>
      <x:c r="W80" s="32" t="n">
        <x:f>'Results'!A25</x:f>
        <x:v>1871.1787824</x:v>
      </x:c>
      <x:c r="X80" s="32" t="n">
        <x:f>(('Inputs'!$B$7+'Calc'!D25*'Calc'!A25)+('Calc'!G25-('Inputs'!$B$7+'Calc'!D25*'Calc'!A25))*'Chart Settings'!$B$8)*'Unit Map'!$I$14</x:f>
        <x:v>538323.7786827389</x:v>
      </x:c>
      <x:c r="Y80" s="32" t="n">
        <x:f>'Results'!B25</x:f>
        <x:v>539037.0019643743</x:v>
      </x:c>
      <x:c r="Z80" s="32" t="n">
        <x:f>(('Inputs'!$B$7+'Calc'!D25*'Calc'!A25)+('Calc'!G25-('Inputs'!$B$7+'Calc'!D25*'Calc'!A25))*'Chart Settings'!$B$10)*'Unit Map'!$I$14</x:f>
        <x:v>539750.2252460098</x:v>
      </x:c>
    </x:row>
    <x:row r="81">
      <x:c r="A81" s="32" t="n">
        <x:f>'Results'!A26</x:f>
        <x:v>1947.3607992000002</x:v>
      </x:c>
      <x:c r="B81" s="32" t="n">
        <x:f>'Results'!B26</x:f>
        <x:v>556218.7098983912</x:v>
      </x:c>
      <x:c r="C81" s="32" t="n">
        <x:f>'Results'!C26</x:f>
        <x:v>548553.5110684601</x:v>
      </x:c>
      <x:c r="D81" s="32" t="n">
        <x:f>('Calc'!G26+'Inputs'!$B$7*0.35)*'Unit Map'!$I$14</x:f>
        <x:v>598218.7098983912</x:v>
      </x:c>
      <x:c r="E81" s="32" t="n">
        <x:f>('Calc'!H26-'Inputs'!$B$7)*'Unit Map'!$I$14</x:f>
        <x:v>428553.51106846007</x:v>
      </x:c>
      <x:c r="F81" s="32" t="n">
        <x:f>('Calc'!H26-'Inputs'!$B$7*0.25)*'Unit Map'!$I$14</x:f>
        <x:v>518553.51106846007</x:v>
      </x:c>
      <x:c r="G81" s="32" t="n">
        <x:f>('Calc'!H26-'Inputs'!$B$7*0.5)*'Unit Map'!$I$14</x:f>
        <x:v>488553.51106846007</x:v>
      </x:c>
      <x:c r="H81" s="32" t="n">
        <x:f>'Observed Data'!B26*'Unit Map'!$I$14</x:f>
        <x:v>564595.2532565144</x:v>
      </x:c>
      <x:c r="I81" s="32" t="n">
        <x:f>'Inputs'!$B$13*'Unit Map'!$I$14</x:f>
        <x:v>2305313.3926624837</x:v>
      </x:c>
      <x:c r="J81" s="32" t="n">
        <x:f>'Results'!G26</x:f>
        <x:v>8464.771745150709</x:v>
      </x:c>
      <x:c r="K81" s="32" t="n">
        <x:f>'Results'!H26</x:f>
        <x:v>16929.543490301417</x:v>
      </x:c>
      <x:c r="L81" s="32"/>
      <x:c r="M81" s="32" t="n">
        <x:f>'Results'!A26</x:f>
        <x:v>1947.3607992000002</x:v>
      </x:c>
      <x:c r="N81" s="32" t="n">
        <x:f>'Results'!F26</x:f>
        <x:v>26042.304177327685</x:v>
      </x:c>
      <x:c r="O81" s="32" t="n">
        <x:f>'Results'!E26</x:f>
        <x:v>26033.84334186215</x:v>
      </x:c>
      <x:c r="P81" s="32" t="n">
        <x:f>'Results'!E26*1.1</x:f>
        <x:v>28637.227676048366</x:v>
      </x:c>
      <x:c r="Q81" s="32" t="n">
        <x:f>'Observed Data'!C26*'Unit Map'!$I$16</x:f>
        <x:v>25862.72936880896</x:v>
      </x:c>
      <x:c r="R81" s="32" t="n">
        <x:f>'Inputs'!$B$14*'Unit Map'!$I$16</x:f>
        <x:v>73158.88668371909</x:v>
      </x:c>
      <x:c r="S81" s="32"/>
      <x:c r="T81" s="32" t="n">
        <x:f>'Results'!A26</x:f>
        <x:v>1947.3607992000002</x:v>
      </x:c>
      <x:c r="U81" s="32" t="n">
        <x:f>'Survey'!B26*'Unit Map'!$I$18</x:f>
        <x:v>1.5600974584801712</x:v>
      </x:c>
      <x:c r="V81" s="32"/>
      <x:c r="W81" s="32" t="n">
        <x:f>'Results'!A26</x:f>
        <x:v>1947.3607992000002</x:v>
      </x:c>
      <x:c r="X81" s="32" t="n">
        <x:f>(('Inputs'!$B$7+'Calc'!D26*'Calc'!A26)+('Calc'!G26-('Inputs'!$B$7+'Calc'!D26*'Calc'!A26))*'Chart Settings'!$B$8)*'Unit Map'!$I$14</x:f>
        <x:v>555452.1900153981</x:v>
      </x:c>
      <x:c r="Y81" s="32" t="n">
        <x:f>'Results'!B26</x:f>
        <x:v>556218.7098983912</x:v>
      </x:c>
      <x:c r="Z81" s="32" t="n">
        <x:f>(('Inputs'!$B$7+'Calc'!D26*'Calc'!A26)+('Calc'!G26-('Inputs'!$B$7+'Calc'!D26*'Calc'!A26))*'Chart Settings'!$B$10)*'Unit Map'!$I$14</x:f>
        <x:v>556985.2297813842</x:v>
      </x:c>
    </x:row>
    <x:row r="82">
      <x:c r="A82" s="32" t="n">
        <x:f>'Results'!A27</x:f>
        <x:v>2022.9868608</x:v>
      </x:c>
      <x:c r="B82" s="32" t="n">
        <x:f>'Results'!B27</x:f>
        <x:v>573178.0120435266</x:v>
      </x:c>
      <x:c r="C82" s="32" t="n">
        <x:f>'Results'!C27</x:f>
        <x:v>565177.7735507294</x:v>
      </x:c>
      <x:c r="D82" s="32" t="n">
        <x:f>('Calc'!G27+'Inputs'!$B$7*0.35)*'Unit Map'!$I$14</x:f>
        <x:v>615178.0120435266</x:v>
      </x:c>
      <x:c r="E82" s="32" t="n">
        <x:f>('Calc'!H27-'Inputs'!$B$7)*'Unit Map'!$I$14</x:f>
        <x:v>445177.7735507294</x:v>
      </x:c>
      <x:c r="F82" s="32" t="n">
        <x:f>('Calc'!H27-'Inputs'!$B$7*0.25)*'Unit Map'!$I$14</x:f>
        <x:v>535177.7735507294</x:v>
      </x:c>
      <x:c r="G82" s="32" t="n">
        <x:f>('Calc'!H27-'Inputs'!$B$7*0.5)*'Unit Map'!$I$14</x:f>
        <x:v>505177.7735507294</x:v>
      </x:c>
      <x:c r="H82" s="32" t="n">
        <x:f>'Observed Data'!B27*'Unit Map'!$I$14</x:f>
        <x:v>573086.6912779916</x:v>
      </x:c>
      <x:c r="I82" s="32" t="n">
        <x:f>'Inputs'!$B$13*'Unit Map'!$I$14</x:f>
        <x:v>2305313.3926624837</x:v>
      </x:c>
      <x:c r="J82" s="32" t="n">
        <x:f>'Results'!G27</x:f>
        <x:v>6736.03129578184</x:v>
      </x:c>
      <x:c r="K82" s="32" t="n">
        <x:f>'Results'!H27</x:f>
        <x:v>13472.06259156368</x:v>
      </x:c>
      <x:c r="L82" s="32"/>
      <x:c r="M82" s="32" t="n">
        <x:f>'Results'!A27</x:f>
        <x:v>2022.9868608</x:v>
      </x:c>
      <x:c r="N82" s="32" t="n">
        <x:f>'Results'!F27</x:f>
        <x:v>26026.593773239994</x:v>
      </x:c>
      <x:c r="O82" s="32" t="n">
        <x:f>'Results'!E27</x:f>
        <x:v>26021.275018591994</x:v>
      </x:c>
      <x:c r="P82" s="32" t="n">
        <x:f>'Results'!E27*1.1</x:f>
        <x:v>28623.402520451196</x:v>
      </x:c>
      <x:c r="Q82" s="32" t="n">
        <x:f>'Observed Data'!C27*'Unit Map'!$I$16</x:f>
        <x:v>25709.03195053479</x:v>
      </x:c>
      <x:c r="R82" s="32" t="n">
        <x:f>'Inputs'!$B$14*'Unit Map'!$I$16</x:f>
        <x:v>73158.88668371909</x:v>
      </x:c>
      <x:c r="S82" s="32"/>
      <x:c r="T82" s="32" t="n">
        <x:f>'Results'!A27</x:f>
        <x:v>2022.9868608</x:v>
      </x:c>
      <x:c r="U82" s="32" t="n">
        <x:f>'Survey'!B27*'Unit Map'!$I$18</x:f>
        <x:v>1.5621045871199648</x:v>
      </x:c>
      <x:c r="V82" s="32"/>
      <x:c r="W82" s="32" t="n">
        <x:f>'Results'!A27</x:f>
        <x:v>2022.9868608</x:v>
      </x:c>
      <x:c r="X82" s="32" t="n">
        <x:f>(('Inputs'!$B$7+'Calc'!D27*'Calc'!A27)+('Calc'!G27-('Inputs'!$B$7+'Calc'!D27*'Calc'!A27))*'Chart Settings'!$B$8)*'Unit Map'!$I$14</x:f>
        <x:v>572377.9881942469</x:v>
      </x:c>
      <x:c r="Y82" s="32" t="n">
        <x:f>'Results'!B27</x:f>
        <x:v>573178.0120435266</x:v>
      </x:c>
      <x:c r="Z82" s="32" t="n">
        <x:f>(('Inputs'!$B$7+'Calc'!D27*'Calc'!A27)+('Calc'!G27-('Inputs'!$B$7+'Calc'!D27*'Calc'!A27))*'Chart Settings'!$B$10)*'Unit Map'!$I$14</x:f>
        <x:v>573978.0358928064</x:v>
      </x:c>
    </x:row>
    <x:row r="83">
      <x:c r="A83" s="32" t="n">
        <x:f>'Results'!A28</x:f>
        <x:v>2098.3837128</x:v>
      </x:c>
      <x:c r="B83" s="32" t="n">
        <x:f>'Results'!B28</x:f>
        <x:v>590079.5868524231</x:v>
      </x:c>
      <x:c r="C83" s="32" t="n">
        <x:f>'Results'!C28</x:f>
        <x:v>581757.977354576</x:v>
      </x:c>
      <x:c r="D83" s="32" t="n">
        <x:f>('Calc'!G28+'Inputs'!$B$7*0.35)*'Unit Map'!$I$14</x:f>
        <x:v>632079.5868524231</x:v>
      </x:c>
      <x:c r="E83" s="32" t="n">
        <x:f>('Calc'!H28-'Inputs'!$B$7)*'Unit Map'!$I$14</x:f>
        <x:v>461757.977354576</x:v>
      </x:c>
      <x:c r="F83" s="32" t="n">
        <x:f>('Calc'!H28-'Inputs'!$B$7*0.25)*'Unit Map'!$I$14</x:f>
        <x:v>551757.977354576</x:v>
      </x:c>
      <x:c r="G83" s="32" t="n">
        <x:f>('Calc'!H28-'Inputs'!$B$7*0.5)*'Unit Map'!$I$14</x:f>
        <x:v>521757.977354576</x:v>
      </x:c>
      <x:c r="H83" s="32" t="n">
        <x:f>'Observed Data'!B28*'Unit Map'!$I$14</x:f>
        <x:v>581091.5138957512</x:v>
      </x:c>
      <x:c r="I83" s="32" t="n">
        <x:f>'Inputs'!$B$13*'Unit Map'!$I$14</x:f>
        <x:v>2305313.3926624837</x:v>
      </x:c>
      <x:c r="J83" s="32" t="n">
        <x:f>'Results'!G28</x:f>
        <x:v>6607.2154035717995</x:v>
      </x:c>
      <x:c r="K83" s="32" t="n">
        <x:f>'Results'!H28</x:f>
        <x:v>13214.430807143599</x:v>
      </x:c>
      <x:c r="L83" s="32"/>
      <x:c r="M83" s="32" t="n">
        <x:f>'Results'!A28</x:f>
        <x:v>2098.3837128</x:v>
      </x:c>
      <x:c r="N83" s="32" t="n">
        <x:f>'Results'!F28</x:f>
        <x:v>26025.508823525834</x:v>
      </x:c>
      <x:c r="O83" s="32" t="n">
        <x:f>'Results'!E28</x:f>
        <x:v>26020.407058820667</x:v>
      </x:c>
      <x:c r="P83" s="32" t="n">
        <x:f>'Results'!E28*1.1</x:f>
        <x:v>28622.447764702734</x:v>
      </x:c>
      <x:c r="Q83" s="32" t="n">
        <x:f>'Observed Data'!C28*'Unit Map'!$I$16</x:f>
        <x:v>25854.032673819198</x:v>
      </x:c>
      <x:c r="R83" s="32" t="n">
        <x:f>'Inputs'!$B$14*'Unit Map'!$I$16</x:f>
        <x:v>73158.88668371909</x:v>
      </x:c>
      <x:c r="S83" s="32"/>
      <x:c r="T83" s="32" t="n">
        <x:f>'Results'!A28</x:f>
        <x:v>2098.3837128</x:v>
      </x:c>
      <x:c r="U83" s="32" t="n">
        <x:f>'Survey'!B28*'Unit Map'!$I$18</x:f>
        <x:v>1.5629597984534422</x:v>
      </x:c>
      <x:c r="V83" s="32"/>
      <x:c r="W83" s="32" t="n">
        <x:f>'Results'!A28</x:f>
        <x:v>2098.3837128</x:v>
      </x:c>
      <x:c r="X83" s="32" t="n">
        <x:f>(('Inputs'!$B$7+'Calc'!D28*'Calc'!A28)+('Calc'!G28-('Inputs'!$B$7+'Calc'!D28*'Calc'!A28))*'Chart Settings'!$B$8)*'Unit Map'!$I$14</x:f>
        <x:v>589247.4259026385</x:v>
      </x:c>
      <x:c r="Y83" s="32" t="n">
        <x:f>'Results'!B28</x:f>
        <x:v>590079.5868524231</x:v>
      </x:c>
      <x:c r="Z83" s="32" t="n">
        <x:f>(('Inputs'!$B$7+'Calc'!D28*'Calc'!A28)+('Calc'!G28-('Inputs'!$B$7+'Calc'!D28*'Calc'!A28))*'Chart Settings'!$B$10)*'Unit Map'!$I$14</x:f>
        <x:v>590911.7478022078</x:v>
      </x:c>
    </x:row>
    <x:row r="84">
      <x:c r="A84" s="32" t="n">
        <x:f>'Results'!A29</x:f>
        <x:v>2173.9945344000002</x:v>
      </x:c>
      <x:c r="B84" s="32" t="n">
        <x:f>'Results'!B29</x:f>
        <x:v>607020.0895864788</x:v>
      </x:c>
      <x:c r="C84" s="32" t="n">
        <x:f>'Results'!C29</x:f>
        <x:v>598394.2715607802</x:v>
      </x:c>
      <x:c r="D84" s="32" t="n">
        <x:f>('Calc'!G29+'Inputs'!$B$7*0.35)*'Unit Map'!$I$14</x:f>
        <x:v>649020.0895864788</x:v>
      </x:c>
      <x:c r="E84" s="32" t="n">
        <x:f>('Calc'!H29-'Inputs'!$B$7)*'Unit Map'!$I$14</x:f>
        <x:v>478394.27156078024</x:v>
      </x:c>
      <x:c r="F84" s="32" t="n">
        <x:f>('Calc'!H29-'Inputs'!$B$7*0.25)*'Unit Map'!$I$14</x:f>
        <x:v>568394.2715607802</x:v>
      </x:c>
      <x:c r="G84" s="32" t="n">
        <x:f>('Calc'!H29-'Inputs'!$B$7*0.5)*'Unit Map'!$I$14</x:f>
        <x:v>538394.2715607802</x:v>
      </x:c>
      <x:c r="H84" s="32" t="n">
        <x:f>'Observed Data'!B29*'Unit Map'!$I$14</x:f>
        <x:v>597125.4129346877</x:v>
      </x:c>
      <x:c r="I84" s="32" t="n">
        <x:f>'Inputs'!$B$13*'Unit Map'!$I$14</x:f>
        <x:v>2305313.3926624837</x:v>
      </x:c>
      <x:c r="J84" s="32" t="n">
        <x:f>'Results'!G29</x:f>
        <x:v>6419.267007502434</x:v>
      </x:c>
      <x:c r="K84" s="32" t="n">
        <x:f>'Results'!H29</x:f>
        <x:v>12838.534015004869</x:v>
      </x:c>
      <x:c r="L84" s="32"/>
      <x:c r="M84" s="32" t="n">
        <x:f>'Results'!A29</x:f>
        <x:v>2173.9945344000002</x:v>
      </x:c>
      <x:c r="N84" s="32" t="n">
        <x:f>'Results'!F29</x:f>
        <x:v>26024.1465518982</x:v>
      </x:c>
      <x:c r="O84" s="32" t="n">
        <x:f>'Results'!E29</x:f>
        <x:v>26019.31724151856</x:v>
      </x:c>
      <x:c r="P84" s="32" t="n">
        <x:f>'Results'!E29*1.1</x:f>
        <x:v>28621.24896567042</x:v>
      </x:c>
      <x:c r="Q84" s="32" t="n">
        <x:f>'Observed Data'!C29*'Unit Map'!$I$16</x:f>
        <x:v>26151.759419427683</x:v>
      </x:c>
      <x:c r="R84" s="32" t="n">
        <x:f>'Inputs'!$B$14*'Unit Map'!$I$16</x:f>
        <x:v>73158.88668371909</x:v>
      </x:c>
      <x:c r="S84" s="32"/>
      <x:c r="T84" s="32" t="n">
        <x:f>'Results'!A29</x:f>
        <x:v>2173.9945344000002</x:v>
      </x:c>
      <x:c r="U84" s="32" t="n">
        <x:f>'Survey'!B29*'Unit Map'!$I$18</x:f>
        <x:v>1.5629074385758823</x:v>
      </x:c>
      <x:c r="V84" s="32"/>
      <x:c r="W84" s="32" t="n">
        <x:f>'Results'!A29</x:f>
        <x:v>2173.9945344000002</x:v>
      </x:c>
      <x:c r="X84" s="32" t="n">
        <x:f>(('Inputs'!$B$7+'Calc'!D29*'Calc'!A29)+('Calc'!G29-('Inputs'!$B$7+'Calc'!D29*'Calc'!A29))*'Chart Settings'!$B$8)*'Unit Map'!$I$14</x:f>
        <x:v>606157.5077839089</x:v>
      </x:c>
      <x:c r="Y84" s="32" t="n">
        <x:f>'Results'!B29</x:f>
        <x:v>607020.0895864788</x:v>
      </x:c>
      <x:c r="Z84" s="32" t="n">
        <x:f>(('Inputs'!$B$7+'Calc'!D29*'Calc'!A29)+('Calc'!G29-('Inputs'!$B$7+'Calc'!D29*'Calc'!A29))*'Chart Settings'!$B$10)*'Unit Map'!$I$14</x:f>
        <x:v>607882.6713890487</x:v>
      </x:c>
    </x:row>
    <x:row r="85">
      <x:c r="A85" s="32" t="n">
        <x:f>'Results'!A30</x:f>
        <x:v>2250.1543008</x:v>
      </x:c>
      <x:c r="B85" s="32" t="n">
        <x:f>'Results'!B30</x:f>
        <x:v>624072.1267373553</x:v>
      </x:c>
      <x:c r="C85" s="32" t="n">
        <x:f>'Results'!C30</x:f>
        <x:v>615162.8034411283</x:v>
      </x:c>
      <x:c r="D85" s="32" t="n">
        <x:f>('Calc'!G30+'Inputs'!$B$7*0.35)*'Unit Map'!$I$14</x:f>
        <x:v>666072.1267373553</x:v>
      </x:c>
      <x:c r="E85" s="32" t="n">
        <x:f>('Calc'!H30-'Inputs'!$B$7)*'Unit Map'!$I$14</x:f>
        <x:v>495162.80344112834</x:v>
      </x:c>
      <x:c r="F85" s="32" t="n">
        <x:f>('Calc'!H30-'Inputs'!$B$7*0.25)*'Unit Map'!$I$14</x:f>
        <x:v>585162.8034411283</x:v>
      </x:c>
      <x:c r="G85" s="32" t="n">
        <x:f>('Calc'!H30-'Inputs'!$B$7*0.5)*'Unit Map'!$I$14</x:f>
        <x:v>555162.8034411283</x:v>
      </x:c>
      <x:c r="H85" s="32" t="n">
        <x:f>'Observed Data'!B30*'Unit Map'!$I$14</x:f>
        <x:v>622585.3800504586</x:v>
      </x:c>
      <x:c r="I85" s="32" t="n">
        <x:f>'Inputs'!$B$13*'Unit Map'!$I$14</x:f>
        <x:v>2305313.3926624837</x:v>
      </x:c>
      <x:c r="J85" s="32" t="n">
        <x:f>'Results'!G30</x:f>
        <x:v>6174.609456279386</x:v>
      </x:c>
      <x:c r="K85" s="32" t="n">
        <x:f>'Results'!H30</x:f>
        <x:v>12349.218912558772</x:v>
      </x:c>
      <x:c r="L85" s="32"/>
      <x:c r="M85" s="32" t="n">
        <x:f>'Results'!A30</x:f>
        <x:v>2250.1543008</x:v>
      </x:c>
      <x:c r="N85" s="32" t="n">
        <x:f>'Results'!F30</x:f>
        <x:v>26022.503230848197</x:v>
      </x:c>
      <x:c r="O85" s="32" t="n">
        <x:f>'Results'!E30</x:f>
        <x:v>26018.002584678557</x:v>
      </x:c>
      <x:c r="P85" s="32" t="n">
        <x:f>'Results'!E30*1.1</x:f>
        <x:v>28619.802843146415</x:v>
      </x:c>
      <x:c r="Q85" s="32" t="n">
        <x:f>'Observed Data'!C30*'Unit Map'!$I$16</x:f>
        <x:v>26327.471992530613</x:v>
      </x:c>
      <x:c r="R85" s="32" t="n">
        <x:f>'Inputs'!$B$14*'Unit Map'!$I$16</x:f>
        <x:v>73158.88668371909</x:v>
      </x:c>
      <x:c r="S85" s="32"/>
      <x:c r="T85" s="32" t="n">
        <x:f>'Results'!A30</x:f>
        <x:v>2250.1543008</x:v>
      </x:c>
      <x:c r="U85" s="32" t="n">
        <x:f>'Survey'!B30*'Unit Map'!$I$18</x:f>
        <x:v>1.5623314799227241</x:v>
      </x:c>
      <x:c r="V85" s="32"/>
      <x:c r="W85" s="32" t="n">
        <x:f>'Results'!A30</x:f>
        <x:v>2250.1543008</x:v>
      </x:c>
      <x:c r="X85" s="32" t="n">
        <x:f>(('Inputs'!$B$7+'Calc'!D30*'Calc'!A30)+('Calc'!G30-('Inputs'!$B$7+'Calc'!D30*'Calc'!A30))*'Chart Settings'!$B$8)*'Unit Map'!$I$14</x:f>
        <x:v>623181.1944077326</x:v>
      </x:c>
      <x:c r="Y85" s="32" t="n">
        <x:f>'Results'!B30</x:f>
        <x:v>624072.1267373553</x:v>
      </x:c>
      <x:c r="Z85" s="32" t="n">
        <x:f>(('Inputs'!$B$7+'Calc'!D30*'Calc'!A30)+('Calc'!G30-('Inputs'!$B$7+'Calc'!D30*'Calc'!A30))*'Chart Settings'!$B$10)*'Unit Map'!$I$14</x:f>
        <x:v>624963.0590669779</x:v>
      </x:c>
    </x:row>
    <x:row r="86">
      <x:c r="A86" s="32" t="n">
        <x:f>'Results'!A31</x:f>
        <x:v>2326.9172664000002</x:v>
      </x:c>
      <x:c r="B86" s="32" t="n">
        <x:f>'Results'!B31</x:f>
        <x:v>641245.7493002525</x:v>
      </x:c>
      <x:c r="C86" s="32" t="n">
        <x:f>'Results'!C31</x:f>
        <x:v>632077.6149666572</x:v>
      </x:c>
      <x:c r="D86" s="32" t="n">
        <x:f>('Calc'!G31+'Inputs'!$B$7*0.35)*'Unit Map'!$I$14</x:f>
        <x:v>683245.7493002525</x:v>
      </x:c>
      <x:c r="E86" s="32" t="n">
        <x:f>('Calc'!H31-'Inputs'!$B$7)*'Unit Map'!$I$14</x:f>
        <x:v>512077.61496665725</x:v>
      </x:c>
      <x:c r="F86" s="32" t="n">
        <x:f>('Calc'!H31-'Inputs'!$B$7*0.25)*'Unit Map'!$I$14</x:f>
        <x:v>602077.6149666572</x:v>
      </x:c>
      <x:c r="G86" s="32" t="n">
        <x:f>('Calc'!H31-'Inputs'!$B$7*0.5)*'Unit Map'!$I$14</x:f>
        <x:v>572077.6149666572</x:v>
      </x:c>
      <x:c r="H86" s="32" t="n">
        <x:f>'Observed Data'!B31*'Unit Map'!$I$14</x:f>
        <x:v>650047.5218695871</x:v>
      </x:c>
      <x:c r="I86" s="32" t="n">
        <x:f>'Inputs'!$B$13*'Unit Map'!$I$14</x:f>
        <x:v>2305313.3926624837</x:v>
      </x:c>
      <x:c r="J86" s="32" t="n">
        <x:f>'Results'!G31</x:f>
        <x:v>5876.344539699765</x:v>
      </x:c>
      <x:c r="K86" s="32" t="n">
        <x:f>'Results'!H31</x:f>
        <x:v>11752.68907939953</x:v>
      </x:c>
      <x:c r="L86" s="32"/>
      <x:c r="M86" s="32" t="n">
        <x:f>'Results'!A31</x:f>
        <x:v>2326.9172664000002</x:v>
      </x:c>
      <x:c r="N86" s="32" t="n">
        <x:f>'Results'!F31</x:f>
        <x:v>26020.54312609111</x:v>
      </x:c>
      <x:c r="O86" s="32" t="n">
        <x:f>'Results'!E31</x:f>
        <x:v>26016.43450087289</x:v>
      </x:c>
      <x:c r="P86" s="32" t="n">
        <x:f>'Results'!E31*1.1</x:f>
        <x:v>28618.07795096018</x:v>
      </x:c>
      <x:c r="Q86" s="32" t="n">
        <x:f>'Observed Data'!C31*'Unit Map'!$I$16</x:f>
        <x:v>26218.40091099343</x:v>
      </x:c>
      <x:c r="R86" s="32" t="n">
        <x:f>'Inputs'!$B$14*'Unit Map'!$I$16</x:f>
        <x:v>73158.88668371909</x:v>
      </x:c>
      <x:c r="S86" s="32"/>
      <x:c r="T86" s="32" t="n">
        <x:f>'Results'!A31</x:f>
        <x:v>2326.9172664000002</x:v>
      </x:c>
      <x:c r="U86" s="32" t="n">
        <x:f>'Survey'!B31*'Unit Map'!$I$18</x:f>
        <x:v>1.5615111751742867</x:v>
      </x:c>
      <x:c r="V86" s="32"/>
      <x:c r="W86" s="32" t="n">
        <x:f>'Results'!A31</x:f>
        <x:v>2326.9172664000002</x:v>
      </x:c>
      <x:c r="X86" s="32" t="n">
        <x:f>(('Inputs'!$B$7+'Calc'!D31*'Calc'!A31)+('Calc'!G31-('Inputs'!$B$7+'Calc'!D31*'Calc'!A31))*'Chart Settings'!$B$8)*'Unit Map'!$I$14</x:f>
        <x:v>640328.935866893</x:v>
      </x:c>
      <x:c r="Y86" s="32" t="n">
        <x:f>'Results'!B31</x:f>
        <x:v>641245.7493002525</x:v>
      </x:c>
      <x:c r="Z86" s="32" t="n">
        <x:f>(('Inputs'!$B$7+'Calc'!D31*'Calc'!A31)+('Calc'!G31-('Inputs'!$B$7+'Calc'!D31*'Calc'!A31))*'Chart Settings'!$B$10)*'Unit Map'!$I$14</x:f>
        <x:v>642162.562733612</x:v>
      </x:c>
    </x:row>
    <x:row r="87">
      <x:c r="A87" s="32" t="n">
        <x:f>'Results'!A32</x:f>
        <x:v>2404.030752</x:v>
      </x:c>
      <x:c r="B87" s="32" t="n">
        <x:f>'Results'!B32</x:f>
        <x:v>658482.8943766345</x:v>
      </x:c>
      <x:c r="C87" s="32" t="n">
        <x:f>'Results'!C32</x:f>
        <x:v>649084.5607830377</x:v>
      </x:c>
      <x:c r="D87" s="32" t="n">
        <x:f>('Calc'!G32+'Inputs'!$B$7*0.35)*'Unit Map'!$I$14</x:f>
        <x:v>700482.8943766345</x:v>
      </x:c>
      <x:c r="E87" s="32" t="n">
        <x:f>('Calc'!H32-'Inputs'!$B$7)*'Unit Map'!$I$14</x:f>
        <x:v>529084.5607830377</x:v>
      </x:c>
      <x:c r="F87" s="32" t="n">
        <x:f>('Calc'!H32-'Inputs'!$B$7*0.25)*'Unit Map'!$I$14</x:f>
        <x:v>619084.5607830377</x:v>
      </x:c>
      <x:c r="G87" s="32" t="n">
        <x:f>('Calc'!H32-'Inputs'!$B$7*0.5)*'Unit Map'!$I$14</x:f>
        <x:v>589084.5607830377</x:v>
      </x:c>
      <x:c r="H87" s="32" t="n">
        <x:f>'Observed Data'!B32*'Unit Map'!$I$14</x:f>
        <x:v>669818.5237866973</x:v>
      </x:c>
      <x:c r="I87" s="32" t="n">
        <x:f>'Inputs'!$B$13*'Unit Map'!$I$14</x:f>
        <x:v>2305313.3926624837</x:v>
      </x:c>
      <x:c r="J87" s="32" t="n">
        <x:f>'Results'!G32</x:f>
        <x:v>5529.406533740687</x:v>
      </x:c>
      <x:c r="K87" s="32" t="n">
        <x:f>'Results'!H32</x:f>
        <x:v>11058.813067481375</x:v>
      </x:c>
      <x:c r="L87" s="32"/>
      <x:c r="M87" s="32" t="n">
        <x:f>'Results'!A32</x:f>
        <x:v>2404.030752</x:v>
      </x:c>
      <x:c r="N87" s="32" t="n">
        <x:f>'Results'!F32</x:f>
        <x:v>26018.27206626263</x:v>
      </x:c>
      <x:c r="O87" s="32" t="n">
        <x:f>'Results'!E32</x:f>
        <x:v>26014.617653010104</x:v>
      </x:c>
      <x:c r="P87" s="32" t="n">
        <x:f>'Results'!E32*1.1</x:f>
        <x:v>28616.079418311117</x:v>
      </x:c>
      <x:c r="Q87" s="32" t="n">
        <x:f>'Observed Data'!C32*'Unit Map'!$I$16</x:f>
        <x:v>25923.419100080304</x:v>
      </x:c>
      <x:c r="R87" s="32" t="n">
        <x:f>'Inputs'!$B$14*'Unit Map'!$I$16</x:f>
        <x:v>73158.88668371909</x:v>
      </x:c>
      <x:c r="S87" s="32"/>
      <x:c r="T87" s="32" t="n">
        <x:f>'Results'!A32</x:f>
        <x:v>2404.030752</x:v>
      </x:c>
      <x:c r="U87" s="32" t="n">
        <x:f>'Survey'!B32*'Unit Map'!$I$18</x:f>
        <x:v>1.5605686973782098</x:v>
      </x:c>
      <x:c r="V87" s="32"/>
      <x:c r="W87" s="32" t="n">
        <x:f>'Results'!A32</x:f>
        <x:v>2404.030752</x:v>
      </x:c>
      <x:c r="X87" s="32" t="n">
        <x:f>(('Inputs'!$B$7+'Calc'!D32*'Calc'!A32)+('Calc'!G32-('Inputs'!$B$7+'Calc'!D32*'Calc'!A32))*'Chart Settings'!$B$8)*'Unit Map'!$I$14</x:f>
        <x:v>657543.0610172749</x:v>
      </x:c>
      <x:c r="Y87" s="32" t="n">
        <x:f>'Results'!B32</x:f>
        <x:v>658482.8943766345</x:v>
      </x:c>
      <x:c r="Z87" s="32" t="n">
        <x:f>(('Inputs'!$B$7+'Calc'!D32*'Calc'!A32)+('Calc'!G32-('Inputs'!$B$7+'Calc'!D32*'Calc'!A32))*'Chart Settings'!$B$10)*'Unit Map'!$I$14</x:f>
        <x:v>659422.7277359942</x:v>
      </x:c>
    </x:row>
    <x:row r="88">
      <x:c r="A88" s="32" t="n">
        <x:f>'Results'!A33</x:f>
        <x:v>2481.0637704</x:v>
      </x:c>
      <x:c r="B88" s="32" t="n">
        <x:f>'Results'!B33</x:f>
        <x:v>675686.2595691354</x:v>
      </x:c>
      <x:c r="C88" s="32" t="n">
        <x:f>'Results'!C33</x:f>
        <x:v>666089.5530951733</x:v>
      </x:c>
      <x:c r="D88" s="32" t="n">
        <x:f>('Calc'!G33+'Inputs'!$B$7*0.35)*'Unit Map'!$I$14</x:f>
        <x:v>717686.2595691354</x:v>
      </x:c>
      <x:c r="E88" s="32" t="n">
        <x:f>('Calc'!H33-'Inputs'!$B$7)*'Unit Map'!$I$14</x:f>
        <x:v>546089.5530951733</x:v>
      </x:c>
      <x:c r="F88" s="32" t="n">
        <x:f>('Calc'!H33-'Inputs'!$B$7*0.25)*'Unit Map'!$I$14</x:f>
        <x:v>636089.5530951733</x:v>
      </x:c>
      <x:c r="G88" s="32" t="n">
        <x:f>('Calc'!H33-'Inputs'!$B$7*0.5)*'Unit Map'!$I$14</x:f>
        <x:v>606089.5530951733</x:v>
      </x:c>
      <x:c r="H88" s="32" t="n">
        <x:f>'Observed Data'!B33*'Unit Map'!$I$14</x:f>
        <x:v>678981.111307488</x:v>
      </x:c>
      <x:c r="I88" s="32" t="n">
        <x:f>'Inputs'!$B$13*'Unit Map'!$I$14</x:f>
        <x:v>2305313.3926624837</x:v>
      </x:c>
      <x:c r="J88" s="32" t="n">
        <x:f>'Results'!G33</x:f>
        <x:v>5135.638179379317</x:v>
      </x:c>
      <x:c r="K88" s="32" t="n">
        <x:f>'Results'!H33</x:f>
        <x:v>10271.276358758634</x:v>
      </x:c>
      <x:c r="L88" s="32"/>
      <x:c r="M88" s="32" t="n">
        <x:f>'Results'!A33</x:f>
        <x:v>2481.0637704</x:v>
      </x:c>
      <x:c r="N88" s="32" t="n">
        <x:f>'Results'!F33</x:f>
        <x:v>26015.745847378996</x:v>
      </x:c>
      <x:c r="O88" s="32" t="n">
        <x:f>'Results'!E33</x:f>
        <x:v>26012.596677903195</x:v>
      </x:c>
      <x:c r="P88" s="32" t="n">
        <x:f>'Results'!E33*1.1</x:f>
        <x:v>28613.856345693515</x:v>
      </x:c>
      <x:c r="Q88" s="32" t="n">
        <x:f>'Observed Data'!C33*'Unit Map'!$I$16</x:f>
        <x:v>25712.118139980816</x:v>
      </x:c>
      <x:c r="R88" s="32" t="n">
        <x:f>'Inputs'!$B$14*'Unit Map'!$I$16</x:f>
        <x:v>73158.88668371909</x:v>
      </x:c>
      <x:c r="S88" s="32"/>
      <x:c r="T88" s="32" t="n">
        <x:f>'Results'!A33</x:f>
        <x:v>2481.0637704</x:v>
      </x:c>
      <x:c r="U88" s="32" t="n">
        <x:f>'Survey'!B33*'Unit Map'!$I$18</x:f>
        <x:v>1.5594516866569332</x:v>
      </x:c>
      <x:c r="V88" s="32"/>
      <x:c r="W88" s="32" t="n">
        <x:f>'Results'!A33</x:f>
        <x:v>2481.0637704</x:v>
      </x:c>
      <x:c r="X88" s="32" t="n">
        <x:f>(('Inputs'!$B$7+'Calc'!D33*'Calc'!A33)+('Calc'!G33-('Inputs'!$B$7+'Calc'!D33*'Calc'!A33))*'Chart Settings'!$B$8)*'Unit Map'!$I$14</x:f>
        <x:v>674726.5889217391</x:v>
      </x:c>
      <x:c r="Y88" s="32" t="n">
        <x:f>'Results'!B33</x:f>
        <x:v>675686.2595691354</x:v>
      </x:c>
      <x:c r="Z88" s="32" t="n">
        <x:f>(('Inputs'!$B$7+'Calc'!D33*'Calc'!A33)+('Calc'!G33-('Inputs'!$B$7+'Calc'!D33*'Calc'!A33))*'Chart Settings'!$B$10)*'Unit Map'!$I$14</x:f>
        <x:v>676645.9302165316</x:v>
      </x:c>
    </x:row>
    <x:row r="89">
      <x:c r="A89" s="32" t="n">
        <x:f>'Results'!A34</x:f>
        <x:v>2557.6252632</x:v>
      </x:c>
      <x:c r="B89" s="32" t="n">
        <x:f>'Results'!B34</x:f>
        <x:v>692768.7105823595</x:v>
      </x:c>
      <x:c r="C89" s="32" t="n">
        <x:f>'Results'!C34</x:f>
        <x:v>683006.0673463177</x:v>
      </x:c>
      <x:c r="D89" s="32" t="n">
        <x:f>('Calc'!G34+'Inputs'!$B$7*0.35)*'Unit Map'!$I$14</x:f>
        <x:v>734768.7105823595</x:v>
      </x:c>
      <x:c r="E89" s="32" t="n">
        <x:f>('Calc'!H34-'Inputs'!$B$7)*'Unit Map'!$I$14</x:f>
        <x:v>563006.0673463177</x:v>
      </x:c>
      <x:c r="F89" s="32" t="n">
        <x:f>('Calc'!H34-'Inputs'!$B$7*0.25)*'Unit Map'!$I$14</x:f>
        <x:v>653006.0673463177</x:v>
      </x:c>
      <x:c r="G89" s="32" t="n">
        <x:f>('Calc'!H34-'Inputs'!$B$7*0.5)*'Unit Map'!$I$14</x:f>
        <x:v>623006.0673463177</x:v>
      </x:c>
      <x:c r="H89" s="32" t="n">
        <x:f>'Observed Data'!B34*'Unit Map'!$I$14</x:f>
        <x:v>684493.3043575898</x:v>
      </x:c>
      <x:c r="I89" s="32" t="n">
        <x:f>'Inputs'!$B$13*'Unit Map'!$I$14</x:f>
        <x:v>2305313.3926624837</x:v>
      </x:c>
      <x:c r="J89" s="32" t="n">
        <x:f>'Results'!G34</x:f>
        <x:v>4711.485253484027</x:v>
      </x:c>
      <x:c r="K89" s="32" t="n">
        <x:f>'Results'!H34</x:f>
        <x:v>9422.970506968055</x:v>
      </x:c>
      <x:c r="L89" s="32"/>
      <x:c r="M89" s="32" t="n">
        <x:f>'Results'!A34</x:f>
        <x:v>2557.6252632</x:v>
      </x:c>
      <x:c r="N89" s="32" t="n">
        <x:f>'Results'!F34</x:f>
        <x:v>26013.17123049007</x:v>
      </x:c>
      <x:c r="O89" s="32" t="n">
        <x:f>'Results'!E34</x:f>
        <x:v>26010.536984392053</x:v>
      </x:c>
      <x:c r="P89" s="32" t="n">
        <x:f>'Results'!E34*1.1</x:f>
        <x:v>28611.59068283126</x:v>
      </x:c>
      <x:c r="Q89" s="32" t="n">
        <x:f>'Observed Data'!C34*'Unit Map'!$I$16</x:f>
        <x:v>25777.04844788291</x:v>
      </x:c>
      <x:c r="R89" s="32" t="n">
        <x:f>'Inputs'!$B$14*'Unit Map'!$I$16</x:f>
        <x:v>73158.88668371909</x:v>
      </x:c>
      <x:c r="S89" s="32"/>
      <x:c r="T89" s="32" t="n">
        <x:f>'Results'!A34</x:f>
        <x:v>2557.6252632</x:v>
      </x:c>
      <x:c r="U89" s="32" t="n">
        <x:f>'Survey'!B34*'Unit Map'!$I$18</x:f>
        <x:v>1.5579332502076986</x:v>
      </x:c>
      <x:c r="V89" s="32"/>
      <x:c r="W89" s="32" t="n">
        <x:f>'Results'!A34</x:f>
        <x:v>2557.6252632</x:v>
      </x:c>
      <x:c r="X89" s="32" t="n">
        <x:f>(('Inputs'!$B$7+'Calc'!D34*'Calc'!A34)+('Calc'!G34-('Inputs'!$B$7+'Calc'!D34*'Calc'!A34))*'Chart Settings'!$B$8)*'Unit Map'!$I$14</x:f>
        <x:v>691792.4462587553</x:v>
      </x:c>
      <x:c r="Y89" s="32" t="n">
        <x:f>'Results'!B34</x:f>
        <x:v>692768.7105823595</x:v>
      </x:c>
      <x:c r="Z89" s="32" t="n">
        <x:f>(('Inputs'!$B$7+'Calc'!D34*'Calc'!A34)+('Calc'!G34-('Inputs'!$B$7+'Calc'!D34*'Calc'!A34))*'Chart Settings'!$B$10)*'Unit Map'!$I$14</x:f>
        <x:v>693744.9749059636</x:v>
      </x:c>
    </x:row>
    <x:row r="90">
      <x:c r="A90" s="32" t="n">
        <x:f>'Results'!A35</x:f>
        <x:v>2633.5658784</x:v>
      </x:c>
      <x:c r="B90" s="32" t="n">
        <x:f>'Results'!B35</x:f>
        <x:v>709697.6280845449</x:v>
      </x:c>
      <x:c r="C90" s="32" t="n">
        <x:f>'Results'!C35</x:f>
        <x:v>699800.3995342111</x:v>
      </x:c>
      <x:c r="D90" s="32" t="n">
        <x:f>('Calc'!G35+'Inputs'!$B$7*0.35)*'Unit Map'!$I$14</x:f>
        <x:v>751697.6280845449</x:v>
      </x:c>
      <x:c r="E90" s="32" t="n">
        <x:f>('Calc'!H35-'Inputs'!$B$7)*'Unit Map'!$I$14</x:f>
        <x:v>579800.3995342111</x:v>
      </x:c>
      <x:c r="F90" s="32" t="n">
        <x:f>('Calc'!H35-'Inputs'!$B$7*0.25)*'Unit Map'!$I$14</x:f>
        <x:v>669800.3995342111</x:v>
      </x:c>
      <x:c r="G90" s="32" t="n">
        <x:f>('Calc'!H35-'Inputs'!$B$7*0.5)*'Unit Map'!$I$14</x:f>
        <x:v>639800.3995342111</x:v>
      </x:c>
      <x:c r="H90" s="32" t="n">
        <x:f>'Observed Data'!B35*'Unit Map'!$I$14</x:f>
        <x:v>697075.9614829029</x:v>
      </x:c>
      <x:c r="I90" s="32" t="n">
        <x:f>'Inputs'!$B$13*'Unit Map'!$I$14</x:f>
        <x:v>2305313.3926624837</x:v>
      </x:c>
      <x:c r="J90" s="32" t="n">
        <x:f>'Results'!G35</x:f>
        <x:v>4260.430722586636</x:v>
      </x:c>
      <x:c r="K90" s="32" t="n">
        <x:f>'Results'!H35</x:f>
        <x:v>8520.861445173272</x:v>
      </x:c>
      <x:c r="L90" s="32"/>
      <x:c r="M90" s="32" t="n">
        <x:f>'Results'!A35</x:f>
        <x:v>2633.5658784</x:v>
      </x:c>
      <x:c r="N90" s="32" t="n">
        <x:f>'Results'!F35</x:f>
        <x:v>26010.682709321936</x:v>
      </x:c>
      <x:c r="O90" s="32" t="n">
        <x:f>'Results'!E35</x:f>
        <x:v>26008.54616745755</x:v>
      </x:c>
      <x:c r="P90" s="32" t="n">
        <x:f>'Results'!E35*1.1</x:f>
        <x:v>28609.400784203306</x:v>
      </x:c>
      <x:c r="Q90" s="32" t="n">
        <x:f>'Observed Data'!C35*'Unit Map'!$I$16</x:f>
        <x:v>26056.688438927133</x:v>
      </x:c>
      <x:c r="R90" s="32" t="n">
        <x:f>'Inputs'!$B$14*'Unit Map'!$I$16</x:f>
        <x:v>73158.88668371909</x:v>
      </x:c>
      <x:c r="S90" s="32"/>
      <x:c r="T90" s="32" t="n">
        <x:f>'Results'!A35</x:f>
        <x:v>2633.5658784</x:v>
      </x:c>
      <x:c r="U90" s="32" t="n">
        <x:f>'Survey'!B35*'Unit Map'!$I$18</x:f>
        <x:v>1.5558039485202655</x:v>
      </x:c>
      <x:c r="V90" s="32"/>
      <x:c r="W90" s="32" t="n">
        <x:f>'Results'!A35</x:f>
        <x:v>2633.5658784</x:v>
      </x:c>
      <x:c r="X90" s="32" t="n">
        <x:f>(('Inputs'!$B$7+'Calc'!D35*'Calc'!A35)+('Calc'!G35-('Inputs'!$B$7+'Calc'!D35*'Calc'!A35))*'Chart Settings'!$B$8)*'Unit Map'!$I$14</x:f>
        <x:v>708707.9052295116</x:v>
      </x:c>
      <x:c r="Y90" s="32" t="n">
        <x:f>'Results'!B35</x:f>
        <x:v>709697.6280845449</x:v>
      </x:c>
      <x:c r="Z90" s="32" t="n">
        <x:f>(('Inputs'!$B$7+'Calc'!D35*'Calc'!A35)+('Calc'!G35-('Inputs'!$B$7+'Calc'!D35*'Calc'!A35))*'Chart Settings'!$B$10)*'Unit Map'!$I$14</x:f>
        <x:v>710687.3509395783</x:v>
      </x:c>
    </x:row>
    <x:row r="91">
      <x:c r="A91" s="32" t="n">
        <x:f>'Results'!A36</x:f>
        <x:v>2709.0514272</x:v>
      </x:c>
      <x:c r="B91" s="32" t="n">
        <x:f>'Results'!B36</x:f>
        <x:v>726511.6770373742</x:v>
      </x:c>
      <x:c r="C91" s="32" t="n">
        <x:f>'Results'!C36</x:f>
        <x:v>716507.5171333092</x:v>
      </x:c>
      <x:c r="D91" s="32" t="n">
        <x:f>('Calc'!G36+'Inputs'!$B$7*0.35)*'Unit Map'!$I$14</x:f>
        <x:v>768511.6770373742</x:v>
      </x:c>
      <x:c r="E91" s="32" t="n">
        <x:f>('Calc'!H36-'Inputs'!$B$7)*'Unit Map'!$I$14</x:f>
        <x:v>596507.5171333092</x:v>
      </x:c>
      <x:c r="F91" s="32" t="n">
        <x:f>('Calc'!H36-'Inputs'!$B$7*0.25)*'Unit Map'!$I$14</x:f>
        <x:v>686507.5171333092</x:v>
      </x:c>
      <x:c r="G91" s="32" t="n">
        <x:f>('Calc'!H36-'Inputs'!$B$7*0.5)*'Unit Map'!$I$14</x:f>
        <x:v>656507.5171333092</x:v>
      </x:c>
      <x:c r="H91" s="32" t="n">
        <x:f>'Observed Data'!B36*'Unit Map'!$I$14</x:f>
        <x:v>721227.9918261562</x:v>
      </x:c>
      <x:c r="I91" s="32" t="n">
        <x:f>'Inputs'!$B$13*'Unit Map'!$I$14</x:f>
        <x:v>2305313.3926624837</x:v>
      </x:c>
      <x:c r="J91" s="32" t="n">
        <x:f>'Results'!G36</x:f>
        <x:v>3809.012087543358</x:v>
      </x:c>
      <x:c r="K91" s="32" t="n">
        <x:f>'Results'!H36</x:f>
        <x:v>7618.024175086716</x:v>
      </x:c>
      <x:c r="L91" s="32"/>
      <x:c r="M91" s="32" t="n">
        <x:f>'Results'!A36</x:f>
        <x:v>2709.0514272</x:v>
      </x:c>
      <x:c r="N91" s="32" t="n">
        <x:f>'Results'!F36</x:f>
        <x:v>26008.48767620243</x:v>
      </x:c>
      <x:c r="O91" s="32" t="n">
        <x:f>'Results'!E36</x:f>
        <x:v>26006.790140961944</x:v>
      </x:c>
      <x:c r="P91" s="32" t="n">
        <x:f>'Results'!E36*1.1</x:f>
        <x:v>28607.46915505814</x:v>
      </x:c>
      <x:c r="Q91" s="32" t="n">
        <x:f>'Observed Data'!C36*'Unit Map'!$I$16</x:f>
        <x:v>26292.2642913516</x:v>
      </x:c>
      <x:c r="R91" s="32" t="n">
        <x:f>'Inputs'!$B$14*'Unit Map'!$I$16</x:f>
        <x:v>73158.88668371909</x:v>
      </x:c>
      <x:c r="S91" s="32"/>
      <x:c r="T91" s="32" t="n">
        <x:f>'Results'!A36</x:f>
        <x:v>2709.0514272</x:v>
      </x:c>
      <x:c r="U91" s="32" t="n">
        <x:f>'Survey'!B36*'Unit Map'!$I$18</x:f>
        <x:v>1.5529590618395142</x:v>
      </x:c>
      <x:c r="V91" s="32"/>
      <x:c r="W91" s="32" t="n">
        <x:f>'Results'!A36</x:f>
        <x:v>2709.0514272</x:v>
      </x:c>
      <x:c r="X91" s="32" t="n">
        <x:f>(('Inputs'!$B$7+'Calc'!D36*'Calc'!A36)+('Calc'!G36-('Inputs'!$B$7+'Calc'!D36*'Calc'!A36))*'Chart Settings'!$B$8)*'Unit Map'!$I$14</x:f>
        <x:v>725511.2610469677</x:v>
      </x:c>
      <x:c r="Y91" s="32" t="n">
        <x:f>'Results'!B36</x:f>
        <x:v>726511.6770373742</x:v>
      </x:c>
      <x:c r="Z91" s="32" t="n">
        <x:f>(('Inputs'!$B$7+'Calc'!D36*'Calc'!A36)+('Calc'!G36-('Inputs'!$B$7+'Calc'!D36*'Calc'!A36))*'Chart Settings'!$B$10)*'Unit Map'!$I$14</x:f>
        <x:v>727512.0930277808</x:v>
      </x:c>
    </x:row>
    <x:row r="92">
      <x:c r="A92" s="32" t="n">
        <x:f>'Results'!A37</x:f>
        <x:v>2784.480588</x:v>
      </x:c>
      <x:c r="B92" s="32" t="n">
        <x:f>'Results'!B37</x:f>
        <x:v>743301.7566949244</x:v>
      </x:c>
      <x:c r="C92" s="32" t="n">
        <x:f>'Results'!C37</x:f>
        <x:v>733213.5635852496</x:v>
      </x:c>
      <x:c r="D92" s="32" t="n">
        <x:f>('Calc'!G37+'Inputs'!$B$7*0.35)*'Unit Map'!$I$14</x:f>
        <x:v>785301.7566949244</x:v>
      </x:c>
      <x:c r="E92" s="32" t="n">
        <x:f>('Calc'!H37-'Inputs'!$B$7)*'Unit Map'!$I$14</x:f>
        <x:v>613213.5635852496</x:v>
      </x:c>
      <x:c r="F92" s="32" t="n">
        <x:f>('Calc'!H37-'Inputs'!$B$7*0.25)*'Unit Map'!$I$14</x:f>
        <x:v>703213.5635852496</x:v>
      </x:c>
      <x:c r="G92" s="32" t="n">
        <x:f>('Calc'!H37-'Inputs'!$B$7*0.5)*'Unit Map'!$I$14</x:f>
        <x:v>673213.5635852496</x:v>
      </x:c>
      <x:c r="H92" s="32" t="n">
        <x:f>'Observed Data'!B37*'Unit Map'!$I$14</x:f>
        <x:v>750679.5322703216</x:v>
      </x:c>
      <x:c r="I92" s="32" t="n">
        <x:f>'Inputs'!$B$13*'Unit Map'!$I$14</x:f>
        <x:v>2305313.3926624837</x:v>
      </x:c>
      <x:c r="J92" s="32" t="n">
        <x:f>'Results'!G37</x:f>
        <x:v>3377.9059561717727</x:v>
      </x:c>
      <x:c r="K92" s="32" t="n">
        <x:f>'Results'!H37</x:f>
        <x:v>6755.811912343545</x:v>
      </x:c>
      <x:c r="L92" s="32"/>
      <x:c r="M92" s="32" t="n">
        <x:f>'Results'!A37</x:f>
        <x:v>2784.480588</x:v>
      </x:c>
      <x:c r="N92" s="32" t="n">
        <x:f>'Results'!F37</x:f>
        <x:v>26006.670135695273</x:v>
      </x:c>
      <x:c r="O92" s="32" t="n">
        <x:f>'Results'!E37</x:f>
        <x:v>26005.336108556217</x:v>
      </x:c>
      <x:c r="P92" s="32" t="n">
        <x:f>'Results'!E37*1.1</x:f>
        <x:v>28605.869719411843</x:v>
      </x:c>
      <x:c r="Q92" s="32" t="n">
        <x:f>'Observed Data'!C37*'Unit Map'!$I$16</x:f>
        <x:v>26265.667215111192</x:v>
      </x:c>
      <x:c r="R92" s="32" t="n">
        <x:f>'Inputs'!$B$14*'Unit Map'!$I$16</x:f>
        <x:v>73158.88668371909</x:v>
      </x:c>
      <x:c r="S92" s="32"/>
      <x:c r="T92" s="32" t="n">
        <x:f>'Results'!A37</x:f>
        <x:v>2784.480588</x:v>
      </x:c>
      <x:c r="U92" s="32" t="n">
        <x:f>'Survey'!B37*'Unit Map'!$I$18</x:f>
        <x:v>1.5494858566280458</x:v>
      </x:c>
      <x:c r="V92" s="32"/>
      <x:c r="W92" s="32" t="n">
        <x:f>'Results'!A37</x:f>
        <x:v>2784.480588</x:v>
      </x:c>
      <x:c r="X92" s="32" t="n">
        <x:f>(('Inputs'!$B$7+'Calc'!D37*'Calc'!A37)+('Calc'!G37-('Inputs'!$B$7+'Calc'!D37*'Calc'!A37))*'Chart Settings'!$B$8)*'Unit Map'!$I$14</x:f>
        <x:v>742292.937383957</x:v>
      </x:c>
      <x:c r="Y92" s="32" t="n">
        <x:f>'Results'!B37</x:f>
        <x:v>743301.7566949244</x:v>
      </x:c>
      <x:c r="Z92" s="32" t="n">
        <x:f>(('Inputs'!$B$7+'Calc'!D37*'Calc'!A37)+('Calc'!G37-('Inputs'!$B$7+'Calc'!D37*'Calc'!A37))*'Chart Settings'!$B$10)*'Unit Map'!$I$14</x:f>
        <x:v>744310.5760058919</x:v>
      </x:c>
    </x:row>
    <x:row r="93">
      <x:c r="A93" s="32" t="n">
        <x:f>'Results'!A38</x:f>
        <x:v>2860.2800807999997</x:v>
      </x:c>
      <x:c r="B93" s="32" t="n">
        <x:f>'Results'!B38</x:f>
        <x:v>760164.9276528626</x:v>
      </x:c>
      <x:c r="C93" s="32" t="n">
        <x:f>'Results'!C38</x:f>
        <x:v>750010.9735344269</x:v>
      </x:c>
      <x:c r="D93" s="32" t="n">
        <x:f>('Calc'!G38+'Inputs'!$B$7*0.35)*'Unit Map'!$I$14</x:f>
        <x:v>802164.9276528626</x:v>
      </x:c>
      <x:c r="E93" s="32" t="n">
        <x:f>('Calc'!H38-'Inputs'!$B$7)*'Unit Map'!$I$14</x:f>
        <x:v>630010.9735344269</x:v>
      </x:c>
      <x:c r="F93" s="32" t="n">
        <x:f>('Calc'!H38-'Inputs'!$B$7*0.25)*'Unit Map'!$I$14</x:f>
        <x:v>720010.9735344269</x:v>
      </x:c>
      <x:c r="G93" s="32" t="n">
        <x:f>('Calc'!H38-'Inputs'!$B$7*0.5)*'Unit Map'!$I$14</x:f>
        <x:v>690010.9735344269</x:v>
      </x:c>
      <x:c r="H93" s="32" t="n">
        <x:f>'Observed Data'!B38*'Unit Map'!$I$14</x:f>
        <x:v>773846.6903352209</x:v>
      </x:c>
      <x:c r="I93" s="32" t="n">
        <x:f>'Inputs'!$B$13*'Unit Map'!$I$14</x:f>
        <x:v>2305313.3926624837</x:v>
      </x:c>
      <x:c r="J93" s="32" t="n">
        <x:f>'Results'!G38</x:f>
        <x:v>2980.8684489930993</x:v>
      </x:c>
      <x:c r="K93" s="32" t="n">
        <x:f>'Results'!H38</x:f>
        <x:v>5961.7368979861985</x:v>
      </x:c>
      <x:c r="L93" s="32"/>
      <x:c r="M93" s="32" t="n">
        <x:f>'Results'!A38</x:f>
        <x:v>2860.2800807999997</x:v>
      </x:c>
      <x:c r="N93" s="32" t="n">
        <x:f>'Results'!F38</x:f>
        <x:v>26005.219780070387</x:v>
      </x:c>
      <x:c r="O93" s="32" t="n">
        <x:f>'Results'!E38</x:f>
        <x:v>26004.17582405631</x:v>
      </x:c>
      <x:c r="P93" s="32" t="n">
        <x:f>'Results'!E38*1.1</x:f>
        <x:v>28604.593406461943</x:v>
      </x:c>
      <x:c r="Q93" s="32" t="n">
        <x:f>'Observed Data'!C38*'Unit Map'!$I$16</x:f>
        <x:v>26000.032813626392</x:v>
      </x:c>
      <x:c r="R93" s="32" t="n">
        <x:f>'Inputs'!$B$14*'Unit Map'!$I$16</x:f>
        <x:v>73158.88668371909</x:v>
      </x:c>
      <x:c r="S93" s="32"/>
      <x:c r="T93" s="32" t="n">
        <x:f>'Results'!A38</x:f>
        <x:v>2860.2800807999997</x:v>
      </x:c>
      <x:c r="U93" s="32" t="n">
        <x:f>'Survey'!B38*'Unit Map'!$I$18</x:f>
        <x:v>1.5457333987362578</x:v>
      </x:c>
      <x:c r="V93" s="32"/>
      <x:c r="W93" s="32" t="n">
        <x:f>'Results'!A38</x:f>
        <x:v>2860.2800807999997</x:v>
      </x:c>
      <x:c r="X93" s="32" t="n">
        <x:f>(('Inputs'!$B$7+'Calc'!D38*'Calc'!A38)+('Calc'!G38-('Inputs'!$B$7+'Calc'!D38*'Calc'!A38))*'Chart Settings'!$B$8)*'Unit Map'!$I$14</x:f>
        <x:v>759149.5322410191</x:v>
      </x:c>
      <x:c r="Y93" s="32" t="n">
        <x:f>'Results'!B38</x:f>
        <x:v>760164.9276528626</x:v>
      </x:c>
      <x:c r="Z93" s="32" t="n">
        <x:f>(('Inputs'!$B$7+'Calc'!D38*'Calc'!A38)+('Calc'!G38-('Inputs'!$B$7+'Calc'!D38*'Calc'!A38))*'Chart Settings'!$B$10)*'Unit Map'!$I$14</x:f>
        <x:v>761180.3230647062</x:v>
      </x:c>
    </x:row>
    <x:row r="94">
      <x:c r="A94" s="32" t="n">
        <x:f>'Results'!A39</x:f>
        <x:v>2936.688564</x:v>
      </x:c>
      <x:c r="B94" s="32" t="n">
        <x:f>'Results'!B39</x:f>
        <x:v>777155.6787109898</x:v>
      </x:c>
      <x:c r="C94" s="32" t="n">
        <x:f>'Results'!C39</x:f>
        <x:v>766951.240161732</x:v>
      </x:c>
      <x:c r="D94" s="32" t="n">
        <x:f>('Calc'!G39+'Inputs'!$B$7*0.35)*'Unit Map'!$I$14</x:f>
        <x:v>819155.6787109898</x:v>
      </x:c>
      <x:c r="E94" s="32" t="n">
        <x:f>('Calc'!H39-'Inputs'!$B$7)*'Unit Map'!$I$14</x:f>
        <x:v>646951.240161732</x:v>
      </x:c>
      <x:c r="F94" s="32" t="n">
        <x:f>('Calc'!H39-'Inputs'!$B$7*0.25)*'Unit Map'!$I$14</x:f>
        <x:v>736951.240161732</x:v>
      </x:c>
      <x:c r="G94" s="32" t="n">
        <x:f>('Calc'!H39-'Inputs'!$B$7*0.5)*'Unit Map'!$I$14</x:f>
        <x:v>706951.240161732</x:v>
      </x:c>
      <x:c r="H94" s="32" t="n">
        <x:f>'Observed Data'!B39*'Unit Map'!$I$14</x:f>
        <x:v>784556.9117634549</x:v>
      </x:c>
      <x:c r="I94" s="32" t="n">
        <x:f>'Inputs'!$B$13*'Unit Map'!$I$14</x:f>
        <x:v>2305313.3926624837</x:v>
      </x:c>
      <x:c r="J94" s="32" t="n">
        <x:f>'Results'!G39</x:f>
        <x:v>2601.355278029806</x:v>
      </x:c>
      <x:c r="K94" s="32" t="n">
        <x:f>'Results'!H39</x:f>
        <x:v>5202.710556059612</x:v>
      </x:c>
      <x:c r="L94" s="32"/>
      <x:c r="M94" s="32" t="n">
        <x:f>'Results'!A39</x:f>
        <x:v>2936.688564</x:v>
      </x:c>
      <x:c r="N94" s="32" t="n">
        <x:f>'Results'!F39</x:f>
        <x:v>26004.007201696502</x:v>
      </x:c>
      <x:c r="O94" s="32" t="n">
        <x:f>'Results'!E39</x:f>
        <x:v>26003.2057613572</x:v>
      </x:c>
      <x:c r="P94" s="32" t="n">
        <x:f>'Results'!E39*1.1</x:f>
        <x:v>28603.526337492924</x:v>
      </x:c>
      <x:c r="Q94" s="32" t="n">
        <x:f>'Observed Data'!C39*'Unit Map'!$I$16</x:f>
        <x:v>25738.419191858855</x:v>
      </x:c>
      <x:c r="R94" s="32" t="n">
        <x:f>'Inputs'!$B$14*'Unit Map'!$I$16</x:f>
        <x:v>73158.88668371909</x:v>
      </x:c>
      <x:c r="S94" s="32"/>
      <x:c r="T94" s="32" t="n">
        <x:f>'Results'!A39</x:f>
        <x:v>2936.688564</x:v>
      </x:c>
      <x:c r="U94" s="32" t="n">
        <x:f>'Survey'!B39*'Unit Map'!$I$18</x:f>
        <x:v>1.5422776468173092</x:v>
      </x:c>
      <x:c r="V94" s="32"/>
      <x:c r="W94" s="32" t="n">
        <x:f>'Results'!A39</x:f>
        <x:v>2936.688564</x:v>
      </x:c>
      <x:c r="X94" s="32" t="n">
        <x:f>(('Inputs'!$B$7+'Calc'!D39*'Calc'!A39)+('Calc'!G39-('Inputs'!$B$7+'Calc'!D39*'Calc'!A39))*'Chart Settings'!$B$8)*'Unit Map'!$I$14</x:f>
        <x:v>776135.234856064</x:v>
      </x:c>
      <x:c r="Y94" s="32" t="n">
        <x:f>'Results'!B39</x:f>
        <x:v>777155.6787109898</x:v>
      </x:c>
      <x:c r="Z94" s="32" t="n">
        <x:f>(('Inputs'!$B$7+'Calc'!D39*'Calc'!A39)+('Calc'!G39-('Inputs'!$B$7+'Calc'!D39*'Calc'!A39))*'Chart Settings'!$B$10)*'Unit Map'!$I$14</x:f>
        <x:v>778176.1225659156</x:v>
      </x:c>
    </x:row>
    <x:row r="95">
      <x:c r="A95" s="32" t="n">
        <x:f>'Results'!A40</x:f>
        <x:v>3013.6334952</x:v>
      </x:c>
      <x:c r="B95" s="32" t="n">
        <x:f>'Results'!B40</x:f>
        <x:v>794258.6529676841</x:v>
      </x:c>
      <x:c r="C95" s="32" t="n">
        <x:f>'Results'!C40</x:f>
        <x:v>784017.5061779759</x:v>
      </x:c>
      <x:c r="D95" s="32" t="n">
        <x:f>('Calc'!G40+'Inputs'!$B$7*0.35)*'Unit Map'!$I$14</x:f>
        <x:v>836258.6529676841</x:v>
      </x:c>
      <x:c r="E95" s="32" t="n">
        <x:f>('Calc'!H40-'Inputs'!$B$7)*'Unit Map'!$I$14</x:f>
        <x:v>664017.5061779759</x:v>
      </x:c>
      <x:c r="F95" s="32" t="n">
        <x:f>('Calc'!H40-'Inputs'!$B$7*0.25)*'Unit Map'!$I$14</x:f>
        <x:v>754017.5061779759</x:v>
      </x:c>
      <x:c r="G95" s="32" t="n">
        <x:f>('Calc'!H40-'Inputs'!$B$7*0.5)*'Unit Map'!$I$14</x:f>
        <x:v>724017.5061779759</x:v>
      </x:c>
      <x:c r="H95" s="32" t="n">
        <x:f>'Observed Data'!B40*'Unit Map'!$I$14</x:f>
        <x:v>788137.0727423179</x:v>
      </x:c>
      <x:c r="I95" s="32" t="n">
        <x:f>'Inputs'!$B$13*'Unit Map'!$I$14</x:f>
        <x:v>2305313.3926624837</x:v>
      </x:c>
      <x:c r="J95" s="32" t="n">
        <x:f>'Results'!G40</x:f>
        <x:v>2210.464287905019</x:v>
      </x:c>
      <x:c r="K95" s="32" t="n">
        <x:f>'Results'!H40</x:f>
        <x:v>4420.928575810038</x:v>
      </x:c>
      <x:c r="L95" s="32"/>
      <x:c r="M95" s="32" t="n">
        <x:f>'Results'!A40</x:f>
        <x:v>3013.6334952</x:v>
      </x:c>
      <x:c r="N95" s="32" t="n">
        <x:f>'Results'!F40</x:f>
        <x:v>26002.913716585746</x:v>
      </x:c>
      <x:c r="O95" s="32" t="n">
        <x:f>'Results'!E40</x:f>
        <x:v>26002.330973268596</x:v>
      </x:c>
      <x:c r="P95" s="32" t="n">
        <x:f>'Results'!E40*1.1</x:f>
        <x:v>28602.564070595457</x:v>
      </x:c>
      <x:c r="Q95" s="32" t="n">
        <x:f>'Observed Data'!C40*'Unit Map'!$I$16</x:f>
        <x:v>25720.353727491565</x:v>
      </x:c>
      <x:c r="R95" s="32" t="n">
        <x:f>'Inputs'!$B$14*'Unit Map'!$I$16</x:f>
        <x:v>73158.88668371909</x:v>
      </x:c>
      <x:c r="S95" s="32"/>
      <x:c r="T95" s="32" t="n">
        <x:f>'Results'!A40</x:f>
        <x:v>3013.6334952</x:v>
      </x:c>
      <x:c r="U95" s="32" t="n">
        <x:f>'Survey'!B40*'Unit Map'!$I$18</x:f>
        <x:v>1.5397818259869571</x:v>
      </x:c>
      <x:c r="V95" s="32"/>
      <x:c r="W95" s="32" t="n">
        <x:f>'Results'!A40</x:f>
        <x:v>3013.6334952</x:v>
      </x:c>
      <x:c r="X95" s="32" t="n">
        <x:f>(('Inputs'!$B$7+'Calc'!D40*'Calc'!A40)+('Calc'!G40-('Inputs'!$B$7+'Calc'!D40*'Calc'!A40))*'Chart Settings'!$B$8)*'Unit Map'!$I$14</x:f>
        <x:v>793234.5382887133</x:v>
      </x:c>
      <x:c r="Y95" s="32" t="n">
        <x:f>'Results'!B40</x:f>
        <x:v>794258.6529676841</x:v>
      </x:c>
      <x:c r="Z95" s="32" t="n">
        <x:f>(('Inputs'!$B$7+'Calc'!D40*'Calc'!A40)+('Calc'!G40-('Inputs'!$B$7+'Calc'!D40*'Calc'!A40))*'Chart Settings'!$B$10)*'Unit Map'!$I$14</x:f>
        <x:v>795282.7676466549</x:v>
      </x:c>
    </x:row>
    <x:row r="96">
      <x:c r="A96" s="32" t="n">
        <x:f>'Results'!A41</x:f>
        <x:v>3090.7698408</x:v>
      </x:c>
      <x:c r="B96" s="32" t="n">
        <x:f>'Results'!B41</x:f>
        <x:v>811398.364236773</x:v>
      </x:c>
      <x:c r="C96" s="32" t="n">
        <x:f>'Results'!C41</x:f>
        <x:v>801132.0373323669</x:v>
      </x:c>
      <x:c r="D96" s="32" t="n">
        <x:f>('Calc'!G41+'Inputs'!$B$7*0.35)*'Unit Map'!$I$14</x:f>
        <x:v>853398.364236773</x:v>
      </x:c>
      <x:c r="E96" s="32" t="n">
        <x:f>('Calc'!H41-'Inputs'!$B$7)*'Unit Map'!$I$14</x:f>
        <x:v>681132.0373323669</x:v>
      </x:c>
      <x:c r="F96" s="32" t="n">
        <x:f>('Calc'!H41-'Inputs'!$B$7*0.25)*'Unit Map'!$I$14</x:f>
        <x:v>771132.0373323669</x:v>
      </x:c>
      <x:c r="G96" s="32" t="n">
        <x:f>('Calc'!H41-'Inputs'!$B$7*0.5)*'Unit Map'!$I$14</x:f>
        <x:v>741132.0373323669</x:v>
      </x:c>
      <x:c r="H96" s="32" t="n">
        <x:f>'Observed Data'!B41*'Unit Map'!$I$14</x:f>
        <x:v>796913.2649281424</x:v>
      </x:c>
      <x:c r="I96" s="32" t="n">
        <x:f>'Inputs'!$B$13*'Unit Map'!$I$14</x:f>
        <x:v>2305313.3926624837</x:v>
      </x:c>
      <x:c r="J96" s="32" t="n">
        <x:f>'Results'!G41</x:f>
        <x:v>1828.4835133349245</x:v>
      </x:c>
      <x:c r="K96" s="32" t="n">
        <x:f>'Results'!H41</x:f>
        <x:v>3656.967026669849</x:v>
      </x:c>
      <x:c r="L96" s="32"/>
      <x:c r="M96" s="32" t="n">
        <x:f>'Results'!A41</x:f>
        <x:v>3090.7698408</x:v>
      </x:c>
      <x:c r="N96" s="32" t="n">
        <x:f>'Results'!F41</x:f>
        <x:v>26001.998671604153</x:v>
      </x:c>
      <x:c r="O96" s="32" t="n">
        <x:f>'Results'!E41</x:f>
        <x:v>26001.59893728332</x:v>
      </x:c>
      <x:c r="P96" s="32" t="n">
        <x:f>'Results'!E41*1.1</x:f>
        <x:v>28601.758831011655</x:v>
      </x:c>
      <x:c r="Q96" s="32" t="n">
        <x:f>'Observed Data'!C41*'Unit Map'!$I$16</x:f>
        <x:v>25961.671810848602</x:v>
      </x:c>
      <x:c r="R96" s="32" t="n">
        <x:f>'Inputs'!$B$14*'Unit Map'!$I$16</x:f>
        <x:v>73158.88668371909</x:v>
      </x:c>
      <x:c r="S96" s="32"/>
      <x:c r="T96" s="32" t="n">
        <x:f>'Results'!A41</x:f>
        <x:v>3090.7698408</x:v>
      </x:c>
      <x:c r="U96" s="32" t="n">
        <x:f>'Survey'!B41*'Unit Map'!$I$18</x:f>
        <x:v>1.5388917080684403</x:v>
      </x:c>
      <x:c r="V96" s="32"/>
      <x:c r="W96" s="32" t="n">
        <x:f>'Results'!A41</x:f>
        <x:v>3090.7698408</x:v>
      </x:c>
      <x:c r="X96" s="32" t="n">
        <x:f>(('Inputs'!$B$7+'Calc'!D41*'Calc'!A41)+('Calc'!G41-('Inputs'!$B$7+'Calc'!D41*'Calc'!A41))*'Chart Settings'!$B$8)*'Unit Map'!$I$14</x:f>
        <x:v>810371.7315463324</x:v>
      </x:c>
      <x:c r="Y96" s="32" t="n">
        <x:f>'Results'!B41</x:f>
        <x:v>811398.364236773</x:v>
      </x:c>
      <x:c r="Z96" s="32" t="n">
        <x:f>(('Inputs'!$B$7+'Calc'!D41*'Calc'!A41)+('Calc'!G41-('Inputs'!$B$7+'Calc'!D41*'Calc'!A41))*'Chart Settings'!$B$10)*'Unit Map'!$I$14</x:f>
        <x:v>812424.9969272136</x:v>
      </x:c>
    </x:row>
    <x:row r="97">
      <x:c r="A97" s="32" t="n">
        <x:f>'Results'!A42</x:f>
        <x:v>3167.6544215999998</x:v>
      </x:c>
      <x:c r="B97" s="32" t="n">
        <x:f>'Results'!B42</x:f>
        <x:v>828481.9159706458</x:v>
      </x:c>
      <x:c r="C97" s="32" t="n">
        <x:f>'Results'!C42</x:f>
        <x:v>818190.9258303377</x:v>
      </x:c>
      <x:c r="D97" s="32" t="n">
        <x:f>('Calc'!G42+'Inputs'!$B$7*0.35)*'Unit Map'!$I$14</x:f>
        <x:v>870481.9159706458</x:v>
      </x:c>
      <x:c r="E97" s="32" t="n">
        <x:f>('Calc'!H42-'Inputs'!$B$7)*'Unit Map'!$I$14</x:f>
        <x:v>698190.9258303377</x:v>
      </x:c>
      <x:c r="F97" s="32" t="n">
        <x:f>('Calc'!H42-'Inputs'!$B$7*0.25)*'Unit Map'!$I$14</x:f>
        <x:v>788190.9258303377</x:v>
      </x:c>
      <x:c r="G97" s="32" t="n">
        <x:f>('Calc'!H42-'Inputs'!$B$7*0.5)*'Unit Map'!$I$14</x:f>
        <x:v>758190.9258303377</x:v>
      </x:c>
      <x:c r="H97" s="32" t="n">
        <x:f>'Observed Data'!B42*'Unit Map'!$I$14</x:f>
        <x:v>818885.0412676178</x:v>
      </x:c>
      <x:c r="I97" s="32" t="n">
        <x:f>'Inputs'!$B$13*'Unit Map'!$I$14</x:f>
        <x:v>2305313.3926624837</x:v>
      </x:c>
      <x:c r="J97" s="32" t="n">
        <x:f>'Results'!G42</x:f>
        <x:v>1812.5797754308658</x:v>
      </x:c>
      <x:c r="K97" s="32" t="n">
        <x:f>'Results'!H42</x:f>
        <x:v>3625.1595508617315</x:v>
      </x:c>
      <x:c r="L97" s="32"/>
      <x:c r="M97" s="32" t="n">
        <x:f>'Results'!A42</x:f>
        <x:v>3167.6544215999998</x:v>
      </x:c>
      <x:c r="N97" s="32" t="n">
        <x:f>'Results'!F42</x:f>
        <x:v>26001.957644349724</x:v>
      </x:c>
      <x:c r="O97" s="32" t="n">
        <x:f>'Results'!E42</x:f>
        <x:v>26001.566115479778</x:v>
      </x:c>
      <x:c r="P97" s="32" t="n">
        <x:f>'Results'!E42*1.1</x:f>
        <x:v>28601.722727027758</x:v>
      </x:c>
      <x:c r="Q97" s="32" t="n">
        <x:f>'Observed Data'!C42*'Unit Map'!$I$16</x:f>
        <x:v>26240.389684408266</x:v>
      </x:c>
      <x:c r="R97" s="32" t="n">
        <x:f>'Inputs'!$B$14*'Unit Map'!$I$16</x:f>
        <x:v>73158.88668371909</x:v>
      </x:c>
      <x:c r="S97" s="32"/>
      <x:c r="T97" s="32" t="n">
        <x:f>'Results'!A42</x:f>
        <x:v>3167.6544215999998</x:v>
      </x:c>
      <x:c r="U97" s="32" t="n">
        <x:f>'Survey'!B42*'Unit Map'!$I$18</x:f>
        <x:v>1.5399738122046764</x:v>
      </x:c>
      <x:c r="V97" s="32"/>
      <x:c r="W97" s="32" t="n">
        <x:f>'Results'!A42</x:f>
        <x:v>3167.6544215999998</x:v>
      </x:c>
      <x:c r="X97" s="32" t="n">
        <x:f>(('Inputs'!$B$7+'Calc'!D42*'Calc'!A42)+('Calc'!G42-('Inputs'!$B$7+'Calc'!D42*'Calc'!A42))*'Chart Settings'!$B$8)*'Unit Map'!$I$14</x:f>
        <x:v>827452.816956615</x:v>
      </x:c>
      <x:c r="Y97" s="32" t="n">
        <x:f>'Results'!B42</x:f>
        <x:v>828481.9159706458</x:v>
      </x:c>
      <x:c r="Z97" s="32" t="n">
        <x:f>(('Inputs'!$B$7+'Calc'!D42*'Calc'!A42)+('Calc'!G42-('Inputs'!$B$7+'Calc'!D42*'Calc'!A42))*'Chart Settings'!$B$10)*'Unit Map'!$I$14</x:f>
        <x:v>829511.0149846767</x:v>
      </x:c>
    </x:row>
    <x:row r="98">
      <x:c r="A98" s="32" t="n">
        <x:f>'Results'!A43</x:f>
        <x:v>3243.9723792</x:v>
      </x:c>
      <x:c r="B98" s="32" t="n">
        <x:f>'Results'!B43</x:f>
        <x:v>845445.6518920356</x:v>
      </x:c>
      <x:c r="C98" s="32" t="n">
        <x:f>'Results'!C43</x:f>
        <x:v>835118.0075327385</x:v>
      </x:c>
      <x:c r="D98" s="32" t="n">
        <x:f>('Calc'!G43+'Inputs'!$B$7*0.35)*'Unit Map'!$I$14</x:f>
        <x:v>887445.6518920356</x:v>
      </x:c>
      <x:c r="E98" s="32" t="n">
        <x:f>('Calc'!H43-'Inputs'!$B$7)*'Unit Map'!$I$14</x:f>
        <x:v>715118.0075327385</x:v>
      </x:c>
      <x:c r="F98" s="32" t="n">
        <x:f>('Calc'!H43-'Inputs'!$B$7*0.25)*'Unit Map'!$I$14</x:f>
        <x:v>805118.0075327385</x:v>
      </x:c>
      <x:c r="G98" s="32" t="n">
        <x:f>('Calc'!H43-'Inputs'!$B$7*0.5)*'Unit Map'!$I$14</x:f>
        <x:v>775118.0075327385</x:v>
      </x:c>
      <x:c r="H98" s="32" t="n">
        <x:f>'Observed Data'!B43*'Unit Map'!$I$14</x:f>
        <x:v>849955.7953641264</x:v>
      </x:c>
      <x:c r="I98" s="32" t="n">
        <x:f>'Inputs'!$B$13*'Unit Map'!$I$14</x:f>
        <x:v>2305313.3926624837</x:v>
      </x:c>
      <x:c r="J98" s="32" t="n">
        <x:f>'Results'!G43</x:f>
        <x:v>2217.891733412791</x:v>
      </x:c>
      <x:c r="K98" s="32" t="n">
        <x:f>'Results'!H43</x:f>
        <x:v>4435.783466825582</x:v>
      </x:c>
      <x:c r="L98" s="32"/>
      <x:c r="M98" s="32" t="n">
        <x:f>'Results'!A43</x:f>
        <x:v>3243.9723792</x:v>
      </x:c>
      <x:c r="N98" s="32" t="n">
        <x:f>'Results'!F43</x:f>
        <x:v>26002.909428632258</x:v>
      </x:c>
      <x:c r="O98" s="32" t="n">
        <x:f>'Results'!E43</x:f>
        <x:v>26002.327542905805</x:v>
      </x:c>
      <x:c r="P98" s="32" t="n">
        <x:f>'Results'!E43*1.1</x:f>
        <x:v>28602.56029719639</x:v>
      </x:c>
      <x:c r="Q98" s="32" t="n">
        <x:f>'Observed Data'!C43*'Unit Map'!$I$16</x:f>
        <x:v>26300.337195547174</x:v>
      </x:c>
      <x:c r="R98" s="32" t="n">
        <x:f>'Inputs'!$B$14*'Unit Map'!$I$16</x:f>
        <x:v>73158.88668371909</x:v>
      </x:c>
      <x:c r="S98" s="32"/>
      <x:c r="T98" s="32" t="n">
        <x:f>'Results'!A43</x:f>
        <x:v>3243.9723792</x:v>
      </x:c>
      <x:c r="U98" s="32" t="n">
        <x:f>'Survey'!B43*'Unit Map'!$I$18</x:f>
        <x:v>1.5430455916881864</x:v>
      </x:c>
      <x:c r="V98" s="32"/>
      <x:c r="W98" s="32" t="n">
        <x:f>'Results'!A43</x:f>
        <x:v>3243.9723792</x:v>
      </x:c>
      <x:c r="X98" s="32" t="n">
        <x:f>(('Inputs'!$B$7+'Calc'!D43*'Calc'!A43)+('Calc'!G43-('Inputs'!$B$7+'Calc'!D43*'Calc'!A43))*'Chart Settings'!$B$8)*'Unit Map'!$I$14</x:f>
        <x:v>844412.8874561059</x:v>
      </x:c>
      <x:c r="Y98" s="32" t="n">
        <x:f>'Results'!B43</x:f>
        <x:v>845445.6518920356</x:v>
      </x:c>
      <x:c r="Z98" s="32" t="n">
        <x:f>(('Inputs'!$B$7+'Calc'!D43*'Calc'!A43)+('Calc'!G43-('Inputs'!$B$7+'Calc'!D43*'Calc'!A43))*'Chart Settings'!$B$10)*'Unit Map'!$I$14</x:f>
        <x:v>846478.4163279653</x:v>
      </x:c>
    </x:row>
    <x:row r="99">
      <x:c r="A99" s="32" t="n">
        <x:f>'Results'!A44</x:f>
        <x:v>3319.6978056000003</x:v>
      </x:c>
      <x:c r="B99" s="32" t="n">
        <x:f>'Results'!B44</x:f>
        <x:v>862285.3093043673</x:v>
      </x:c>
      <x:c r="C99" s="32" t="n">
        <x:f>'Results'!C44</x:f>
        <x:v>851906.0400679975</x:v>
      </x:c>
      <x:c r="D99" s="32" t="n">
        <x:f>('Calc'!G44+'Inputs'!$B$7*0.35)*'Unit Map'!$I$14</x:f>
        <x:v>904285.3093043673</x:v>
      </x:c>
      <x:c r="E99" s="32" t="n">
        <x:f>('Calc'!H44-'Inputs'!$B$7)*'Unit Map'!$I$14</x:f>
        <x:v>731906.0400679975</x:v>
      </x:c>
      <x:c r="F99" s="32" t="n">
        <x:f>('Calc'!H44-'Inputs'!$B$7*0.25)*'Unit Map'!$I$14</x:f>
        <x:v>821906.0400679975</x:v>
      </x:c>
      <x:c r="G99" s="32" t="n">
        <x:f>('Calc'!H44-'Inputs'!$B$7*0.5)*'Unit Map'!$I$14</x:f>
        <x:v>791906.0400679975</x:v>
      </x:c>
      <x:c r="H99" s="32" t="n">
        <x:f>'Observed Data'!B44*'Unit Map'!$I$14</x:f>
        <x:v>877244.508154193</x:v>
      </x:c>
      <x:c r="I99" s="32" t="n">
        <x:f>'Inputs'!$B$13*'Unit Map'!$I$14</x:f>
        <x:v>2305313.3926624837</x:v>
      </x:c>
      <x:c r="J99" s="32" t="n">
        <x:f>'Results'!G44</x:f>
        <x:v>2642.4110592528173</x:v>
      </x:c>
      <x:c r="K99" s="32" t="n">
        <x:f>'Results'!H44</x:f>
        <x:v>5284.8221185056345</x:v>
      </x:c>
      <x:c r="L99" s="32"/>
      <x:c r="M99" s="32" t="n">
        <x:f>'Results'!A44</x:f>
        <x:v>3319.6978056000003</x:v>
      </x:c>
      <x:c r="N99" s="32" t="n">
        <x:f>'Results'!F44</x:f>
        <x:v>26004.097724617648</x:v>
      </x:c>
      <x:c r="O99" s="32" t="n">
        <x:f>'Results'!E44</x:f>
        <x:v>26003.27817969412</x:v>
      </x:c>
      <x:c r="P99" s="32" t="n">
        <x:f>'Results'!E44*1.1</x:f>
        <x:v>28603.605997663533</x:v>
      </x:c>
      <x:c r="Q99" s="32" t="n">
        <x:f>'Observed Data'!C44*'Unit Map'!$I$16</x:f>
        <x:v>26086.481263831774</x:v>
      </x:c>
      <x:c r="R99" s="32" t="n">
        <x:f>'Inputs'!$B$14*'Unit Map'!$I$16</x:f>
        <x:v>73158.88668371909</x:v>
      </x:c>
      <x:c r="S99" s="32"/>
      <x:c r="T99" s="32" t="n">
        <x:f>'Results'!A44</x:f>
        <x:v>3319.6978056000003</x:v>
      </x:c>
      <x:c r="U99" s="32" t="n">
        <x:f>'Survey'!B44*'Unit Map'!$I$18</x:f>
        <x:v>1.5477405273760516</x:v>
      </x:c>
      <x:c r="V99" s="32"/>
      <x:c r="W99" s="32" t="n">
        <x:f>'Results'!A44</x:f>
        <x:v>3319.6978056000003</x:v>
      </x:c>
      <x:c r="X99" s="32" t="n">
        <x:f>(('Inputs'!$B$7+'Calc'!D44*'Calc'!A44)+('Calc'!G44-('Inputs'!$B$7+'Calc'!D44*'Calc'!A44))*'Chart Settings'!$B$8)*'Unit Map'!$I$14</x:f>
        <x:v>861247.3823807302</x:v>
      </x:c>
      <x:c r="Y99" s="32" t="n">
        <x:f>'Results'!B44</x:f>
        <x:v>862285.3093043673</x:v>
      </x:c>
      <x:c r="Z99" s="32" t="n">
        <x:f>(('Inputs'!$B$7+'Calc'!D44*'Calc'!A44)+('Calc'!G44-('Inputs'!$B$7+'Calc'!D44*'Calc'!A44))*'Chart Settings'!$B$10)*'Unit Map'!$I$14</x:f>
        <x:v>863323.2362280043</x:v>
      </x:c>
    </x:row>
    <x:row r="100">
      <x:c r="A100" s="32" t="n">
        <x:f>'Results'!A45</x:f>
        <x:v>3395.1068496000003</x:v>
      </x:c>
      <x:c r="B100" s="32" t="n">
        <x:f>'Results'!B45</x:f>
        <x:v>879061.594945844</x:v>
      </x:c>
      <x:c r="C100" s="32" t="n">
        <x:f>'Results'!C45</x:f>
        <x:v>868616.94718898</x:v>
      </x:c>
      <x:c r="D100" s="32" t="n">
        <x:f>('Calc'!G45+'Inputs'!$B$7*0.35)*'Unit Map'!$I$14</x:f>
        <x:v>921061.594945844</x:v>
      </x:c>
      <x:c r="E100" s="32" t="n">
        <x:f>('Calc'!H45-'Inputs'!$B$7)*'Unit Map'!$I$14</x:f>
        <x:v>748616.94718898</x:v>
      </x:c>
      <x:c r="F100" s="32" t="n">
        <x:f>('Calc'!H45-'Inputs'!$B$7*0.25)*'Unit Map'!$I$14</x:f>
        <x:v>838616.94718898</x:v>
      </x:c>
      <x:c r="G100" s="32" t="n">
        <x:f>('Calc'!H45-'Inputs'!$B$7*0.5)*'Unit Map'!$I$14</x:f>
        <x:v>808616.94718898</x:v>
      </x:c>
      <x:c r="H100" s="32" t="n">
        <x:f>'Observed Data'!B45*'Unit Map'!$I$14</x:f>
        <x:v>890851.6014846342</x:v>
      </x:c>
      <x:c r="I100" s="32" t="n">
        <x:f>'Inputs'!$B$13*'Unit Map'!$I$14</x:f>
        <x:v>2305313.3926624837</x:v>
      </x:c>
      <x:c r="J100" s="32" t="n">
        <x:f>'Results'!G45</x:f>
        <x:v>2979.8716159706937</x:v>
      </x:c>
      <x:c r="K100" s="32" t="n">
        <x:f>'Results'!H45</x:f>
        <x:v>5959.743231941387</x:v>
      </x:c>
      <x:c r="L100" s="32"/>
      <x:c r="M100" s="32" t="n">
        <x:f>'Results'!A45</x:f>
        <x:v>3395.1068496000003</x:v>
      </x:c>
      <x:c r="N100" s="32" t="n">
        <x:f>'Results'!F45</x:f>
        <x:v>26005.18942006424</x:v>
      </x:c>
      <x:c r="O100" s="32" t="n">
        <x:f>'Results'!E45</x:f>
        <x:v>26004.15153605139</x:v>
      </x:c>
      <x:c r="P100" s="32" t="n">
        <x:f>'Results'!E45*1.1</x:f>
        <x:v>28604.566689656534</x:v>
      </x:c>
      <x:c r="Q100" s="32" t="n">
        <x:f>'Observed Data'!C45*'Unit Map'!$I$16</x:f>
        <x:v>25796.033635007003</x:v>
      </x:c>
      <x:c r="R100" s="32" t="n">
        <x:f>'Inputs'!$B$14*'Unit Map'!$I$16</x:f>
        <x:v>73158.88668371909</x:v>
      </x:c>
      <x:c r="S100" s="32"/>
      <x:c r="T100" s="32" t="n">
        <x:f>'Results'!A45</x:f>
        <x:v>3395.1068496000003</x:v>
      </x:c>
      <x:c r="U100" s="32" t="n">
        <x:f>'Survey'!B45*'Unit Map'!$I$18</x:f>
        <x:v>1.5533430342749535</x:v>
      </x:c>
      <x:c r="V100" s="32"/>
      <x:c r="W100" s="32" t="n">
        <x:f>'Results'!A45</x:f>
        <x:v>3395.1068496000003</x:v>
      </x:c>
      <x:c r="X100" s="32" t="n">
        <x:f>(('Inputs'!$B$7+'Calc'!D45*'Calc'!A45)+('Calc'!G45-('Inputs'!$B$7+'Calc'!D45*'Calc'!A45))*'Chart Settings'!$B$8)*'Unit Map'!$I$14</x:f>
        <x:v>878017.1301701576</x:v>
      </x:c>
      <x:c r="Y100" s="32" t="n">
        <x:f>'Results'!B45</x:f>
        <x:v>879061.594945844</x:v>
      </x:c>
      <x:c r="Z100" s="32" t="n">
        <x:f>(('Inputs'!$B$7+'Calc'!D45*'Calc'!A45)+('Calc'!G45-('Inputs'!$B$7+'Calc'!D45*'Calc'!A45))*'Chart Settings'!$B$10)*'Unit Map'!$I$14</x:f>
        <x:v>880106.0597215304</x:v>
      </x:c>
    </x:row>
    <x:row r="101">
      <x:c r="A101" s="32" t="n">
        <x:f>'Results'!A46</x:f>
        <x:v>3470.6368992</x:v>
      </x:c>
      <x:c r="B101" s="32" t="n">
        <x:f>'Results'!B46</x:f>
        <x:v>895870.7720675812</x:v>
      </x:c>
      <x:c r="C101" s="32" t="n">
        <x:f>'Results'!C46</x:f>
        <x:v>885348.6982656334</x:v>
      </x:c>
      <x:c r="D101" s="32" t="n">
        <x:f>('Calc'!G46+'Inputs'!$B$7*0.35)*'Unit Map'!$I$14</x:f>
        <x:v>937870.7720675812</x:v>
      </x:c>
      <x:c r="E101" s="32" t="n">
        <x:f>('Calc'!H46-'Inputs'!$B$7)*'Unit Map'!$I$14</x:f>
        <x:v>765348.6982656334</x:v>
      </x:c>
      <x:c r="F101" s="32" t="n">
        <x:f>('Calc'!H46-'Inputs'!$B$7*0.25)*'Unit Map'!$I$14</x:f>
        <x:v>855348.6982656334</x:v>
      </x:c>
      <x:c r="G101" s="32" t="n">
        <x:f>('Calc'!H46-'Inputs'!$B$7*0.5)*'Unit Map'!$I$14</x:f>
        <x:v>825348.6982656334</x:v>
      </x:c>
      <x:c r="H101" s="32" t="n">
        <x:f>'Observed Data'!B46*'Unit Map'!$I$14</x:f>
        <x:v>893312.8746377303</x:v>
      </x:c>
      <x:c r="I101" s="32" t="n">
        <x:f>'Inputs'!$B$13*'Unit Map'!$I$14</x:f>
        <x:v>2305313.3926624837</x:v>
      </x:c>
      <x:c r="J101" s="32" t="n">
        <x:f>'Results'!G46</x:f>
        <x:v>3240.2265772593487</x:v>
      </x:c>
      <x:c r="K101" s="32" t="n">
        <x:f>'Results'!H46</x:f>
        <x:v>6480.453154518697</x:v>
      </x:c>
      <x:c r="L101" s="32"/>
      <x:c r="M101" s="32" t="n">
        <x:f>'Results'!A46</x:f>
        <x:v>3470.6368992</x:v>
      </x:c>
      <x:c r="N101" s="32" t="n">
        <x:f>'Results'!F46</x:f>
        <x:v>26006.145692328508</x:v>
      </x:c>
      <x:c r="O101" s="32" t="n">
        <x:f>'Results'!E46</x:f>
        <x:v>26004.916553862808</x:v>
      </x:c>
      <x:c r="P101" s="32" t="n">
        <x:f>'Results'!E46*1.1</x:f>
        <x:v>28605.40820924909</x:v>
      </x:c>
      <x:c r="Q101" s="32" t="n">
        <x:f>'Observed Data'!C46*'Unit Map'!$I$16</x:f>
        <x:v>25696.80844759451</x:v>
      </x:c>
      <x:c r="R101" s="32" t="n">
        <x:f>'Inputs'!$B$14*'Unit Map'!$I$16</x:f>
        <x:v>73158.88668371909</x:v>
      </x:c>
      <x:c r="S101" s="32"/>
      <x:c r="T101" s="32" t="n">
        <x:f>'Results'!A46</x:f>
        <x:v>3470.6368992</x:v>
      </x:c>
      <x:c r="U101" s="32" t="n">
        <x:f>'Survey'!B46*'Unit Map'!$I$18</x:f>
        <x:v>1.5589455411738549</x:v>
      </x:c>
      <x:c r="V101" s="32"/>
      <x:c r="W101" s="32" t="n">
        <x:f>'Results'!A46</x:f>
        <x:v>3470.6368992</x:v>
      </x:c>
      <x:c r="X101" s="32" t="n">
        <x:f>(('Inputs'!$B$7+'Calc'!D46*'Calc'!A46)+('Calc'!G46-('Inputs'!$B$7+'Calc'!D46*'Calc'!A46))*'Chart Settings'!$B$8)*'Unit Map'!$I$14</x:f>
        <x:v>894818.5646873864</x:v>
      </x:c>
      <x:c r="Y101" s="32" t="n">
        <x:f>'Results'!B46</x:f>
        <x:v>895870.7720675812</x:v>
      </x:c>
      <x:c r="Z101" s="32" t="n">
        <x:f>(('Inputs'!$B$7+'Calc'!D46*'Calc'!A46)+('Calc'!G46-('Inputs'!$B$7+'Calc'!D46*'Calc'!A46))*'Chart Settings'!$B$10)*'Unit Map'!$I$14</x:f>
        <x:v>896922.979447776</x:v>
      </x:c>
    </x:row>
    <x:row r="102">
      <x:c r="A102" s="32" t="n">
        <x:f>'Results'!A47</x:f>
        <x:v>3546.6631632</x:v>
      </x:c>
      <x:c r="B102" s="32" t="n">
        <x:f>'Results'!B47</x:f>
        <x:v>912796.2996201845</x:v>
      </x:c>
      <x:c r="C102" s="32" t="n">
        <x:f>'Results'!C47</x:f>
        <x:v>902184.4548048641</x:v>
      </x:c>
      <x:c r="D102" s="32" t="n">
        <x:f>('Calc'!G47+'Inputs'!$B$7*0.35)*'Unit Map'!$I$14</x:f>
        <x:v>954796.2996201845</x:v>
      </x:c>
      <x:c r="E102" s="32" t="n">
        <x:f>('Calc'!H47-'Inputs'!$B$7)*'Unit Map'!$I$14</x:f>
        <x:v>782184.4548048641</x:v>
      </x:c>
      <x:c r="F102" s="32" t="n">
        <x:f>('Calc'!H47-'Inputs'!$B$7*0.25)*'Unit Map'!$I$14</x:f>
        <x:v>872184.4548048641</x:v>
      </x:c>
      <x:c r="G102" s="32" t="n">
        <x:f>('Calc'!H47-'Inputs'!$B$7*0.5)*'Unit Map'!$I$14</x:f>
        <x:v>842184.4548048641</x:v>
      </x:c>
      <x:c r="H102" s="32" t="n">
        <x:f>'Observed Data'!B47*'Unit Map'!$I$14</x:f>
        <x:v>897737.5450259125</x:v>
      </x:c>
      <x:c r="I102" s="32" t="n">
        <x:f>'Inputs'!$B$13*'Unit Map'!$I$14</x:f>
        <x:v>2305313.3926624837</x:v>
      </x:c>
      <x:c r="J102" s="32" t="n">
        <x:f>'Results'!G47</x:f>
        <x:v>3477.5866978427607</x:v>
      </x:c>
      <x:c r="K102" s="32" t="n">
        <x:f>'Results'!H47</x:f>
        <x:v>6955.173395685521</x:v>
      </x:c>
      <x:c r="L102" s="32"/>
      <x:c r="M102" s="32" t="n">
        <x:f>'Results'!A47</x:f>
        <x:v>3546.6631632</x:v>
      </x:c>
      <x:c r="N102" s="32" t="n">
        <x:f>'Results'!F47</x:f>
        <x:v>26007.125574186455</x:v>
      </x:c>
      <x:c r="O102" s="32" t="n">
        <x:f>'Results'!E47</x:f>
        <x:v>26005.700459349162</x:v>
      </x:c>
      <x:c r="P102" s="32" t="n">
        <x:f>'Results'!E47*1.1</x:f>
        <x:v>28606.27050528408</x:v>
      </x:c>
      <x:c r="Q102" s="32" t="n">
        <x:f>'Observed Data'!C47*'Unit Map'!$I$16</x:f>
        <x:v>25880.877679872458</x:v>
      </x:c>
      <x:c r="R102" s="32" t="n">
        <x:f>'Inputs'!$B$14*'Unit Map'!$I$16</x:f>
        <x:v>73158.88668371909</x:v>
      </x:c>
      <x:c r="S102" s="32"/>
      <x:c r="T102" s="32" t="n">
        <x:f>'Results'!A47</x:f>
        <x:v>3546.6631632</x:v>
      </x:c>
      <x:c r="U102" s="32" t="n">
        <x:f>'Survey'!B47*'Unit Map'!$I$18</x:f>
        <x:v>1.5636404768617198</x:v>
      </x:c>
      <x:c r="V102" s="32"/>
      <x:c r="W102" s="32" t="n">
        <x:f>'Results'!A47</x:f>
        <x:v>3546.6631632</x:v>
      </x:c>
      <x:c r="X102" s="32" t="n">
        <x:f>(('Inputs'!$B$7+'Calc'!D47*'Calc'!A47)+('Calc'!G47-('Inputs'!$B$7+'Calc'!D47*'Calc'!A47))*'Chart Settings'!$B$8)*'Unit Map'!$I$14</x:f>
        <x:v>911735.1151386524</x:v>
      </x:c>
      <x:c r="Y102" s="32" t="n">
        <x:f>'Results'!B47</x:f>
        <x:v>912796.2996201845</x:v>
      </x:c>
      <x:c r="Z102" s="32" t="n">
        <x:f>(('Inputs'!$B$7+'Calc'!D47*'Calc'!A47)+('Calc'!G47-('Inputs'!$B$7+'Calc'!D47*'Calc'!A47))*'Chart Settings'!$B$10)*'Unit Map'!$I$14</x:f>
        <x:v>913857.4841017165</x:v>
      </x:c>
    </x:row>
    <x:row r="103">
      <x:c r="A103" s="32" t="n">
        <x:f>'Results'!A48</x:f>
        <x:v>3623.3087808</x:v>
      </x:c>
      <x:c r="B103" s="32" t="n">
        <x:f>'Results'!B48</x:f>
        <x:v>929866.6740240534</x:v>
      </x:c>
      <x:c r="C103" s="32" t="n">
        <x:f>'Results'!C48</x:f>
        <x:v>919150.4032984045</x:v>
      </x:c>
      <x:c r="D103" s="32" t="n">
        <x:f>('Calc'!G48+'Inputs'!$B$7*0.35)*'Unit Map'!$I$14</x:f>
        <x:v>971866.6740240534</x:v>
      </x:c>
      <x:c r="E103" s="32" t="n">
        <x:f>('Calc'!H48-'Inputs'!$B$7)*'Unit Map'!$I$14</x:f>
        <x:v>799150.4032984045</x:v>
      </x:c>
      <x:c r="F103" s="32" t="n">
        <x:f>('Calc'!H48-'Inputs'!$B$7*0.25)*'Unit Map'!$I$14</x:f>
        <x:v>889150.4032984045</x:v>
      </x:c>
      <x:c r="G103" s="32" t="n">
        <x:f>('Calc'!H48-'Inputs'!$B$7*0.5)*'Unit Map'!$I$14</x:f>
        <x:v>859150.4032984045</x:v>
      </x:c>
      <x:c r="H103" s="32" t="n">
        <x:f>'Observed Data'!B48*'Unit Map'!$I$14</x:f>
        <x:v>915944.7609816786</x:v>
      </x:c>
      <x:c r="I103" s="32" t="n">
        <x:f>'Inputs'!$B$13*'Unit Map'!$I$14</x:f>
        <x:v>2305313.3926624837</x:v>
      </x:c>
      <x:c r="J103" s="32" t="n">
        <x:f>'Results'!G48</x:f>
        <x:v>3735.52973462342</x:v>
      </x:c>
      <x:c r="K103" s="32" t="n">
        <x:f>'Results'!H48</x:f>
        <x:v>7471.05946924684</x:v>
      </x:c>
      <x:c r="L103" s="32"/>
      <x:c r="M103" s="32" t="n">
        <x:f>'Results'!A48</x:f>
        <x:v>3623.3087808</x:v>
      </x:c>
      <x:c r="N103" s="32" t="n">
        <x:f>'Results'!F48</x:f>
        <x:v>26008.288806632336</x:v>
      </x:c>
      <x:c r="O103" s="32" t="n">
        <x:f>'Results'!E48</x:f>
        <x:v>26006.63104530587</x:v>
      </x:c>
      <x:c r="P103" s="32" t="n">
        <x:f>'Results'!E48*1.1</x:f>
        <x:v>28607.294149836456</x:v>
      </x:c>
      <x:c r="Q103" s="32" t="n">
        <x:f>'Observed Data'!C48*'Unit Map'!$I$16</x:f>
        <x:v>26179.87056715773</x:v>
      </x:c>
      <x:c r="R103" s="32" t="n">
        <x:f>'Inputs'!$B$14*'Unit Map'!$I$16</x:f>
        <x:v>73158.88668371909</x:v>
      </x:c>
      <x:c r="S103" s="32"/>
      <x:c r="T103" s="32" t="n">
        <x:f>'Results'!A48</x:f>
        <x:v>3623.3087808</x:v>
      </x:c>
      <x:c r="U103" s="32" t="n">
        <x:f>'Survey'!B48*'Unit Map'!$I$18</x:f>
        <x:v>1.5667122563452298</x:v>
      </x:c>
      <x:c r="V103" s="32"/>
      <x:c r="W103" s="32" t="n">
        <x:f>'Results'!A48</x:f>
        <x:v>3623.3087808</x:v>
      </x:c>
      <x:c r="X103" s="32" t="n">
        <x:f>(('Inputs'!$B$7+'Calc'!D48*'Calc'!A48)+('Calc'!G48-('Inputs'!$B$7+'Calc'!D48*'Calc'!A48))*'Chart Settings'!$B$8)*'Unit Map'!$I$14</x:f>
        <x:v>928795.0469514885</x:v>
      </x:c>
      <x:c r="Y103" s="32" t="n">
        <x:f>'Results'!B48</x:f>
        <x:v>929866.6740240534</x:v>
      </x:c>
      <x:c r="Z103" s="32" t="n">
        <x:f>(('Inputs'!$B$7+'Calc'!D48*'Calc'!A48)+('Calc'!G48-('Inputs'!$B$7+'Calc'!D48*'Calc'!A48))*'Chart Settings'!$B$10)*'Unit Map'!$I$14</x:f>
        <x:v>930938.3010966183</x:v>
      </x:c>
    </x:row>
    <x:row r="104">
      <x:c r="A104" s="32" t="n">
        <x:f>'Results'!A49</x:f>
        <x:v>3700.3805088</x:v>
      </x:c>
      <x:c r="B104" s="32" t="n">
        <x:f>'Results'!B49</x:f>
        <x:v>947040.6817547195</x:v>
      </x:c>
      <x:c r="C104" s="32" t="n">
        <x:f>'Results'!C49</x:f>
        <x:v>936201.9429977234</x:v>
      </x:c>
      <x:c r="D104" s="32" t="n">
        <x:f>('Calc'!G49+'Inputs'!$B$7*0.35)*'Unit Map'!$I$14</x:f>
        <x:v>989040.6817547195</x:v>
      </x:c>
      <x:c r="E104" s="32" t="n">
        <x:f>('Calc'!H49-'Inputs'!$B$7)*'Unit Map'!$I$14</x:f>
        <x:v>816201.9429977234</x:v>
      </x:c>
      <x:c r="F104" s="32" t="n">
        <x:f>('Calc'!H49-'Inputs'!$B$7*0.25)*'Unit Map'!$I$14</x:f>
        <x:v>906201.9429977234</x:v>
      </x:c>
      <x:c r="G104" s="32" t="n">
        <x:f>('Calc'!H49-'Inputs'!$B$7*0.5)*'Unit Map'!$I$14</x:f>
        <x:v>876201.9429977234</x:v>
      </x:c>
      <x:c r="H104" s="32" t="n">
        <x:f>'Observed Data'!B49*'Unit Map'!$I$14</x:f>
        <x:v>947342.4417326832</x:v>
      </x:c>
      <x:c r="I104" s="32" t="n">
        <x:f>'Inputs'!$B$13*'Unit Map'!$I$14</x:f>
        <x:v>2305313.3926624837</x:v>
      </x:c>
      <x:c r="J104" s="32" t="n">
        <x:f>'Results'!G49</x:f>
        <x:v>4034.182554764465</x:v>
      </x:c>
      <x:c r="K104" s="32" t="n">
        <x:f>'Results'!H49</x:f>
        <x:v>8068.36510952893</x:v>
      </x:c>
      <x:c r="L104" s="32"/>
      <x:c r="M104" s="32" t="n">
        <x:f>'Results'!A49</x:f>
        <x:v>3700.3805088</x:v>
      </x:c>
      <x:c r="N104" s="32" t="n">
        <x:f>'Results'!F49</x:f>
        <x:v>26009.720899988184</x:v>
      </x:c>
      <x:c r="O104" s="32" t="n">
        <x:f>'Results'!E49</x:f>
        <x:v>26007.776719990547</x:v>
      </x:c>
      <x:c r="P104" s="32" t="n">
        <x:f>'Results'!E49*1.1</x:f>
        <x:v>28608.554391989604</x:v>
      </x:c>
      <x:c r="Q104" s="32" t="n">
        <x:f>'Observed Data'!C49*'Unit Map'!$I$16</x:f>
        <x:v>26319.82113830598</x:v>
      </x:c>
      <x:c r="R104" s="32" t="n">
        <x:f>'Inputs'!$B$14*'Unit Map'!$I$16</x:f>
        <x:v>73158.88668371909</x:v>
      </x:c>
      <x:c r="S104" s="32"/>
      <x:c r="T104" s="32" t="n">
        <x:f>'Results'!A49</x:f>
        <x:v>3700.3805088</x:v>
      </x:c>
      <x:c r="U104" s="32" t="n">
        <x:f>'Survey'!B49*'Unit Map'!$I$18</x:f>
        <x:v>1.5677943604814664</x:v>
      </x:c>
      <x:c r="V104" s="32"/>
      <x:c r="W104" s="32" t="n">
        <x:f>'Results'!A49</x:f>
        <x:v>3700.3805088</x:v>
      </x:c>
      <x:c r="X104" s="32" t="n">
        <x:f>(('Inputs'!$B$7+'Calc'!D49*'Calc'!A49)+('Calc'!G49-('Inputs'!$B$7+'Calc'!D49*'Calc'!A49))*'Chart Settings'!$B$8)*'Unit Map'!$I$14</x:f>
        <x:v>945956.8078790199</x:v>
      </x:c>
      <x:c r="Y104" s="32" t="n">
        <x:f>'Results'!B49</x:f>
        <x:v>947040.6817547195</x:v>
      </x:c>
      <x:c r="Z104" s="32" t="n">
        <x:f>(('Inputs'!$B$7+'Calc'!D49*'Calc'!A49)+('Calc'!G49-('Inputs'!$B$7+'Calc'!D49*'Calc'!A49))*'Chart Settings'!$B$10)*'Unit Map'!$I$14</x:f>
        <x:v>948124.555630419</x:v>
      </x:c>
    </x:row>
    <x:row r="105">
      <x:c r="A105" s="32" t="n">
        <x:f>'Results'!A50</x:f>
        <x:v>3777.4683912</x:v>
      </x:c>
      <x:c r="B105" s="32" t="n">
        <x:f>'Results'!B50</x:f>
        <x:v>964227.9727141815</x:v>
      </x:c>
      <x:c r="C105" s="32" t="n">
        <x:f>'Results'!C50</x:f>
        <x:v>953247.3732166202</x:v>
      </x:c>
      <x:c r="D105" s="32" t="n">
        <x:f>('Calc'!G50+'Inputs'!$B$7*0.35)*'Unit Map'!$I$14</x:f>
        <x:v>1006227.9727141815</x:v>
      </x:c>
      <x:c r="E105" s="32" t="n">
        <x:f>('Calc'!H50-'Inputs'!$B$7)*'Unit Map'!$I$14</x:f>
        <x:v>833247.3732166202</x:v>
      </x:c>
      <x:c r="F105" s="32" t="n">
        <x:f>('Calc'!H50-'Inputs'!$B$7*0.25)*'Unit Map'!$I$14</x:f>
        <x:v>923247.3732166202</x:v>
      </x:c>
      <x:c r="G105" s="32" t="n">
        <x:f>('Calc'!H50-'Inputs'!$B$7*0.5)*'Unit Map'!$I$14</x:f>
        <x:v>893247.3732166202</x:v>
      </x:c>
      <x:c r="H105" s="32" t="n">
        <x:f>'Observed Data'!B50*'Unit Map'!$I$14</x:f>
        <x:v>978996.3423620455</x:v>
      </x:c>
      <x:c r="I105" s="32" t="n">
        <x:f>'Inputs'!$B$13*'Unit Map'!$I$14</x:f>
        <x:v>2305313.3926624837</x:v>
      </x:c>
      <x:c r="J105" s="32" t="n">
        <x:f>'Results'!G50</x:f>
        <x:v>4341.399783443597</x:v>
      </x:c>
      <x:c r="K105" s="32" t="n">
        <x:f>'Results'!H50</x:f>
        <x:v>8682.799566887194</x:v>
      </x:c>
      <x:c r="L105" s="32"/>
      <x:c r="M105" s="32" t="n">
        <x:f>'Results'!A50</x:f>
        <x:v>3777.4683912</x:v>
      </x:c>
      <x:c r="N105" s="32" t="n">
        <x:f>'Results'!F50</x:f>
        <x:v>26011.260196282372</x:v>
      </x:c>
      <x:c r="O105" s="32" t="n">
        <x:f>'Results'!E50</x:f>
        <x:v>26009.0081570259</x:v>
      </x:c>
      <x:c r="P105" s="32" t="n">
        <x:f>'Results'!E50*1.1</x:f>
        <x:v>28609.90897272849</x:v>
      </x:c>
      <x:c r="Q105" s="32" t="n">
        <x:f>'Observed Data'!C50*'Unit Map'!$I$16</x:f>
        <x:v>26172.965403732607</x:v>
      </x:c>
      <x:c r="R105" s="32" t="n">
        <x:f>'Inputs'!$B$14*'Unit Map'!$I$16</x:f>
        <x:v>73158.88668371909</x:v>
      </x:c>
      <x:c r="S105" s="32"/>
      <x:c r="T105" s="32" t="n">
        <x:f>'Results'!A50</x:f>
        <x:v>3777.4683912</x:v>
      </x:c>
      <x:c r="U105" s="32" t="n">
        <x:f>'Survey'!B50*'Unit Map'!$I$18</x:f>
        <x:v>1.5669042425629494</x:v>
      </x:c>
      <x:c r="V105" s="32"/>
      <x:c r="W105" s="32" t="n">
        <x:f>'Results'!A50</x:f>
        <x:v>3777.4683912</x:v>
      </x:c>
      <x:c r="X105" s="32" t="n">
        <x:f>(('Inputs'!$B$7+'Calc'!D50*'Calc'!A50)+('Calc'!G50-('Inputs'!$B$7+'Calc'!D50*'Calc'!A50))*'Chart Settings'!$B$8)*'Unit Map'!$I$14</x:f>
        <x:v>963129.9127644254</x:v>
      </x:c>
      <x:c r="Y105" s="32" t="n">
        <x:f>'Results'!B50</x:f>
        <x:v>964227.9727141815</x:v>
      </x:c>
      <x:c r="Z105" s="32" t="n">
        <x:f>(('Inputs'!$B$7+'Calc'!D50*'Calc'!A50)+('Calc'!G50-('Inputs'!$B$7+'Calc'!D50*'Calc'!A50))*'Chart Settings'!$B$10)*'Unit Map'!$I$14</x:f>
        <x:v>965326.0326639377</x:v>
      </x:c>
    </x:row>
    <x:row r="106">
      <x:c r="A106" s="32" t="n">
        <x:f>'Results'!A51</x:f>
        <x:v>3854.1542424</x:v>
      </x:c>
      <x:c r="B106" s="32" t="n">
        <x:f>'Results'!B51</x:f>
        <x:v>981335.4551047519</x:v>
      </x:c>
      <x:c r="C106" s="32" t="n">
        <x:f>'Results'!C51</x:f>
        <x:v>970194.0804175219</x:v>
      </x:c>
      <x:c r="D106" s="32" t="n">
        <x:f>('Calc'!G51+'Inputs'!$B$7*0.35)*'Unit Map'!$I$14</x:f>
        <x:v>1023335.4551047519</x:v>
      </x:c>
      <x:c r="E106" s="32" t="n">
        <x:f>('Calc'!H51-'Inputs'!$B$7)*'Unit Map'!$I$14</x:f>
        <x:v>850194.0804175219</x:v>
      </x:c>
      <x:c r="F106" s="32" t="n">
        <x:f>('Calc'!H51-'Inputs'!$B$7*0.25)*'Unit Map'!$I$14</x:f>
        <x:v>940194.0804175219</x:v>
      </x:c>
      <x:c r="G106" s="32" t="n">
        <x:f>('Calc'!H51-'Inputs'!$B$7*0.5)*'Unit Map'!$I$14</x:f>
        <x:v>910194.0804175219</x:v>
      </x:c>
      <x:c r="H106" s="32" t="n">
        <x:f>'Observed Data'!B51*'Unit Map'!$I$14</x:f>
        <x:v>997264.6789186178</x:v>
      </x:c>
      <x:c r="I106" s="32" t="n">
        <x:f>'Inputs'!$B$13*'Unit Map'!$I$14</x:f>
        <x:v>2305313.3926624837</x:v>
      </x:c>
      <x:c r="J106" s="32" t="n">
        <x:f>'Results'!G51</x:f>
        <x:v>4633.867599663519</x:v>
      </x:c>
      <x:c r="K106" s="32" t="n">
        <x:f>'Results'!H51</x:f>
        <x:v>9267.735199327039</x:v>
      </x:c>
      <x:c r="L106" s="32"/>
      <x:c r="M106" s="32" t="n">
        <x:f>'Results'!A51</x:f>
        <x:v>3854.1542424</x:v>
      </x:c>
      <x:c r="N106" s="32" t="n">
        <x:f>'Results'!F51</x:f>
        <x:v>26012.761530679953</x:v>
      </x:c>
      <x:c r="O106" s="32" t="n">
        <x:f>'Results'!E51</x:f>
        <x:v>26010.209224543964</x:v>
      </x:c>
      <x:c r="P106" s="32" t="n">
        <x:f>'Results'!E51*1.1</x:f>
        <x:v>28611.23014699836</x:v>
      </x:c>
      <x:c r="Q106" s="32" t="n">
        <x:f>'Observed Data'!C51*'Unit Map'!$I$16</x:f>
        <x:v>25875.316759319725</x:v>
      </x:c>
      <x:c r="R106" s="32" t="n">
        <x:f>'Inputs'!$B$14*'Unit Map'!$I$16</x:f>
        <x:v>73158.88668371909</x:v>
      </x:c>
      <x:c r="S106" s="32"/>
      <x:c r="T106" s="32" t="n">
        <x:f>'Results'!A51</x:f>
        <x:v>3854.1542424</x:v>
      </x:c>
      <x:c r="U106" s="32" t="n">
        <x:f>'Survey'!B51*'Unit Map'!$I$18</x:f>
        <x:v>1.5644084217325975</x:v>
      </x:c>
      <x:c r="V106" s="32"/>
      <x:c r="W106" s="32" t="n">
        <x:f>'Results'!A51</x:f>
        <x:v>3854.1542424</x:v>
      </x:c>
      <x:c r="X106" s="32" t="n">
        <x:f>(('Inputs'!$B$7+'Calc'!D51*'Calc'!A51)+('Calc'!G51-('Inputs'!$B$7+'Calc'!D51*'Calc'!A51))*'Chart Settings'!$B$8)*'Unit Map'!$I$14</x:f>
        <x:v>980221.3176360289</x:v>
      </x:c>
      <x:c r="Y106" s="32" t="n">
        <x:f>'Results'!B51</x:f>
        <x:v>981335.4551047519</x:v>
      </x:c>
      <x:c r="Z106" s="32" t="n">
        <x:f>(('Inputs'!$B$7+'Calc'!D51*'Calc'!A51)+('Calc'!G51-('Inputs'!$B$7+'Calc'!D51*'Calc'!A51))*'Chart Settings'!$B$10)*'Unit Map'!$I$14</x:f>
        <x:v>982449.5925734749</x:v>
      </x:c>
    </x:row>
    <x:row r="107">
      <x:c r="A107" s="32" t="n">
        <x:f>'Results'!A52</x:f>
        <x:v>3930.2240928</x:v>
      </x:c>
      <x:c r="B107" s="32" t="n">
        <x:f>'Results'!B52</x:f>
        <x:v>998314.2641407177</x:v>
      </x:c>
      <x:c r="C107" s="32" t="n">
        <x:f>'Results'!C52</x:f>
        <x:v>986995.911058625</x:v>
      </x:c>
      <x:c r="D107" s="32" t="n">
        <x:f>('Calc'!G52+'Inputs'!$B$7*0.35)*'Unit Map'!$I$14</x:f>
        <x:v>1040314.2641407177</x:v>
      </x:c>
      <x:c r="E107" s="32" t="n">
        <x:f>('Calc'!H52-'Inputs'!$B$7)*'Unit Map'!$I$14</x:f>
        <x:v>866995.911058625</x:v>
      </x:c>
      <x:c r="F107" s="32" t="n">
        <x:f>('Calc'!H52-'Inputs'!$B$7*0.25)*'Unit Map'!$I$14</x:f>
        <x:v>956995.911058625</x:v>
      </x:c>
      <x:c r="G107" s="32" t="n">
        <x:f>('Calc'!H52-'Inputs'!$B$7*0.5)*'Unit Map'!$I$14</x:f>
        <x:v>926995.911058625</x:v>
      </x:c>
      <x:c r="H107" s="32" t="n">
        <x:f>'Observed Data'!B52*'Unit Map'!$I$14</x:f>
        <x:v>1000534.830740535</x:v>
      </x:c>
      <x:c r="I107" s="32" t="n">
        <x:f>'Inputs'!$B$13*'Unit Map'!$I$14</x:f>
        <x:v>2305313.3926624837</x:v>
      </x:c>
      <x:c r="J107" s="32" t="n">
        <x:f>'Results'!G52</x:f>
        <x:v>4881.413205013298</x:v>
      </x:c>
      <x:c r="K107" s="32" t="n">
        <x:f>'Results'!H52</x:f>
        <x:v>9762.826410026595</x:v>
      </x:c>
      <x:c r="L107" s="32"/>
      <x:c r="M107" s="32" t="n">
        <x:f>'Results'!A52</x:f>
        <x:v>3930.2240928</x:v>
      </x:c>
      <x:c r="N107" s="32" t="n">
        <x:f>'Results'!F52</x:f>
        <x:v>26014.047660092234</x:v>
      </x:c>
      <x:c r="O107" s="32" t="n">
        <x:f>'Results'!E52</x:f>
        <x:v>26011.238128073786</x:v>
      </x:c>
      <x:c r="P107" s="32" t="n">
        <x:f>'Results'!E52*1.1</x:f>
        <x:v>28612.36194088117</x:v>
      </x:c>
      <x:c r="Q107" s="32" t="n">
        <x:f>'Observed Data'!C52*'Unit Map'!$I$16</x:f>
        <x:v>25701.49563778156</x:v>
      </x:c>
      <x:c r="R107" s="32" t="n">
        <x:f>'Inputs'!$B$14*'Unit Map'!$I$16</x:f>
        <x:v>73158.88668371909</x:v>
      </x:c>
      <x:c r="S107" s="32"/>
      <x:c r="T107" s="32" t="n">
        <x:f>'Results'!A52</x:f>
        <x:v>3930.2240928</x:v>
      </x:c>
      <x:c r="U107" s="32" t="n">
        <x:f>'Survey'!B52*'Unit Map'!$I$18</x:f>
        <x:v>1.5609526698136487</x:v>
      </x:c>
      <x:c r="V107" s="32"/>
      <x:c r="W107" s="32" t="n">
        <x:f>'Results'!A52</x:f>
        <x:v>3930.2240928</x:v>
      </x:c>
      <x:c r="X107" s="32" t="n">
        <x:f>(('Inputs'!$B$7+'Calc'!D52*'Calc'!A52)+('Calc'!G52-('Inputs'!$B$7+'Calc'!D52*'Calc'!A52))*'Chart Settings'!$B$8)*'Unit Map'!$I$14</x:f>
        <x:v>997182.4288325084</x:v>
      </x:c>
      <x:c r="Y107" s="32" t="n">
        <x:f>'Results'!B52</x:f>
        <x:v>998314.2641407177</x:v>
      </x:c>
      <x:c r="Z107" s="32" t="n">
        <x:f>(('Inputs'!$B$7+'Calc'!D52*'Calc'!A52)+('Calc'!G52-('Inputs'!$B$7+'Calc'!D52*'Calc'!A52))*'Chart Settings'!$B$10)*'Unit Map'!$I$14</x:f>
        <x:v>999446.099448927</x:v>
      </x:c>
    </x:row>
    <x:row r="108">
      <x:c r="A108" s="32" t="n">
        <x:f>'Results'!A53</x:f>
        <x:v>4005.779136</x:v>
      </x:c>
      <x:c r="B108" s="32" t="n">
        <x:f>'Results'!B53</x:f>
        <x:v>1015185.3615536197</x:v>
      </x:c>
      <x:c r="C108" s="32" t="n">
        <x:f>'Results'!C53</x:f>
        <x:v>1003676.8408510318</x:v>
      </x:c>
      <x:c r="D108" s="32" t="n">
        <x:f>('Calc'!G53+'Inputs'!$B$7*0.35)*'Unit Map'!$I$14</x:f>
        <x:v>1057185.3615536196</x:v>
      </x:c>
      <x:c r="E108" s="32" t="n">
        <x:f>('Calc'!H53-'Inputs'!$B$7)*'Unit Map'!$I$14</x:f>
        <x:v>883676.8408510318</x:v>
      </x:c>
      <x:c r="F108" s="32" t="n">
        <x:f>('Calc'!H53-'Inputs'!$B$7*0.25)*'Unit Map'!$I$14</x:f>
        <x:v>973676.8408510318</x:v>
      </x:c>
      <x:c r="G108" s="32" t="n">
        <x:f>('Calc'!H53-'Inputs'!$B$7*0.5)*'Unit Map'!$I$14</x:f>
        <x:v>943676.8408510318</x:v>
      </x:c>
      <x:c r="H108" s="32" t="n">
        <x:f>'Observed Data'!B53*'Unit Map'!$I$14</x:f>
        <x:v>1001146.7856034396</x:v>
      </x:c>
      <x:c r="I108" s="32" t="n">
        <x:f>'Inputs'!$B$13*'Unit Map'!$I$14</x:f>
        <x:v>2305313.3926624837</x:v>
      </x:c>
      <x:c r="J108" s="32" t="n">
        <x:f>'Results'!G53</x:f>
        <x:v>5077.246908811857</x:v>
      </x:c>
      <x:c r="K108" s="32" t="n">
        <x:f>'Results'!H53</x:f>
        <x:v>10154.493817623714</x:v>
      </x:c>
      <x:c r="L108" s="32"/>
      <x:c r="M108" s="32" t="n">
        <x:f>'Results'!A53</x:f>
        <x:v>4005.779136</x:v>
      </x:c>
      <x:c r="N108" s="32" t="n">
        <x:f>'Results'!F53</x:f>
        <x:v>26015.09455487681</x:v>
      </x:c>
      <x:c r="O108" s="32" t="n">
        <x:f>'Results'!E53</x:f>
        <x:v>26012.075643901448</x:v>
      </x:c>
      <x:c r="P108" s="32" t="n">
        <x:f>'Results'!E53*1.1</x:f>
        <x:v>28613.283208291596</x:v>
      </x:c>
      <x:c r="Q108" s="32" t="n">
        <x:f>'Observed Data'!C53*'Unit Map'!$I$16</x:f>
        <x:v>25812.257848125988</x:v>
      </x:c>
      <x:c r="R108" s="32" t="n">
        <x:f>'Inputs'!$B$14*'Unit Map'!$I$16</x:f>
        <x:v>73158.88668371909</x:v>
      </x:c>
      <x:c r="S108" s="32"/>
      <x:c r="T108" s="32" t="n">
        <x:f>'Results'!A53</x:f>
        <x:v>4005.779136</x:v>
      </x:c>
      <x:c r="U108" s="32" t="n">
        <x:f>'Survey'!B53*'Unit Map'!$I$18</x:f>
        <x:v>1.5572002119218606</x:v>
      </x:c>
      <x:c r="V108" s="32"/>
      <x:c r="W108" s="32" t="n">
        <x:f>'Results'!A53</x:f>
        <x:v>4005.779136</x:v>
      </x:c>
      <x:c r="X108" s="32" t="n">
        <x:f>(('Inputs'!$B$7+'Calc'!D53*'Calc'!A53)+('Calc'!G53-('Inputs'!$B$7+'Calc'!D53*'Calc'!A53))*'Chart Settings'!$B$8)*'Unit Map'!$I$14</x:f>
        <x:v>1014034.5094833609</x:v>
      </x:c>
      <x:c r="Y108" s="32" t="n">
        <x:f>'Results'!B53</x:f>
        <x:v>1015185.3615536197</x:v>
      </x:c>
      <x:c r="Z108" s="32" t="n">
        <x:f>(('Inputs'!$B$7+'Calc'!D53*'Calc'!A53)+('Calc'!G53-('Inputs'!$B$7+'Calc'!D53*'Calc'!A53))*'Chart Settings'!$B$10)*'Unit Map'!$I$14</x:f>
        <x:v>1016336.2136238785</x:v>
      </x:c>
    </x:row>
    <x:row r="109">
      <x:c r="A109" s="32" t="n">
        <x:f>'Results'!A54</x:f>
        <x:v>4081.1817792</x:v>
      </x:c>
      <x:c r="B109" s="32" t="n">
        <x:f>'Results'!B54</x:f>
        <x:v>1032028.0125999552</x:v>
      </x:c>
      <x:c r="C109" s="32" t="n">
        <x:f>'Results'!C54</x:f>
        <x:v>1020318.5401385546</x:v>
      </x:c>
      <x:c r="D109" s="32" t="n">
        <x:f>('Calc'!G54+'Inputs'!$B$7*0.35)*'Unit Map'!$I$14</x:f>
        <x:v>1074028.0125999553</x:v>
      </x:c>
      <x:c r="E109" s="32" t="n">
        <x:f>('Calc'!H54-'Inputs'!$B$7)*'Unit Map'!$I$14</x:f>
        <x:v>900318.5401385546</x:v>
      </x:c>
      <x:c r="F109" s="32" t="n">
        <x:f>('Calc'!H54-'Inputs'!$B$7*0.25)*'Unit Map'!$I$14</x:f>
        <x:v>990318.5401385546</x:v>
      </x:c>
      <x:c r="G109" s="32" t="n">
        <x:f>('Calc'!H54-'Inputs'!$B$7*0.5)*'Unit Map'!$I$14</x:f>
        <x:v>960318.5401385546</x:v>
      </x:c>
      <x:c r="H109" s="32" t="n">
        <x:f>'Observed Data'!B54*'Unit Map'!$I$14</x:f>
        <x:v>1014310.622414648</x:v>
      </x:c>
      <x:c r="I109" s="32" t="n">
        <x:f>'Inputs'!$B$13*'Unit Map'!$I$14</x:f>
        <x:v>2305313.3926624837</x:v>
      </x:c>
      <x:c r="J109" s="32" t="n">
        <x:f>'Results'!G54</x:f>
        <x:v>5224.495357305971</x:v>
      </x:c>
      <x:c r="K109" s="32" t="n">
        <x:f>'Results'!H54</x:f>
        <x:v>10448.990714611942</x:v>
      </x:c>
      <x:c r="L109" s="32"/>
      <x:c r="M109" s="32" t="n">
        <x:f>'Results'!A54</x:f>
        <x:v>4081.1817792</x:v>
      </x:c>
      <x:c r="N109" s="32" t="n">
        <x:f>'Results'!F54</x:f>
        <x:v>26015.950545855758</x:v>
      </x:c>
      <x:c r="O109" s="32" t="n">
        <x:f>'Results'!E54</x:f>
        <x:v>26012.760436684606</x:v>
      </x:c>
      <x:c r="P109" s="32" t="n">
        <x:f>'Results'!E54*1.1</x:f>
        <x:v>28614.03648035307</x:v>
      </x:c>
      <x:c r="Q109" s="32" t="n">
        <x:f>'Observed Data'!C54*'Unit Map'!$I$16</x:f>
        <x:v>26106.591338638085</x:v>
      </x:c>
      <x:c r="R109" s="32" t="n">
        <x:f>'Inputs'!$B$14*'Unit Map'!$I$16</x:f>
        <x:v>73158.88668371909</x:v>
      </x:c>
      <x:c r="S109" s="32"/>
      <x:c r="T109" s="32" t="n">
        <x:f>'Results'!A54</x:f>
        <x:v>4081.1817792</x:v>
      </x:c>
      <x:c r="U109" s="32" t="n">
        <x:f>'Survey'!B54*'Unit Map'!$I$18</x:f>
        <x:v>1.553727006710392</x:v>
      </x:c>
      <x:c r="V109" s="32"/>
      <x:c r="W109" s="32" t="n">
        <x:f>'Results'!A54</x:f>
        <x:v>4081.1817792</x:v>
      </x:c>
      <x:c r="X109" s="32" t="n">
        <x:f>(('Inputs'!$B$7+'Calc'!D54*'Calc'!A54)+('Calc'!G54-('Inputs'!$B$7+'Calc'!D54*'Calc'!A54))*'Chart Settings'!$B$8)*'Unit Map'!$I$14</x:f>
        <x:v>1030857.0653538151</x:v>
      </x:c>
      <x:c r="Y109" s="32" t="n">
        <x:f>'Results'!B54</x:f>
        <x:v>1032028.0125999552</x:v>
      </x:c>
      <x:c r="Z109" s="32" t="n">
        <x:f>(('Inputs'!$B$7+'Calc'!D54*'Calc'!A54)+('Calc'!G54-('Inputs'!$B$7+'Calc'!D54*'Calc'!A54))*'Chart Settings'!$B$10)*'Unit Map'!$I$14</x:f>
        <x:v>1033198.9598460953</x:v>
      </x:c>
    </x:row>
    <x:row r="110">
      <x:c r="A110" s="32" t="n">
        <x:f>'Results'!A55</x:f>
        <x:v>4156.8727632</x:v>
      </x:c>
      <x:c r="B110" s="32" t="n">
        <x:f>'Results'!B55</x:f>
        <x:v>1048939.150757369</x:v>
      </x:c>
      <x:c r="C110" s="32" t="n">
        <x:f>'Results'!C55</x:f>
        <x:v>1037019.7969557836</x:v>
      </x:c>
      <x:c r="D110" s="32" t="n">
        <x:f>('Calc'!G55+'Inputs'!$B$7*0.35)*'Unit Map'!$I$14</x:f>
        <x:v>1090939.150757369</x:v>
      </x:c>
      <x:c r="E110" s="32" t="n">
        <x:f>('Calc'!H55-'Inputs'!$B$7)*'Unit Map'!$I$14</x:f>
        <x:v>917019.7969557836</x:v>
      </x:c>
      <x:c r="F110" s="32" t="n">
        <x:f>('Calc'!H55-'Inputs'!$B$7*0.25)*'Unit Map'!$I$14</x:f>
        <x:v>1007019.7969557836</x:v>
      </x:c>
      <x:c r="G110" s="32" t="n">
        <x:f>('Calc'!H55-'Inputs'!$B$7*0.5)*'Unit Map'!$I$14</x:f>
        <x:v>977019.7969557836</x:v>
      </x:c>
      <x:c r="H110" s="32" t="n">
        <x:f>'Observed Data'!B55*'Unit Map'!$I$14</x:f>
        <x:v>1043985.2761453318</x:v>
      </x:c>
      <x:c r="I110" s="32" t="n">
        <x:f>'Inputs'!$B$13*'Unit Map'!$I$14</x:f>
        <x:v>2305313.3926624837</x:v>
      </x:c>
      <x:c r="J110" s="32" t="n">
        <x:f>'Results'!G55</x:f>
        <x:v>5329.133078724494</x:v>
      </x:c>
      <x:c r="K110" s="32" t="n">
        <x:f>'Results'!H55</x:f>
        <x:v>10658.266157448988</x:v>
      </x:c>
      <x:c r="L110" s="32"/>
      <x:c r="M110" s="32" t="n">
        <x:f>'Results'!A55</x:f>
        <x:v>4156.8727632</x:v>
      </x:c>
      <x:c r="N110" s="32" t="n">
        <x:f>'Results'!F55</x:f>
        <x:v>26016.659331377163</x:v>
      </x:c>
      <x:c r="O110" s="32" t="n">
        <x:f>'Results'!E55</x:f>
        <x:v>26013.327465101727</x:v>
      </x:c>
      <x:c r="P110" s="32" t="n">
        <x:f>'Results'!E55*1.1</x:f>
        <x:v>28614.660211611903</x:v>
      </x:c>
      <x:c r="Q110" s="32" t="n">
        <x:f>'Observed Data'!C55*'Unit Map'!$I$16</x:f>
        <x:v>26314.551192604093</x:v>
      </x:c>
      <x:c r="R110" s="32" t="n">
        <x:f>'Inputs'!$B$14*'Unit Map'!$I$16</x:f>
        <x:v>73158.88668371909</x:v>
      </x:c>
      <x:c r="S110" s="32"/>
      <x:c r="T110" s="32" t="n">
        <x:f>'Results'!A55</x:f>
        <x:v>4156.8727632</x:v>
      </x:c>
      <x:c r="U110" s="32" t="n">
        <x:f>'Survey'!B55*'Unit Map'!$I$18</x:f>
        <x:v>1.5508821200296412</x:v>
      </x:c>
      <x:c r="V110" s="32"/>
      <x:c r="W110" s="32" t="n">
        <x:f>'Results'!A55</x:f>
        <x:v>4156.8727632</x:v>
      </x:c>
      <x:c r="X110" s="32" t="n">
        <x:f>(('Inputs'!$B$7+'Calc'!D55*'Calc'!A55)+('Calc'!G55-('Inputs'!$B$7+'Calc'!D55*'Calc'!A55))*'Chart Settings'!$B$8)*'Unit Map'!$I$14</x:f>
        <x:v>1047747.2153772104</x:v>
      </x:c>
      <x:c r="Y110" s="32" t="n">
        <x:f>'Results'!B55</x:f>
        <x:v>1048939.150757369</x:v>
      </x:c>
      <x:c r="Z110" s="32" t="n">
        <x:f>(('Inputs'!$B$7+'Calc'!D55*'Calc'!A55)+('Calc'!G55-('Inputs'!$B$7+'Calc'!D55*'Calc'!A55))*'Chart Settings'!$B$10)*'Unit Map'!$I$14</x:f>
        <x:v>1050131.0861375274</x:v>
      </x:c>
    </x:row>
    <x:row r="111">
      <x:c r="A111" s="32" t="n">
        <x:f>'Results'!A56</x:f>
        <x:v>4233.1456104</x:v>
      </x:c>
      <x:c r="B111" s="32" t="n">
        <x:f>'Results'!B56</x:f>
        <x:v>1065983.2590436984</x:v>
      </x:c>
      <x:c r="C111" s="32" t="n">
        <x:f>'Results'!C56</x:f>
        <x:v>1053846.4739392952</x:v>
      </x:c>
      <x:c r="D111" s="32" t="n">
        <x:f>('Calc'!G56+'Inputs'!$B$7*0.35)*'Unit Map'!$I$14</x:f>
        <x:v>1107983.2590436984</x:v>
      </x:c>
      <x:c r="E111" s="32" t="n">
        <x:f>('Calc'!H56-'Inputs'!$B$7)*'Unit Map'!$I$14</x:f>
        <x:v>933846.4739392952</x:v>
      </x:c>
      <x:c r="F111" s="32" t="n">
        <x:f>('Calc'!H56-'Inputs'!$B$7*0.25)*'Unit Map'!$I$14</x:f>
        <x:v>1023846.4739392952</x:v>
      </x:c>
      <x:c r="G111" s="32" t="n">
        <x:f>('Calc'!H56-'Inputs'!$B$7*0.5)*'Unit Map'!$I$14</x:f>
        <x:v>993846.4739392952</x:v>
      </x:c>
      <x:c r="H111" s="32" t="n">
        <x:f>'Observed Data'!B56*'Unit Map'!$I$14</x:f>
        <x:v>1078843.4145047888</x:v>
      </x:c>
      <x:c r="I111" s="32" t="n">
        <x:f>'Inputs'!$B$13*'Unit Map'!$I$14</x:f>
        <x:v>2305313.3926624837</x:v>
      </x:c>
      <x:c r="J111" s="32" t="n">
        <x:f>'Results'!G56</x:f>
        <x:v>5403.408250563843</x:v>
      </x:c>
      <x:c r="K111" s="32" t="n">
        <x:f>'Results'!H56</x:f>
        <x:v>10806.816501127685</x:v>
      </x:c>
      <x:c r="L111" s="32"/>
      <x:c r="M111" s="32" t="n">
        <x:f>'Results'!A56</x:f>
        <x:v>4233.1456104</x:v>
      </x:c>
      <x:c r="N111" s="32" t="n">
        <x:f>'Results'!F56</x:f>
        <x:v>26017.258609661185</x:v>
      </x:c>
      <x:c r="O111" s="32" t="n">
        <x:f>'Results'!E56</x:f>
        <x:v>26013.806887728948</x:v>
      </x:c>
      <x:c r="P111" s="32" t="n">
        <x:f>'Results'!E56*1.1</x:f>
        <x:v>28615.187576501845</x:v>
      </x:c>
      <x:c r="Q111" s="32" t="n">
        <x:f>'Observed Data'!C56*'Unit Map'!$I$16</x:f>
        <x:v>26245.481959210923</x:v>
      </x:c>
      <x:c r="R111" s="32" t="n">
        <x:f>'Inputs'!$B$14*'Unit Map'!$I$16</x:f>
        <x:v>73158.88668371909</x:v>
      </x:c>
      <x:c r="S111" s="32"/>
      <x:c r="T111" s="32" t="n">
        <x:f>'Results'!A56</x:f>
        <x:v>4233.1456104</x:v>
      </x:c>
      <x:c r="U111" s="32" t="n">
        <x:f>'Survey'!B56*'Unit Map'!$I$18</x:f>
        <x:v>1.548752818342208</x:v>
      </x:c>
      <x:c r="V111" s="32"/>
      <x:c r="W111" s="32" t="n">
        <x:f>'Results'!A56</x:f>
        <x:v>4233.1456104</x:v>
      </x:c>
      <x:c r="X111" s="32" t="n">
        <x:f>(('Inputs'!$B$7+'Calc'!D56*'Calc'!A56)+('Calc'!G56-('Inputs'!$B$7+'Calc'!D56*'Calc'!A56))*'Chart Settings'!$B$8)*'Unit Map'!$I$14</x:f>
        <x:v>1064769.5805332582</x:v>
      </x:c>
      <x:c r="Y111" s="32" t="n">
        <x:f>'Results'!B56</x:f>
        <x:v>1065983.2590436984</x:v>
      </x:c>
      <x:c r="Z111" s="32" t="n">
        <x:f>(('Inputs'!$B$7+'Calc'!D56*'Calc'!A56)+('Calc'!G56-('Inputs'!$B$7+'Calc'!D56*'Calc'!A56))*'Chart Settings'!$B$10)*'Unit Map'!$I$14</x:f>
        <x:v>1067196.9375541387</x:v>
      </x:c>
    </x:row>
    <x:row r="112">
      <x:c r="A112" s="32" t="n">
        <x:f>'Results'!A57</x:f>
        <x:v>4309.9975776</x:v>
      </x:c>
      <x:c r="B112" s="32" t="n">
        <x:f>'Results'!B57</x:f>
        <x:v>1083158.5300937633</x:v>
      </x:c>
      <x:c r="C112" s="32" t="n">
        <x:f>'Results'!C57</x:f>
        <x:v>1070799.1602705836</x:v>
      </x:c>
      <x:c r="D112" s="32" t="n">
        <x:f>('Calc'!G57+'Inputs'!$B$7*0.35)*'Unit Map'!$I$14</x:f>
        <x:v>1125158.5300937633</x:v>
      </x:c>
      <x:c r="E112" s="32" t="n">
        <x:f>('Calc'!H57-'Inputs'!$B$7)*'Unit Map'!$I$14</x:f>
        <x:v>950799.1602705836</x:v>
      </x:c>
      <x:c r="F112" s="32" t="n">
        <x:f>('Calc'!H57-'Inputs'!$B$7*0.25)*'Unit Map'!$I$14</x:f>
        <x:v>1040799.1602705836</x:v>
      </x:c>
      <x:c r="G112" s="32" t="n">
        <x:f>('Calc'!H57-'Inputs'!$B$7*0.5)*'Unit Map'!$I$14</x:f>
        <x:v>1010799.1602705836</x:v>
      </x:c>
      <x:c r="H112" s="32" t="n">
        <x:f>'Observed Data'!B57*'Unit Map'!$I$14</x:f>
        <x:v>1102394.6637559647</x:v>
      </x:c>
      <x:c r="I112" s="32" t="n">
        <x:f>'Inputs'!$B$13*'Unit Map'!$I$14</x:f>
        <x:v>2305313.3926624837</x:v>
      </x:c>
      <x:c r="J112" s="32" t="n">
        <x:f>'Results'!G57</x:f>
        <x:v>5446.429733762008</x:v>
      </x:c>
      <x:c r="K112" s="32" t="n">
        <x:f>'Results'!H57</x:f>
        <x:v>10892.859467524017</x:v>
      </x:c>
      <x:c r="L112" s="32"/>
      <x:c r="M112" s="32" t="n">
        <x:f>'Results'!A57</x:f>
        <x:v>4309.9975776</x:v>
      </x:c>
      <x:c r="N112" s="32" t="n">
        <x:f>'Results'!F57</x:f>
        <x:v>26017.667662052878</x:v>
      </x:c>
      <x:c r="O112" s="32" t="n">
        <x:f>'Results'!E57</x:f>
        <x:v>26014.1341296423</x:v>
      </x:c>
      <x:c r="P112" s="32" t="n">
        <x:f>'Results'!E57*1.1</x:f>
        <x:v>28615.547542606535</x:v>
      </x:c>
      <x:c r="Q112" s="32" t="n">
        <x:f>'Observed Data'!C57*'Unit Map'!$I$16</x:f>
        <x:v>25963.253361240124</x:v>
      </x:c>
      <x:c r="R112" s="32" t="n">
        <x:f>'Inputs'!$B$14*'Unit Map'!$I$16</x:f>
        <x:v>73158.88668371909</x:v>
      </x:c>
      <x:c r="S112" s="32"/>
      <x:c r="T112" s="32" t="n">
        <x:f>'Results'!A57</x:f>
        <x:v>4309.9975776</x:v>
      </x:c>
      <x:c r="U112" s="32" t="n">
        <x:f>'Survey'!B57*'Unit Map'!$I$18</x:f>
        <x:v>1.5472343818929732</x:v>
      </x:c>
      <x:c r="V112" s="32"/>
      <x:c r="W112" s="32" t="n">
        <x:f>'Results'!A57</x:f>
        <x:v>4309.9975776</x:v>
      </x:c>
      <x:c r="X112" s="32" t="n">
        <x:f>(('Inputs'!$B$7+'Calc'!D57*'Calc'!A57)+('Calc'!G57-('Inputs'!$B$7+'Calc'!D57*'Calc'!A57))*'Chart Settings'!$B$8)*'Unit Map'!$I$14</x:f>
        <x:v>1081922.5931114452</x:v>
      </x:c>
      <x:c r="Y112" s="32" t="n">
        <x:f>'Results'!B57</x:f>
        <x:v>1083158.5300937633</x:v>
      </x:c>
      <x:c r="Z112" s="32" t="n">
        <x:f>(('Inputs'!$B$7+'Calc'!D57*'Calc'!A57)+('Calc'!G57-('Inputs'!$B$7+'Calc'!D57*'Calc'!A57))*'Chart Settings'!$B$10)*'Unit Map'!$I$14</x:f>
        <x:v>1084394.4670760813</x:v>
      </x:c>
    </x:row>
    <x:row r="113">
      <x:c r="A113" s="32" t="n">
        <x:f>'Results'!A58</x:f>
        <x:v>4387.1302656</x:v>
      </x:c>
      <x:c r="B113" s="32" t="n">
        <x:f>'Results'!B58</x:f>
        <x:v>1100397.3144771114</x:v>
      </x:c>
      <x:c r="C113" s="32" t="n">
        <x:f>'Results'!C58</x:f>
        <x:v>1087812.9940658004</x:v>
      </x:c>
      <x:c r="D113" s="32" t="n">
        <x:f>('Calc'!G58+'Inputs'!$B$7*0.35)*'Unit Map'!$I$14</x:f>
        <x:v>1142397.3144771114</x:v>
      </x:c>
      <x:c r="E113" s="32" t="n">
        <x:f>('Calc'!H58-'Inputs'!$B$7)*'Unit Map'!$I$14</x:f>
        <x:v>967812.9940658004</x:v>
      </x:c>
      <x:c r="F113" s="32" t="n">
        <x:f>('Calc'!H58-'Inputs'!$B$7*0.25)*'Unit Map'!$I$14</x:f>
        <x:v>1057812.9940658004</x:v>
      </x:c>
      <x:c r="G113" s="32" t="n">
        <x:f>('Calc'!H58-'Inputs'!$B$7*0.5)*'Unit Map'!$I$14</x:f>
        <x:v>1027812.9940658004</x:v>
      </x:c>
      <x:c r="H113" s="32" t="n">
        <x:f>'Observed Data'!B58*'Unit Map'!$I$14</x:f>
        <x:v>1108239.4639730041</x:v>
      </x:c>
      <x:c r="I113" s="32" t="n">
        <x:f>'Inputs'!$B$13*'Unit Map'!$I$14</x:f>
        <x:v>2305313.3926624837</x:v>
      </x:c>
      <x:c r="J113" s="32" t="n">
        <x:f>'Results'!G58</x:f>
        <x:v>5465.325847757959</x:v>
      </x:c>
      <x:c r="K113" s="32" t="n">
        <x:f>'Results'!H58</x:f>
        <x:v>10930.651695515919</x:v>
      </x:c>
      <x:c r="L113" s="32"/>
      <x:c r="M113" s="32" t="n">
        <x:f>'Results'!A58</x:f>
        <x:v>4387.1302656</x:v>
      </x:c>
      <x:c r="N113" s="32" t="n">
        <x:f>'Results'!F58</x:f>
        <x:v>26017.855452932938</x:v>
      </x:c>
      <x:c r="O113" s="32" t="n">
        <x:f>'Results'!E58</x:f>
        <x:v>26014.28436234635</x:v>
      </x:c>
      <x:c r="P113" s="32" t="n">
        <x:f>'Results'!E58*1.1</x:f>
        <x:v>28615.712798580986</x:v>
      </x:c>
      <x:c r="Q113" s="32" t="n">
        <x:f>'Observed Data'!C58*'Unit Map'!$I$16</x:f>
        <x:v>25727.622728039514</x:v>
      </x:c>
      <x:c r="R113" s="32" t="n">
        <x:f>'Inputs'!$B$14*'Unit Map'!$I$16</x:f>
        <x:v>73158.88668371909</x:v>
      </x:c>
      <x:c r="S113" s="32"/>
      <x:c r="T113" s="32" t="n">
        <x:f>'Results'!A58</x:f>
        <x:v>4387.1302656</x:v>
      </x:c>
      <x:c r="U113" s="32" t="n">
        <x:f>'Survey'!B58*'Unit Map'!$I$18</x:f>
        <x:v>1.546117371171697</x:v>
      </x:c>
      <x:c r="V113" s="32"/>
      <x:c r="W113" s="32" t="n">
        <x:f>'Results'!A58</x:f>
        <x:v>4387.1302656</x:v>
      </x:c>
      <x:c r="X113" s="32" t="n">
        <x:f>(('Inputs'!$B$7+'Calc'!D58*'Calc'!A58)+('Calc'!G58-('Inputs'!$B$7+'Calc'!D58*'Calc'!A58))*'Chart Settings'!$B$8)*'Unit Map'!$I$14</x:f>
        <x:v>1099138.8824359803</x:v>
      </x:c>
      <x:c r="Y113" s="32" t="n">
        <x:f>'Results'!B58</x:f>
        <x:v>1100397.3144771114</x:v>
      </x:c>
      <x:c r="Z113" s="32" t="n">
        <x:f>(('Inputs'!$B$7+'Calc'!D58*'Calc'!A58)+('Calc'!G58-('Inputs'!$B$7+'Calc'!D58*'Calc'!A58))*'Chart Settings'!$B$10)*'Unit Map'!$I$14</x:f>
        <x:v>1101655.7465182426</x:v>
      </x:c>
    </x:row>
    <x:row r="114">
      <x:c r="A114" s="32" t="n">
        <x:f>'Results'!A59</x:f>
        <x:v>4464.1026288</x:v>
      </x:c>
      <x:c r="B114" s="32" t="n">
        <x:f>'Results'!B59</x:f>
        <x:v>1117600.1657298983</x:v>
      </x:c>
      <x:c r="C114" s="32" t="n">
        <x:f>'Results'!C59</x:f>
        <x:v>1104791.564922813</x:v>
      </x:c>
      <x:c r="D114" s="32" t="n">
        <x:f>('Calc'!G59+'Inputs'!$B$7*0.35)*'Unit Map'!$I$14</x:f>
        <x:v>1159600.1657298983</x:v>
      </x:c>
      <x:c r="E114" s="32" t="n">
        <x:f>('Calc'!H59-'Inputs'!$B$7)*'Unit Map'!$I$14</x:f>
        <x:v>984791.5649228131</x:v>
      </x:c>
      <x:c r="F114" s="32" t="n">
        <x:f>('Calc'!H59-'Inputs'!$B$7*0.25)*'Unit Map'!$I$14</x:f>
        <x:v>1074791.564922813</x:v>
      </x:c>
      <x:c r="G114" s="32" t="n">
        <x:f>('Calc'!H59-'Inputs'!$B$7*0.5)*'Unit Map'!$I$14</x:f>
        <x:v>1044791.5649228131</x:v>
      </x:c>
      <x:c r="H114" s="32" t="n">
        <x:f>'Observed Data'!B59*'Unit Map'!$I$14</x:f>
        <x:v>1106359.116525015</x:v>
      </x:c>
      <x:c r="I114" s="32" t="n">
        <x:f>'Inputs'!$B$13*'Unit Map'!$I$14</x:f>
        <x:v>2305313.3926624837</x:v>
      </x:c>
      <x:c r="J114" s="32" t="n">
        <x:f>'Results'!G59</x:f>
        <x:v>5462.8587766814835</x:v>
      </x:c>
      <x:c r="K114" s="32" t="n">
        <x:f>'Results'!H59</x:f>
        <x:v>10925.717553362967</x:v>
      </x:c>
      <x:c r="L114" s="32"/>
      <x:c r="M114" s="32" t="n">
        <x:f>'Results'!A59</x:f>
        <x:v>4464.1026288</x:v>
      </x:c>
      <x:c r="N114" s="32" t="n">
        <x:f>'Results'!F59</x:f>
        <x:v>26017.802256414583</x:v>
      </x:c>
      <x:c r="O114" s="32" t="n">
        <x:f>'Results'!E59</x:f>
        <x:v>26014.241805131667</x:v>
      </x:c>
      <x:c r="P114" s="32" t="n">
        <x:f>'Results'!E59*1.1</x:f>
        <x:v>28615.665985644835</x:v>
      </x:c>
      <x:c r="Q114" s="32" t="n">
        <x:f>'Observed Data'!C59*'Unit Map'!$I$16</x:f>
        <x:v>25755.355406849965</x:v>
      </x:c>
      <x:c r="R114" s="32" t="n">
        <x:f>'Inputs'!$B$14*'Unit Map'!$I$16</x:f>
        <x:v>73158.88668371909</x:v>
      </x:c>
      <x:c r="S114" s="32"/>
      <x:c r="T114" s="32" t="n">
        <x:f>'Results'!A59</x:f>
        <x:v>4464.1026288</x:v>
      </x:c>
      <x:c r="U114" s="32" t="n">
        <x:f>'Survey'!B59*'Unit Map'!$I$18</x:f>
        <x:v>1.54517489337562</x:v>
      </x:c>
      <x:c r="V114" s="32"/>
      <x:c r="W114" s="32" t="n">
        <x:f>'Results'!A59</x:f>
        <x:v>4464.1026288</x:v>
      </x:c>
      <x:c r="X114" s="32" t="n">
        <x:f>(('Inputs'!$B$7+'Calc'!D59*'Calc'!A59)+('Calc'!G59-('Inputs'!$B$7+'Calc'!D59*'Calc'!A59))*'Chart Settings'!$B$8)*'Unit Map'!$I$14</x:f>
        <x:v>1116319.3056491897</x:v>
      </x:c>
      <x:c r="Y114" s="32" t="n">
        <x:f>'Results'!B59</x:f>
        <x:v>1117600.1657298983</x:v>
      </x:c>
      <x:c r="Z114" s="32" t="n">
        <x:f>(('Inputs'!$B$7+'Calc'!D59*'Calc'!A59)+('Calc'!G59-('Inputs'!$B$7+'Calc'!D59*'Calc'!A59))*'Chart Settings'!$B$10)*'Unit Map'!$I$14</x:f>
        <x:v>1118881.0258106068</x:v>
      </x:c>
    </x:row>
    <x:row r="115">
      <x:c r="A115" s="32" t="n">
        <x:f>'Results'!A60</x:f>
        <x:v>4540.555308</x:v>
      </x:c>
      <x:c r="B115" s="32" t="n">
        <x:f>'Results'!B60</x:f>
        <x:v>1134686.2127898713</x:v>
      </x:c>
      <x:c r="C115" s="32" t="n">
        <x:f>'Results'!C60</x:f>
        <x:v>1121656.1618409925</x:v>
      </x:c>
      <x:c r="D115" s="32" t="n">
        <x:f>('Calc'!G60+'Inputs'!$B$7*0.35)*'Unit Map'!$I$14</x:f>
        <x:v>1176686.2127898713</x:v>
      </x:c>
      <x:c r="E115" s="32" t="n">
        <x:f>('Calc'!H60-'Inputs'!$B$7)*'Unit Map'!$I$14</x:f>
        <x:v>1001656.1618409925</x:v>
      </x:c>
      <x:c r="F115" s="32" t="n">
        <x:f>('Calc'!H60-'Inputs'!$B$7*0.25)*'Unit Map'!$I$14</x:f>
        <x:v>1091656.1618409925</x:v>
      </x:c>
      <x:c r="G115" s="32" t="n">
        <x:f>('Calc'!H60-'Inputs'!$B$7*0.5)*'Unit Map'!$I$14</x:f>
        <x:v>1061656.1618409925</x:v>
      </x:c>
      <x:c r="H115" s="32" t="n">
        <x:f>'Observed Data'!B60*'Unit Map'!$I$14</x:f>
        <x:v>1114266.8613851145</x:v>
      </x:c>
      <x:c r="I115" s="32" t="n">
        <x:f>'Inputs'!$B$13*'Unit Map'!$I$14</x:f>
        <x:v>2305313.3926624837</x:v>
      </x:c>
      <x:c r="J115" s="32" t="n">
        <x:f>'Results'!G60</x:f>
        <x:v>5446.698722331982</x:v>
      </x:c>
      <x:c r="K115" s="32" t="n">
        <x:f>'Results'!H60</x:f>
        <x:v>10893.397444663964</x:v>
      </x:c>
      <x:c r="L115" s="32"/>
      <x:c r="M115" s="32" t="n">
        <x:f>'Results'!A60</x:f>
        <x:v>4540.555308</x:v>
      </x:c>
      <x:c r="N115" s="32" t="n">
        <x:f>'Results'!F60</x:f>
        <x:v>26017.577605004877</x:v>
      </x:c>
      <x:c r="O115" s="32" t="n">
        <x:f>'Results'!E60</x:f>
        <x:v>26014.0620840039</x:v>
      </x:c>
      <x:c r="P115" s="32" t="n">
        <x:f>'Results'!E60*1.1</x:f>
        <x:v>28615.468292404294</x:v>
      </x:c>
      <x:c r="Q115" s="32" t="n">
        <x:f>'Observed Data'!C60*'Unit Map'!$I$16</x:f>
        <x:v>26020.969365737295</x:v>
      </x:c>
      <x:c r="R115" s="32" t="n">
        <x:f>'Inputs'!$B$14*'Unit Map'!$I$16</x:f>
        <x:v>73158.88668371909</x:v>
      </x:c>
      <x:c r="S115" s="32"/>
      <x:c r="T115" s="32" t="n">
        <x:f>'Results'!A60</x:f>
        <x:v>4540.555308</x:v>
      </x:c>
      <x:c r="U115" s="32" t="n">
        <x:f>'Survey'!B60*'Unit Map'!$I$18</x:f>
        <x:v>1.5443545886271826</x:v>
      </x:c>
      <x:c r="V115" s="32"/>
      <x:c r="W115" s="32" t="n">
        <x:f>'Results'!A60</x:f>
        <x:v>4540.555308</x:v>
      </x:c>
      <x:c r="X115" s="32" t="n">
        <x:f>(('Inputs'!$B$7+'Calc'!D60*'Calc'!A60)+('Calc'!G60-('Inputs'!$B$7+'Calc'!D60*'Calc'!A60))*'Chart Settings'!$B$8)*'Unit Map'!$I$14</x:f>
        <x:v>1133383.2076949833</x:v>
      </x:c>
      <x:c r="Y115" s="32" t="n">
        <x:f>'Results'!B60</x:f>
        <x:v>1134686.2127898713</x:v>
      </x:c>
      <x:c r="Z115" s="32" t="n">
        <x:f>(('Inputs'!$B$7+'Calc'!D60*'Calc'!A60)+('Calc'!G60-('Inputs'!$B$7+'Calc'!D60*'Calc'!A60))*'Chart Settings'!$B$10)*'Unit Map'!$I$14</x:f>
        <x:v>1135989.2178847592</x:v>
      </x:c>
    </x:row>
    <x:row r="116">
      <x:c r="A116" s="32" t="n">
        <x:f>'Results'!A61</x:f>
        <x:v>4616.3935104</x:v>
      </x:c>
      <x:c r="B116" s="32" t="n">
        <x:f>'Results'!B61</x:f>
        <x:v>1151633.8485513218</x:v>
      </x:c>
      <x:c r="C116" s="32" t="n">
        <x:f>'Results'!C61</x:f>
        <x:v>1138386.296912006</x:v>
      </x:c>
      <x:c r="D116" s="32" t="n">
        <x:f>('Calc'!G61+'Inputs'!$B$7*0.35)*'Unit Map'!$I$14</x:f>
        <x:v>1193633.8485513218</x:v>
      </x:c>
      <x:c r="E116" s="32" t="n">
        <x:f>('Calc'!H61-'Inputs'!$B$7)*'Unit Map'!$I$14</x:f>
        <x:v>1018386.2969120061</x:v>
      </x:c>
      <x:c r="F116" s="32" t="n">
        <x:f>('Calc'!H61-'Inputs'!$B$7*0.25)*'Unit Map'!$I$14</x:f>
        <x:v>1108386.296912006</x:v>
      </x:c>
      <x:c r="G116" s="32" t="n">
        <x:f>('Calc'!H61-'Inputs'!$B$7*0.5)*'Unit Map'!$I$14</x:f>
        <x:v>1078386.296912006</x:v>
      </x:c>
      <x:c r="H116" s="32" t="n">
        <x:f>'Observed Data'!B61*'Unit Map'!$I$14</x:f>
        <x:v>1140822.4043718372</x:v>
      </x:c>
      <x:c r="I116" s="32" t="n">
        <x:f>'Inputs'!$B$13*'Unit Map'!$I$14</x:f>
        <x:v>2305313.3926624837</x:v>
      </x:c>
      <x:c r="J116" s="32" t="n">
        <x:f>'Results'!G61</x:f>
        <x:v>5419.734744567189</x:v>
      </x:c>
      <x:c r="K116" s="32" t="n">
        <x:f>'Results'!H61</x:f>
        <x:v>10839.469489134379</x:v>
      </x:c>
      <x:c r="L116" s="32"/>
      <x:c r="M116" s="32" t="n">
        <x:f>'Results'!A61</x:f>
        <x:v>4616.3935104</x:v>
      </x:c>
      <x:c r="N116" s="32" t="n">
        <x:f>'Results'!F61</x:f>
        <x:v>26017.26411730344</x:v>
      </x:c>
      <x:c r="O116" s="32" t="n">
        <x:f>'Results'!E61</x:f>
        <x:v>26013.81129384275</x:v>
      </x:c>
      <x:c r="P116" s="32" t="n">
        <x:f>'Results'!E61*1.1</x:f>
        <x:v>28615.19242322703</x:v>
      </x:c>
      <x:c r="Q116" s="32" t="n">
        <x:f>'Observed Data'!C61*'Unit Map'!$I$16</x:f>
        <x:v>26280.15737633564</x:v>
      </x:c>
      <x:c r="R116" s="32" t="n">
        <x:f>'Inputs'!$B$14*'Unit Map'!$I$16</x:f>
        <x:v>73158.88668371909</x:v>
      </x:c>
      <x:c r="S116" s="32"/>
      <x:c r="T116" s="32" t="n">
        <x:f>'Results'!A61</x:f>
        <x:v>4616.3935104</x:v>
      </x:c>
      <x:c r="U116" s="32" t="n">
        <x:f>'Survey'!B61*'Unit Map'!$I$18</x:f>
        <x:v>1.5437786299740244</x:v>
      </x:c>
      <x:c r="V116" s="32"/>
      <x:c r="W116" s="32" t="n">
        <x:f>'Results'!A61</x:f>
        <x:v>4616.3935104</x:v>
      </x:c>
      <x:c r="X116" s="32" t="n">
        <x:f>(('Inputs'!$B$7+'Calc'!D61*'Calc'!A61)+('Calc'!G61-('Inputs'!$B$7+'Calc'!D61*'Calc'!A61))*'Chart Settings'!$B$8)*'Unit Map'!$I$14</x:f>
        <x:v>1150309.0933873903</x:v>
      </x:c>
      <x:c r="Y116" s="32" t="n">
        <x:f>'Results'!B61</x:f>
        <x:v>1151633.8485513218</x:v>
      </x:c>
      <x:c r="Z116" s="32" t="n">
        <x:f>(('Inputs'!$B$7+'Calc'!D61*'Calc'!A61)+('Calc'!G61-('Inputs'!$B$7+'Calc'!D61*'Calc'!A61))*'Chart Settings'!$B$10)*'Unit Map'!$I$14</x:f>
        <x:v>1152958.6037152533</x:v>
      </x:c>
    </x:row>
    <x:row r="117">
      <x:c r="A117" s="32" t="n">
        <x:f>'Results'!A62</x:f>
        <x:v>4691.8360824</x:v>
      </x:c>
      <x:c r="B117" s="32" t="n">
        <x:f>'Results'!B62</x:f>
        <x:v>1168491.854524314</x:v>
      </x:c>
      <x:c r="C117" s="32" t="n">
        <x:f>'Results'!C62</x:f>
        <x:v>1155030.372613192</x:v>
      </x:c>
      <x:c r="D117" s="32" t="n">
        <x:f>('Calc'!G62+'Inputs'!$B$7*0.35)*'Unit Map'!$I$14</x:f>
        <x:v>1210491.854524314</x:v>
      </x:c>
      <x:c r="E117" s="32" t="n">
        <x:f>('Calc'!H62-'Inputs'!$B$7)*'Unit Map'!$I$14</x:f>
        <x:v>1035030.3726131921</x:v>
      </x:c>
      <x:c r="F117" s="32" t="n">
        <x:f>('Calc'!H62-'Inputs'!$B$7*0.25)*'Unit Map'!$I$14</x:f>
        <x:v>1125030.372613192</x:v>
      </x:c>
      <x:c r="G117" s="32" t="n">
        <x:f>('Calc'!H62-'Inputs'!$B$7*0.5)*'Unit Map'!$I$14</x:f>
        <x:v>1095030.372613192</x:v>
      </x:c>
      <x:c r="H117" s="32" t="n">
        <x:f>'Observed Data'!B62*'Unit Map'!$I$14</x:f>
        <x:v>1177665.643871592</x:v>
      </x:c>
      <x:c r="I117" s="32" t="n">
        <x:f>'Inputs'!$B$13*'Unit Map'!$I$14</x:f>
        <x:v>2305313.3926624837</x:v>
      </x:c>
      <x:c r="J117" s="32" t="n">
        <x:f>'Results'!G62</x:f>
        <x:v>5389.141729174255</x:v>
      </x:c>
      <x:c r="K117" s="32" t="n">
        <x:f>'Results'!H62</x:f>
        <x:v>10778.28345834851</x:v>
      </x:c>
      <x:c r="L117" s="32"/>
      <x:c r="M117" s="32" t="n">
        <x:f>'Results'!A62</x:f>
        <x:v>4691.8360824</x:v>
      </x:c>
      <x:c r="N117" s="32" t="n">
        <x:f>'Results'!F62</x:f>
        <x:v>26016.98071532463</x:v>
      </x:c>
      <x:c r="O117" s="32" t="n">
        <x:f>'Results'!E62</x:f>
        <x:v>26013.584572259704</x:v>
      </x:c>
      <x:c r="P117" s="32" t="n">
        <x:f>'Results'!E62*1.1</x:f>
        <x:v>28614.943029485676</x:v>
      </x:c>
      <x:c r="Q117" s="32" t="n">
        <x:f>'Observed Data'!C62*'Unit Map'!$I$16</x:f>
        <x:v>26294.48971394531</x:v>
      </x:c>
      <x:c r="R117" s="32" t="n">
        <x:f>'Inputs'!$B$14*'Unit Map'!$I$16</x:f>
        <x:v>73158.88668371909</x:v>
      </x:c>
      <x:c r="S117" s="32"/>
      <x:c r="T117" s="32" t="n">
        <x:f>'Results'!A62</x:f>
        <x:v>4691.8360824</x:v>
      </x:c>
      <x:c r="U117" s="32" t="n">
        <x:f>'Survey'!B62*'Unit Map'!$I$18</x:f>
        <x:v>1.5437262700964647</x:v>
      </x:c>
      <x:c r="V117" s="32"/>
      <x:c r="W117" s="32" t="n">
        <x:f>'Results'!A62</x:f>
        <x:v>4691.8360824</x:v>
      </x:c>
      <x:c r="X117" s="32" t="n">
        <x:f>(('Inputs'!$B$7+'Calc'!D62*'Calc'!A62)+('Calc'!G62-('Inputs'!$B$7+'Calc'!D62*'Calc'!A62))*'Chart Settings'!$B$8)*'Unit Map'!$I$14</x:f>
        <x:v>1167145.7063332018</x:v>
      </x:c>
      <x:c r="Y117" s="32" t="n">
        <x:f>'Results'!B62</x:f>
        <x:v>1168491.854524314</x:v>
      </x:c>
      <x:c r="Z117" s="32" t="n">
        <x:f>(('Inputs'!$B$7+'Calc'!D62*'Calc'!A62)+('Calc'!G62-('Inputs'!$B$7+'Calc'!D62*'Calc'!A62))*'Chart Settings'!$B$10)*'Unit Map'!$I$14</x:f>
        <x:v>1169838.002715426</x:v>
      </x:c>
    </x:row>
    <x:row r="118">
      <x:c r="A118" s="32" t="n">
        <x:f>'Results'!A63</x:f>
        <x:v>4767.3027336000005</x:v>
      </x:c>
      <x:c r="B118" s="32" t="n">
        <x:f>'Results'!B63</x:f>
        <x:v>1185354.175272814</x:v>
      </x:c>
      <x:c r="C118" s="32" t="n">
        <x:f>'Results'!C63</x:f>
        <x:v>1171680.8264845596</x:v>
      </x:c>
      <x:c r="D118" s="32" t="n">
        <x:f>('Calc'!G63+'Inputs'!$B$7*0.35)*'Unit Map'!$I$14</x:f>
        <x:v>1227354.175272814</x:v>
      </x:c>
      <x:c r="E118" s="32" t="n">
        <x:f>('Calc'!H63-'Inputs'!$B$7)*'Unit Map'!$I$14</x:f>
        <x:v>1051680.8264845596</x:v>
      </x:c>
      <x:c r="F118" s="32" t="n">
        <x:f>('Calc'!H63-'Inputs'!$B$7*0.25)*'Unit Map'!$I$14</x:f>
        <x:v>1141680.8264845596</x:v>
      </x:c>
      <x:c r="G118" s="32" t="n">
        <x:f>('Calc'!H63-'Inputs'!$B$7*0.5)*'Unit Map'!$I$14</x:f>
        <x:v>1111680.8264845596</x:v>
      </x:c>
      <x:c r="H118" s="32" t="n">
        <x:f>'Observed Data'!B63*'Unit Map'!$I$14</x:f>
        <x:v>1206538.4785733954</x:v>
      </x:c>
      <x:c r="I118" s="32" t="n">
        <x:f>'Inputs'!$B$13*'Unit Map'!$I$14</x:f>
        <x:v>2305313.3926624837</x:v>
      </x:c>
      <x:c r="J118" s="32" t="n">
        <x:f>'Results'!G63</x:f>
        <x:v>5362.233481314568</x:v>
      </x:c>
      <x:c r="K118" s="32" t="n">
        <x:f>'Results'!H63</x:f>
        <x:v>10724.466962629136</x:v>
      </x:c>
      <x:c r="L118" s="32"/>
      <x:c r="M118" s="32" t="n">
        <x:f>'Results'!A63</x:f>
        <x:v>4767.3027336000005</x:v>
      </x:c>
      <x:c r="N118" s="32" t="n">
        <x:f>'Results'!F63</x:f>
        <x:v>26016.81693337239</x:v>
      </x:c>
      <x:c r="O118" s="32" t="n">
        <x:f>'Results'!E63</x:f>
        <x:v>26013.45354669791</x:v>
      </x:c>
      <x:c r="P118" s="32" t="n">
        <x:f>'Results'!E63*1.1</x:f>
        <x:v>28614.798901367703</x:v>
      </x:c>
      <x:c r="Q118" s="32" t="n">
        <x:f>'Observed Data'!C63*'Unit Map'!$I$16</x:f>
        <x:v>26050.65698970415</x:v>
      </x:c>
      <x:c r="R118" s="32" t="n">
        <x:f>'Inputs'!$B$14*'Unit Map'!$I$16</x:f>
        <x:v>73158.88668371909</x:v>
      </x:c>
      <x:c r="S118" s="32"/>
      <x:c r="T118" s="32" t="n">
        <x:f>'Results'!A63</x:f>
        <x:v>4767.3027336000005</x:v>
      </x:c>
      <x:c r="U118" s="32" t="n">
        <x:f>'Survey'!B63*'Unit Map'!$I$18</x:f>
        <x:v>1.5445814814299417</x:v>
      </x:c>
      <x:c r="V118" s="32"/>
      <x:c r="W118" s="32" t="n">
        <x:f>'Results'!A63</x:f>
        <x:v>4767.3027336000005</x:v>
      </x:c>
      <x:c r="X118" s="32" t="n">
        <x:f>(('Inputs'!$B$7+'Calc'!D63*'Calc'!A63)+('Calc'!G63-('Inputs'!$B$7+'Calc'!D63*'Calc'!A63))*'Chart Settings'!$B$8)*'Unit Map'!$I$14</x:f>
        <x:v>1183986.8403939886</x:v>
      </x:c>
      <x:c r="Y118" s="32" t="n">
        <x:f>'Results'!B63</x:f>
        <x:v>1185354.175272814</x:v>
      </x:c>
      <x:c r="Z118" s="32" t="n">
        <x:f>(('Inputs'!$B$7+'Calc'!D63*'Calc'!A63)+('Calc'!G63-('Inputs'!$B$7+'Calc'!D63*'Calc'!A63))*'Chart Settings'!$B$10)*'Unit Map'!$I$14</x:f>
        <x:v>1186721.5101516393</x:v>
      </x:c>
    </x:row>
    <x:row r="119">
      <x:c r="A119" s="32" t="n">
        <x:f>'Results'!A64</x:f>
        <x:v>4843.2018960000005</x:v>
      </x:c>
      <x:c r="B119" s="32" t="n">
        <x:f>'Results'!B64</x:f>
        <x:v>1202312.5490238403</x:v>
      </x:c>
      <x:c r="C119" s="32" t="n">
        <x:f>'Results'!C64</x:f>
        <x:v>1188427.2943145775</x:v>
      </x:c>
      <x:c r="D119" s="32" t="n">
        <x:f>('Calc'!G64+'Inputs'!$B$7*0.35)*'Unit Map'!$I$14</x:f>
        <x:v>1244312.5490238403</x:v>
      </x:c>
      <x:c r="E119" s="32" t="n">
        <x:f>('Calc'!H64-'Inputs'!$B$7)*'Unit Map'!$I$14</x:f>
        <x:v>1068427.2943145775</x:v>
      </x:c>
      <x:c r="F119" s="32" t="n">
        <x:f>('Calc'!H64-'Inputs'!$B$7*0.25)*'Unit Map'!$I$14</x:f>
        <x:v>1158427.2943145775</x:v>
      </x:c>
      <x:c r="G119" s="32" t="n">
        <x:f>('Calc'!H64-'Inputs'!$B$7*0.5)*'Unit Map'!$I$14</x:f>
        <x:v>1128427.2943145775</x:v>
      </x:c>
      <x:c r="H119" s="32" t="n">
        <x:f>'Observed Data'!B64*'Unit Map'!$I$14</x:f>
        <x:v>1216092.594759469</x:v>
      </x:c>
      <x:c r="I119" s="32" t="n">
        <x:f>'Inputs'!$B$13*'Unit Map'!$I$14</x:f>
        <x:v>2305313.3926624837</x:v>
      </x:c>
      <x:c r="J119" s="32" t="n">
        <x:f>'Results'!G64</x:f>
        <x:v>5347.425972648599</x:v>
      </x:c>
      <x:c r="K119" s="32" t="n">
        <x:f>'Results'!H64</x:f>
        <x:v>10694.851945297198</x:v>
      </x:c>
      <x:c r="L119" s="32"/>
      <x:c r="M119" s="32" t="n">
        <x:f>'Results'!A64</x:f>
        <x:v>4843.2018960000005</x:v>
      </x:c>
      <x:c r="N119" s="32" t="n">
        <x:f>'Results'!F64</x:f>
        <x:v>26016.82003248004</x:v>
      </x:c>
      <x:c r="O119" s="32" t="n">
        <x:f>'Results'!E64</x:f>
        <x:v>26013.456025984033</x:v>
      </x:c>
      <x:c r="P119" s="32" t="n">
        <x:f>'Results'!E64*1.1</x:f>
        <x:v>28614.801628582438</x:v>
      </x:c>
      <x:c r="Q119" s="32" t="n">
        <x:f>'Observed Data'!C64*'Unit Map'!$I$16</x:f>
        <x:v>25772.754488309376</x:v>
      </x:c>
      <x:c r="R119" s="32" t="n">
        <x:f>'Inputs'!$B$14*'Unit Map'!$I$16</x:f>
        <x:v>73158.88668371909</x:v>
      </x:c>
      <x:c r="S119" s="32"/>
      <x:c r="T119" s="32" t="n">
        <x:f>'Results'!A64</x:f>
        <x:v>4843.2018960000005</x:v>
      </x:c>
      <x:c r="U119" s="32" t="n">
        <x:f>'Survey'!B64*'Unit Map'!$I$18</x:f>
        <x:v>1.5465886100697352</x:v>
      </x:c>
      <x:c r="V119" s="32"/>
      <x:c r="W119" s="32" t="n">
        <x:f>'Results'!A64</x:f>
        <x:v>4843.2018960000005</x:v>
      </x:c>
      <x:c r="X119" s="32" t="n">
        <x:f>(('Inputs'!$B$7+'Calc'!D64*'Calc'!A64)+('Calc'!G64-('Inputs'!$B$7+'Calc'!D64*'Calc'!A64))*'Chart Settings'!$B$8)*'Unit Map'!$I$14</x:f>
        <x:v>1200924.0235529142</x:v>
      </x:c>
      <x:c r="Y119" s="32" t="n">
        <x:f>'Results'!B64</x:f>
        <x:v>1202312.5490238403</x:v>
      </x:c>
      <x:c r="Z119" s="32" t="n">
        <x:f>(('Inputs'!$B$7+'Calc'!D64*'Calc'!A64)+('Calc'!G64-('Inputs'!$B$7+'Calc'!D64*'Calc'!A64))*'Chart Settings'!$B$10)*'Unit Map'!$I$14</x:f>
        <x:v>1203701.0744947665</x:v>
      </x:c>
    </x:row>
    <x:row r="120">
      <x:c r="A120" s="32" t="n">
        <x:f>'Results'!A65</x:f>
        <x:v>4919.7207168</x:v>
      </x:c>
      <x:c r="B120" s="32" t="n">
        <x:f>'Results'!B65</x:f>
        <x:v>1219409.4015843999</x:v>
      </x:c>
      <x:c r="C120" s="32" t="n">
        <x:f>'Results'!C65</x:f>
        <x:v>1205310.4574943804</x:v>
      </x:c>
      <x:c r="D120" s="32" t="n">
        <x:f>('Calc'!G65+'Inputs'!$B$7*0.35)*'Unit Map'!$I$14</x:f>
        <x:v>1261409.4015843999</x:v>
      </x:c>
      <x:c r="E120" s="32" t="n">
        <x:f>('Calc'!H65-'Inputs'!$B$7)*'Unit Map'!$I$14</x:f>
        <x:v>1085310.4574943804</x:v>
      </x:c>
      <x:c r="F120" s="32" t="n">
        <x:f>('Calc'!H65-'Inputs'!$B$7*0.25)*'Unit Map'!$I$14</x:f>
        <x:v>1175310.4574943804</x:v>
      </x:c>
      <x:c r="G120" s="32" t="n">
        <x:f>('Calc'!H65-'Inputs'!$B$7*0.5)*'Unit Map'!$I$14</x:f>
        <x:v>1145310.4574943804</x:v>
      </x:c>
      <x:c r="H120" s="32" t="n">
        <x:f>'Observed Data'!B65*'Unit Map'!$I$14</x:f>
        <x:v>1212719.0007170532</x:v>
      </x:c>
      <x:c r="I120" s="32" t="n">
        <x:f>'Inputs'!$B$13*'Unit Map'!$I$14</x:f>
        <x:v>2305313.3926624837</x:v>
      </x:c>
      <x:c r="J120" s="32" t="n">
        <x:f>'Results'!G65</x:f>
        <x:v>5348.094378791932</x:v>
      </x:c>
      <x:c r="K120" s="32" t="n">
        <x:f>'Results'!H65</x:f>
        <x:v>10696.188757583865</x:v>
      </x:c>
      <x:c r="L120" s="32"/>
      <x:c r="M120" s="32" t="n">
        <x:f>'Results'!A65</x:f>
        <x:v>4919.7207168</x:v>
      </x:c>
      <x:c r="N120" s="32" t="n">
        <x:f>'Results'!F65</x:f>
        <x:v>26016.961594597546</x:v>
      </x:c>
      <x:c r="O120" s="32" t="n">
        <x:f>'Results'!E65</x:f>
        <x:v>26013.569275678037</x:v>
      </x:c>
      <x:c r="P120" s="32" t="n">
        <x:f>'Results'!E65*1.1</x:f>
        <x:v>28614.926203245843</x:v>
      </x:c>
      <x:c r="Q120" s="32" t="n">
        <x:f>'Observed Data'!C65*'Unit Map'!$I$16</x:f>
        <x:v>25716.26134313702</x:v>
      </x:c>
      <x:c r="R120" s="32" t="n">
        <x:f>'Inputs'!$B$14*'Unit Map'!$I$16</x:f>
        <x:v>73158.88668371909</x:v>
      </x:c>
      <x:c r="S120" s="32"/>
      <x:c r="T120" s="32" t="n">
        <x:f>'Results'!A65</x:f>
        <x:v>4919.7207168</x:v>
      </x:c>
      <x:c r="U120" s="32" t="n">
        <x:f>'Survey'!B65*'Unit Map'!$I$18</x:f>
        <x:v>1.5498523757709646</x:v>
      </x:c>
      <x:c r="V120" s="32"/>
      <x:c r="W120" s="32" t="n">
        <x:f>'Results'!A65</x:f>
        <x:v>4919.7207168</x:v>
      </x:c>
      <x:c r="X120" s="32" t="n">
        <x:f>(('Inputs'!$B$7+'Calc'!D65*'Calc'!A65)+('Calc'!G65-('Inputs'!$B$7+'Calc'!D65*'Calc'!A65))*'Chart Settings'!$B$8)*'Unit Map'!$I$14</x:f>
        <x:v>1217999.507175398</x:v>
      </x:c>
      <x:c r="Y120" s="32" t="n">
        <x:f>'Results'!B65</x:f>
        <x:v>1219409.4015843999</x:v>
      </x:c>
      <x:c r="Z120" s="32" t="n">
        <x:f>(('Inputs'!$B$7+'Calc'!D65*'Calc'!A65)+('Calc'!G65-('Inputs'!$B$7+'Calc'!D65*'Calc'!A65))*'Chart Settings'!$B$10)*'Unit Map'!$I$14</x:f>
        <x:v>1220819.2959934017</x:v>
      </x:c>
    </x:row>
  </x:sheetData>
  <x:mergeCells>
    <x:mergeCell ref="A1:N1"/>
    <x:mergeCell ref="A3:N3"/>
  </x:mergeCells>
  <x:pageMargins left="0.7" right="0.7" top="0.75" bottom="0.75" header="0.3" footer="0.3"/>
  <x:drawing xmlns:r="http://schemas.openxmlformats.org/officeDocument/2006/relationships" r:id="rId1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4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Chart Settings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Persisted engineering-chart configuration</x:v>
      </x:c>
      <x:c r="B3" s="33" t="str">
        <x:v>Persisted engineering-chart configuration</x:v>
      </x:c>
      <x:c r="C3" s="33" t="str">
        <x:v>Persisted engineering-chart configuration</x:v>
      </x:c>
      <x:c r="D3" s="37" t="str">
        <x:v>These settings are saved with the case and reapplied by the VBA engine.</x:v>
      </x:c>
      <x:c r="E3" s="37"/>
      <x:c r="F3" s="37"/>
      <x:c r="G3" s="37"/>
      <x:c r="H3" s="37"/>
      <x:c r="I3" s="37"/>
      <x:c r="J3" s="37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Setting</x:v>
      </x:c>
      <x:c r="B5" s="34" t="str">
        <x:v>Value</x:v>
      </x:c>
      <x:c r="C5" s="34" t="str">
        <x:v>Purpose</x:v>
      </x:c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2" t="str">
        <x:v>Selected MD</x:v>
      </x:c>
      <x:c r="B6" s="36" t="n">
        <x:v>2709.0514272</x:v>
      </x:c>
      <x:c r="C6" s="32" t="str">
        <x:v>Canonical SI depth used by the screen reader</x:v>
      </x:c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2" t="str">
        <x:v>Observed data visible</x:v>
      </x:c>
      <x:c r="B7" s="36" t="str">
        <x:v>Yes</x:v>
      </x:c>
      <x:c r="C7" s="32" t="str">
        <x:v>Show measured/observed series when supplied</x:v>
      </x:c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2" t="str">
        <x:v>Low friction multiplier</x:v>
      </x:c>
      <x:c r="B8" s="36" t="n">
        <x:v>0.8</x:v>
      </x:c>
      <x:c r="C8" s="32" t="str">
        <x:v>Low sensitivity family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2" t="str">
        <x:v>Base friction multiplier</x:v>
      </x:c>
      <x:c r="B9" s="36" t="n">
        <x:v>1</x:v>
      </x:c>
      <x:c r="C9" s="32" t="str">
        <x:v>Base model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2" t="str">
        <x:v>High friction multiplier</x:v>
      </x:c>
      <x:c r="B10" s="36" t="n">
        <x:v>1.2</x:v>
      </x:c>
      <x:c r="C10" s="32" t="str">
        <x:v>High sensitivity family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 t="str">
        <x:v>Show well context</x:v>
      </x:c>
      <x:c r="B11" s="36" t="str">
        <x:v>Yes</x:v>
      </x:c>
      <x:c r="C11" s="32" t="str">
        <x:v>Show section/component boundary context</x:v>
      </x:c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 t="str">
        <x:v>Show limits</x:v>
      </x:c>
      <x:c r="B12" s="36" t="str">
        <x:v>Yes</x:v>
      </x:c>
      <x:c r="C12" s="32" t="str">
        <x:v>Show ratings, thresholds, and operating envelopes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 t="str">
        <x:v>Report composition</x:v>
      </x:c>
      <x:c r="B13" s="36" t="str">
        <x:v>Engineering review</x:v>
      </x:c>
      <x:c r="C13" s="32" t="str">
        <x:v>Saved chart/report selection</x:v>
      </x:c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</x:sheetData>
  <x:mergeCells>
    <x:mergeCell ref="A1:N1"/>
    <x:mergeCell ref="A3:C3"/>
    <x:mergeCell ref="D3:J3"/>
  </x:mergeCells>
  <x:dataValidations count="2">
    <x:dataValidation type="list" sqref="B7">
      <x:formula1>"Yes,No"</x:formula1>
    </x:dataValidation>
    <x:dataValidation type="list" sqref="B11:B12">
      <x:formula1>"Yes,No"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Unit Map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Display-unit control — calculations and stored inputs remain SI</x:v>
      </x:c>
      <x:c r="B3" s="33" t="str">
        <x:v>Display-unit control — calculations and stored inputs remain SI</x:v>
      </x:c>
      <x:c r="C3" s="33" t="str">
        <x:v>Display-unit control — calculations and stored inputs remain SI</x:v>
      </x:c>
      <x:c r="D3" s="33" t="str">
        <x:v>Display-unit control — calculations and stored inputs remain SI</x:v>
      </x:c>
      <x:c r="E3" s="33" t="str">
        <x:v>Display-unit control — calculations and stored inputs remain SI</x:v>
      </x:c>
      <x:c r="F3" s="33" t="str">
        <x:v>Display-unit control — calculations and stored inputs remain SI</x:v>
      </x:c>
      <x:c r="G3" s="33" t="str">
        <x:v>Display-unit control — calculations and stored inputs remain SI</x:v>
      </x:c>
      <x:c r="H3" s="33" t="str">
        <x:v>Display-unit control — calculations and stored inputs remain SI</x:v>
      </x:c>
      <x:c r="I3" s="33" t="str">
        <x:v>Display-unit control — calculations and stored inputs remain SI</x:v>
      </x:c>
      <x:c r="J3" s="33" t="str">
        <x:v>Display-unit control — calculations and stored inputs remain SI</x:v>
      </x:c>
      <x:c r="K3" s="33" t="str">
        <x:v>Display-unit control — calculations and stored inputs remain SI</x:v>
      </x:c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2" t="str">
        <x:v>Display system</x:v>
      </x:c>
      <x:c r="B5" s="36" t="str">
        <x:v>SI</x:v>
      </x:c>
      <x:c r="C5" s="32"/>
      <x:c r="D5" s="37" t="str">
        <x:v>Choose Custom, then set each domain dropdown in column J.</x:v>
      </x:c>
      <x:c r="E5" s="37"/>
      <x:c r="F5" s="37"/>
      <x:c r="G5" s="37"/>
      <x:c r="H5" s="37"/>
      <x:c r="I5" s="37"/>
      <x:c r="J5" s="37"/>
      <x:c r="K5" s="37"/>
      <x:c r="L5" s="32"/>
      <x:c r="M5" s="32"/>
      <x:c r="N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4" t="str">
        <x:v>Domain</x:v>
      </x:c>
      <x:c r="B7" s="34" t="str">
        <x:v>SI unit</x:v>
      </x:c>
      <x:c r="C7" s="34" t="str">
        <x:v>Imperial</x:v>
      </x:c>
      <x:c r="D7" s="34" t="str">
        <x:v>Mixed</x:v>
      </x:c>
      <x:c r="E7" s="34" t="str">
        <x:v>Imp factor</x:v>
      </x:c>
      <x:c r="F7" s="34" t="str">
        <x:v>Mixed factor</x:v>
      </x:c>
      <x:c r="G7" s="34" t="str">
        <x:v>Offset</x:v>
      </x:c>
      <x:c r="H7" s="34" t="str">
        <x:v>Selected unit</x:v>
      </x:c>
      <x:c r="I7" s="34" t="str">
        <x:v>Selected factor</x:v>
      </x:c>
      <x:c r="J7" s="34" t="str">
        <x:v>Custom selection</x:v>
      </x:c>
      <x:c r="K7" s="34" t="str">
        <x:v>SI factor</x:v>
      </x:c>
      <x:c r="L7" s="32"/>
      <x:c r="M7" s="32"/>
      <x:c r="N7" s="32"/>
    </x:row>
    <x:row r="8">
      <x:c r="A8" s="38" t="str">
        <x:v>Length</x:v>
      </x:c>
      <x:c r="B8" s="38" t="str">
        <x:v>m</x:v>
      </x:c>
      <x:c r="C8" s="38" t="str">
        <x:v>ft</x:v>
      </x:c>
      <x:c r="D8" s="38" t="str">
        <x:v>m</x:v>
      </x:c>
      <x:c r="E8" s="18" t="n">
        <x:v>3.280839895</x:v>
      </x:c>
      <x:c r="F8" s="18" t="n">
        <x:v>1</x:v>
      </x:c>
      <x:c r="G8" s="18" t="n">
        <x:v>0</x:v>
      </x:c>
      <x:c r="H8" s="38" t="str">
        <x:f>IF($B$5="SI",B8,IF($B$5="Imperial",C8,IF($B$5="Mixed",D8,IF($B$5="Custom",IF(J8="SI",B8,IF(J8="Imperial",C8,IF(J8="Mixed",D8,"INVALID"))),"INVALID"))))</x:f>
        <x:v>m</x:v>
      </x:c>
      <x:c r="I8" s="18" t="n">
        <x:f>IF($B$5="SI",K8,IF($B$5="Imperial",E8,IF($B$5="Mixed",F8,IF($B$5="Custom",IF(J8="SI",K8,IF(J8="Imperial",E8,IF(J8="Mixed",F8,NA()))),NA()))))</x:f>
        <x:v>1</x:v>
      </x:c>
      <x:c r="J8" s="36" t="str">
        <x:v>SI</x:v>
      </x:c>
      <x:c r="K8" s="38" t="n">
        <x:v>1</x:v>
      </x:c>
      <x:c r="L8" s="32"/>
      <x:c r="M8" s="32"/>
      <x:c r="N8" s="32"/>
    </x:row>
    <x:row r="9">
      <x:c r="A9" s="38" t="str">
        <x:v>Diameter</x:v>
      </x:c>
      <x:c r="B9" s="38" t="str">
        <x:v>m</x:v>
      </x:c>
      <x:c r="C9" s="38" t="str">
        <x:v>in</x:v>
      </x:c>
      <x:c r="D9" s="38" t="str">
        <x:v>mm</x:v>
      </x:c>
      <x:c r="E9" s="18" t="n">
        <x:v>39.37007874</x:v>
      </x:c>
      <x:c r="F9" s="18" t="n">
        <x:v>1000</x:v>
      </x:c>
      <x:c r="G9" s="18" t="n">
        <x:v>0</x:v>
      </x:c>
      <x:c r="H9" s="38" t="str">
        <x:f>IF($B$5="SI",B9,IF($B$5="Imperial",C9,IF($B$5="Mixed",D9,IF($B$5="Custom",IF(J9="SI",B9,IF(J9="Imperial",C9,IF(J9="Mixed",D9,"INVALID"))),"INVALID"))))</x:f>
        <x:v>m</x:v>
      </x:c>
      <x:c r="I9" s="18" t="n">
        <x:f>IF($B$5="SI",K9,IF($B$5="Imperial",E9,IF($B$5="Mixed",F9,IF($B$5="Custom",IF(J9="SI",K9,IF(J9="Imperial",E9,IF(J9="Mixed",F9,NA()))),NA()))))</x:f>
        <x:v>1</x:v>
      </x:c>
      <x:c r="J9" s="36" t="str">
        <x:v>SI</x:v>
      </x:c>
      <x:c r="K9" s="38" t="n">
        <x:v>1</x:v>
      </x:c>
      <x:c r="L9" s="32"/>
      <x:c r="M9" s="32"/>
      <x:c r="N9" s="32"/>
    </x:row>
    <x:row r="10">
      <x:c r="A10" s="38" t="str">
        <x:v>Area</x:v>
      </x:c>
      <x:c r="B10" s="38" t="str">
        <x:v>m2</x:v>
      </x:c>
      <x:c r="C10" s="38" t="str">
        <x:v>in2</x:v>
      </x:c>
      <x:c r="D10" s="38" t="str">
        <x:v>cm2</x:v>
      </x:c>
      <x:c r="E10" s="18" t="n">
        <x:v>1550.0031</x:v>
      </x:c>
      <x:c r="F10" s="18" t="n">
        <x:v>10000</x:v>
      </x:c>
      <x:c r="G10" s="18" t="n">
        <x:v>0</x:v>
      </x:c>
      <x:c r="H10" s="38" t="str">
        <x:f>IF($B$5="SI",B10,IF($B$5="Imperial",C10,IF($B$5="Mixed",D10,IF($B$5="Custom",IF(J10="SI",B10,IF(J10="Imperial",C10,IF(J10="Mixed",D10,"INVALID"))),"INVALID"))))</x:f>
        <x:v>m2</x:v>
      </x:c>
      <x:c r="I10" s="18" t="n">
        <x:f>IF($B$5="SI",K10,IF($B$5="Imperial",E10,IF($B$5="Mixed",F10,IF($B$5="Custom",IF(J10="SI",K10,IF(J10="Imperial",E10,IF(J10="Mixed",F10,NA()))),NA()))))</x:f>
        <x:v>1</x:v>
      </x:c>
      <x:c r="J10" s="36" t="str">
        <x:v>SI</x:v>
      </x:c>
      <x:c r="K10" s="38" t="n">
        <x:v>1</x:v>
      </x:c>
      <x:c r="L10" s="32"/>
      <x:c r="M10" s="32"/>
      <x:c r="N10" s="32"/>
    </x:row>
    <x:row r="11">
      <x:c r="A11" s="38" t="str">
        <x:v>Volume</x:v>
      </x:c>
      <x:c r="B11" s="38" t="str">
        <x:v>m3</x:v>
      </x:c>
      <x:c r="C11" s="38" t="str">
        <x:v>bbl</x:v>
      </x:c>
      <x:c r="D11" s="38" t="str">
        <x:v>L</x:v>
      </x:c>
      <x:c r="E11" s="18" t="n">
        <x:v>6.28981077</x:v>
      </x:c>
      <x:c r="F11" s="18" t="n">
        <x:v>1000</x:v>
      </x:c>
      <x:c r="G11" s="18" t="n">
        <x:v>0</x:v>
      </x:c>
      <x:c r="H11" s="38" t="str">
        <x:f>IF($B$5="SI",B11,IF($B$5="Imperial",C11,IF($B$5="Mixed",D11,IF($B$5="Custom",IF(J11="SI",B11,IF(J11="Imperial",C11,IF(J11="Mixed",D11,"INVALID"))),"INVALID"))))</x:f>
        <x:v>m3</x:v>
      </x:c>
      <x:c r="I11" s="18" t="n">
        <x:f>IF($B$5="SI",K11,IF($B$5="Imperial",E11,IF($B$5="Mixed",F11,IF($B$5="Custom",IF(J11="SI",K11,IF(J11="Imperial",E11,IF(J11="Mixed",F11,NA()))),NA()))))</x:f>
        <x:v>1</x:v>
      </x:c>
      <x:c r="J11" s="36" t="str">
        <x:v>SI</x:v>
      </x:c>
      <x:c r="K11" s="38" t="n">
        <x:v>1</x:v>
      </x:c>
      <x:c r="L11" s="32"/>
      <x:c r="M11" s="32"/>
      <x:c r="N11" s="32"/>
    </x:row>
    <x:row r="12">
      <x:c r="A12" s="38" t="str">
        <x:v>Flow rate</x:v>
      </x:c>
      <x:c r="B12" s="38" t="str">
        <x:v>m3/s</x:v>
      </x:c>
      <x:c r="C12" s="38" t="str">
        <x:v>gpm</x:v>
      </x:c>
      <x:c r="D12" s="38" t="str">
        <x:v>L/min</x:v>
      </x:c>
      <x:c r="E12" s="18" t="n">
        <x:v>15850.32314</x:v>
      </x:c>
      <x:c r="F12" s="18" t="n">
        <x:v>60000</x:v>
      </x:c>
      <x:c r="G12" s="18" t="n">
        <x:v>0</x:v>
      </x:c>
      <x:c r="H12" s="38" t="str">
        <x:f>IF($B$5="SI",B12,IF($B$5="Imperial",C12,IF($B$5="Mixed",D12,IF($B$5="Custom",IF(J12="SI",B12,IF(J12="Imperial",C12,IF(J12="Mixed",D12,"INVALID"))),"INVALID"))))</x:f>
        <x:v>m3/s</x:v>
      </x:c>
      <x:c r="I12" s="18" t="n">
        <x:f>IF($B$5="SI",K12,IF($B$5="Imperial",E12,IF($B$5="Mixed",F12,IF($B$5="Custom",IF(J12="SI",K12,IF(J12="Imperial",E12,IF(J12="Mixed",F12,NA()))),NA()))))</x:f>
        <x:v>1</x:v>
      </x:c>
      <x:c r="J12" s="36" t="str">
        <x:v>SI</x:v>
      </x:c>
      <x:c r="K12" s="38" t="n">
        <x:v>1</x:v>
      </x:c>
      <x:c r="L12" s="32"/>
      <x:c r="M12" s="32"/>
      <x:c r="N12" s="32"/>
    </x:row>
    <x:row r="13">
      <x:c r="A13" s="38" t="str">
        <x:v>Density</x:v>
      </x:c>
      <x:c r="B13" s="38" t="str">
        <x:v>g/cm3</x:v>
      </x:c>
      <x:c r="C13" s="38" t="str">
        <x:v>ppg</x:v>
      </x:c>
      <x:c r="D13" s="38" t="str">
        <x:v>g/cm3</x:v>
      </x:c>
      <x:c r="E13" s="18" t="n">
        <x:v>0.008345404</x:v>
      </x:c>
      <x:c r="F13" s="18" t="n">
        <x:v>0.001</x:v>
      </x:c>
      <x:c r="G13" s="18" t="n">
        <x:v>0</x:v>
      </x:c>
      <x:c r="H13" s="38" t="str">
        <x:f>IF($B$5="SI",B13,IF($B$5="Imperial",C13,IF($B$5="Mixed",D13,IF($B$5="Custom",IF(J13="SI",B13,IF(J13="Imperial",C13,IF(J13="Mixed",D13,"INVALID"))),"INVALID"))))</x:f>
        <x:v>g/cm3</x:v>
      </x:c>
      <x:c r="I13" s="18" t="n">
        <x:f>IF($B$5="SI",K13,IF($B$5="Imperial",E13,IF($B$5="Mixed",F13,IF($B$5="Custom",IF(J13="SI",K13,IF(J13="Imperial",E13,IF(J13="Mixed",F13,NA()))),NA()))))</x:f>
        <x:v>0.001</x:v>
      </x:c>
      <x:c r="J13" s="36" t="str">
        <x:v>SI</x:v>
      </x:c>
      <x:c r="K13" s="38" t="n">
        <x:v>0.001</x:v>
      </x:c>
      <x:c r="L13" s="32"/>
      <x:c r="M13" s="32"/>
      <x:c r="N13" s="32"/>
    </x:row>
    <x:row r="14">
      <x:c r="A14" s="38" t="str">
        <x:v>Force</x:v>
      </x:c>
      <x:c r="B14" s="38" t="str">
        <x:v>N</x:v>
      </x:c>
      <x:c r="C14" s="38" t="str">
        <x:v>lbf</x:v>
      </x:c>
      <x:c r="D14" s="38" t="str">
        <x:v>kN</x:v>
      </x:c>
      <x:c r="E14" s="18" t="n">
        <x:v>0.224808943</x:v>
      </x:c>
      <x:c r="F14" s="18" t="n">
        <x:v>0.001</x:v>
      </x:c>
      <x:c r="G14" s="18" t="n">
        <x:v>0</x:v>
      </x:c>
      <x:c r="H14" s="38" t="str">
        <x:f>IF($B$5="SI",B14,IF($B$5="Imperial",C14,IF($B$5="Mixed",D14,IF($B$5="Custom",IF(J14="SI",B14,IF(J14="Imperial",C14,IF(J14="Mixed",D14,"INVALID"))),"INVALID"))))</x:f>
        <x:v>N</x:v>
      </x:c>
      <x:c r="I14" s="18" t="n">
        <x:f>IF($B$5="SI",K14,IF($B$5="Imperial",E14,IF($B$5="Mixed",F14,IF($B$5="Custom",IF(J14="SI",K14,IF(J14="Imperial",E14,IF(J14="Mixed",F14,NA()))),NA()))))</x:f>
        <x:v>1</x:v>
      </x:c>
      <x:c r="J14" s="36" t="str">
        <x:v>SI</x:v>
      </x:c>
      <x:c r="K14" s="38" t="n">
        <x:v>1</x:v>
      </x:c>
      <x:c r="L14" s="32"/>
      <x:c r="M14" s="32"/>
      <x:c r="N14" s="32"/>
    </x:row>
    <x:row r="15">
      <x:c r="A15" s="38" t="str">
        <x:v>Pressure</x:v>
      </x:c>
      <x:c r="B15" s="38" t="str">
        <x:v>Pa</x:v>
      </x:c>
      <x:c r="C15" s="38" t="str">
        <x:v>psi</x:v>
      </x:c>
      <x:c r="D15" s="38" t="str">
        <x:v>kPa</x:v>
      </x:c>
      <x:c r="E15" s="18" t="n">
        <x:v>0.000145037738</x:v>
      </x:c>
      <x:c r="F15" s="18" t="n">
        <x:v>0.001</x:v>
      </x:c>
      <x:c r="G15" s="18" t="n">
        <x:v>0</x:v>
      </x:c>
      <x:c r="H15" s="38" t="str">
        <x:f>IF($B$5="SI",B15,IF($B$5="Imperial",C15,IF($B$5="Mixed",D15,IF($B$5="Custom",IF(J15="SI",B15,IF(J15="Imperial",C15,IF(J15="Mixed",D15,"INVALID"))),"INVALID"))))</x:f>
        <x:v>Pa</x:v>
      </x:c>
      <x:c r="I15" s="18" t="n">
        <x:f>IF($B$5="SI",K15,IF($B$5="Imperial",E15,IF($B$5="Mixed",F15,IF($B$5="Custom",IF(J15="SI",K15,IF(J15="Imperial",E15,IF(J15="Mixed",F15,NA()))),NA()))))</x:f>
        <x:v>1</x:v>
      </x:c>
      <x:c r="J15" s="36" t="str">
        <x:v>SI</x:v>
      </x:c>
      <x:c r="K15" s="38" t="n">
        <x:v>1</x:v>
      </x:c>
      <x:c r="L15" s="32"/>
      <x:c r="M15" s="32"/>
      <x:c r="N15" s="32"/>
    </x:row>
    <x:row r="16">
      <x:c r="A16" s="38" t="str">
        <x:v>Torque</x:v>
      </x:c>
      <x:c r="B16" s="38" t="str">
        <x:v>N-m</x:v>
      </x:c>
      <x:c r="C16" s="38" t="str">
        <x:v>ft-lbf</x:v>
      </x:c>
      <x:c r="D16" s="38" t="str">
        <x:v>kN-m</x:v>
      </x:c>
      <x:c r="E16" s="18" t="n">
        <x:v>0.737562149</x:v>
      </x:c>
      <x:c r="F16" s="18" t="n">
        <x:v>0.001</x:v>
      </x:c>
      <x:c r="G16" s="18" t="n">
        <x:v>0</x:v>
      </x:c>
      <x:c r="H16" s="38" t="str">
        <x:f>IF($B$5="SI",B16,IF($B$5="Imperial",C16,IF($B$5="Mixed",D16,IF($B$5="Custom",IF(J16="SI",B16,IF(J16="Imperial",C16,IF(J16="Mixed",D16,"INVALID"))),"INVALID"))))</x:f>
        <x:v>N-m</x:v>
      </x:c>
      <x:c r="I16" s="18" t="n">
        <x:f>IF($B$5="SI",K16,IF($B$5="Imperial",E16,IF($B$5="Mixed",F16,IF($B$5="Custom",IF(J16="SI",K16,IF(J16="Imperial",E16,IF(J16="Mixed",F16,NA()))),NA()))))</x:f>
        <x:v>1</x:v>
      </x:c>
      <x:c r="J16" s="36" t="str">
        <x:v>SI</x:v>
      </x:c>
      <x:c r="K16" s="38" t="n">
        <x:v>1</x:v>
      </x:c>
      <x:c r="L16" s="32"/>
      <x:c r="M16" s="32"/>
      <x:c r="N16" s="32"/>
    </x:row>
    <x:row r="17">
      <x:c r="A17" s="38" t="str">
        <x:v>Stress</x:v>
      </x:c>
      <x:c r="B17" s="38" t="str">
        <x:v>Pa</x:v>
      </x:c>
      <x:c r="C17" s="38" t="str">
        <x:v>psi</x:v>
      </x:c>
      <x:c r="D17" s="38" t="str">
        <x:v>MPa</x:v>
      </x:c>
      <x:c r="E17" s="18" t="n">
        <x:v>0.000145037738</x:v>
      </x:c>
      <x:c r="F17" s="18" t="n">
        <x:v>0.000001</x:v>
      </x:c>
      <x:c r="G17" s="18" t="n">
        <x:v>0</x:v>
      </x:c>
      <x:c r="H17" s="38" t="str">
        <x:f>IF($B$5="SI",B17,IF($B$5="Imperial",C17,IF($B$5="Mixed",D17,IF($B$5="Custom",IF(J17="SI",B17,IF(J17="Imperial",C17,IF(J17="Mixed",D17,"INVALID"))),"INVALID"))))</x:f>
        <x:v>Pa</x:v>
      </x:c>
      <x:c r="I17" s="18" t="n">
        <x:f>IF($B$5="SI",K17,IF($B$5="Imperial",E17,IF($B$5="Mixed",F17,IF($B$5="Custom",IF(J17="SI",K17,IF(J17="Imperial",E17,IF(J17="Mixed",F17,NA()))),NA()))))</x:f>
        <x:v>1</x:v>
      </x:c>
      <x:c r="J17" s="36" t="str">
        <x:v>SI</x:v>
      </x:c>
      <x:c r="K17" s="38" t="n">
        <x:v>1</x:v>
      </x:c>
      <x:c r="L17" s="32"/>
      <x:c r="M17" s="32"/>
      <x:c r="N17" s="32"/>
    </x:row>
    <x:row r="18">
      <x:c r="A18" s="38" t="str">
        <x:v>Angle</x:v>
      </x:c>
      <x:c r="B18" s="38" t="str">
        <x:v>rad</x:v>
      </x:c>
      <x:c r="C18" s="38" t="str">
        <x:v>deg</x:v>
      </x:c>
      <x:c r="D18" s="38" t="str">
        <x:v>deg</x:v>
      </x:c>
      <x:c r="E18" s="18" t="n">
        <x:v>57.295779513</x:v>
      </x:c>
      <x:c r="F18" s="18" t="n">
        <x:v>57.295779513</x:v>
      </x:c>
      <x:c r="G18" s="18" t="n">
        <x:v>0</x:v>
      </x:c>
      <x:c r="H18" s="38" t="str">
        <x:f>IF($B$5="SI",B18,IF($B$5="Imperial",C18,IF($B$5="Mixed",D18,IF($B$5="Custom",IF(J18="SI",B18,IF(J18="Imperial",C18,IF(J18="Mixed",D18,"INVALID"))),"INVALID"))))</x:f>
        <x:v>rad</x:v>
      </x:c>
      <x:c r="I18" s="18" t="n">
        <x:f>IF($B$5="SI",K18,IF($B$5="Imperial",E18,IF($B$5="Mixed",F18,IF($B$5="Custom",IF(J18="SI",K18,IF(J18="Imperial",E18,IF(J18="Mixed",F18,NA()))),NA()))))</x:f>
        <x:v>1</x:v>
      </x:c>
      <x:c r="J18" s="36" t="str">
        <x:v>SI</x:v>
      </x:c>
      <x:c r="K18" s="38" t="n">
        <x:v>1</x:v>
      </x:c>
      <x:c r="L18" s="32"/>
      <x:c r="M18" s="32"/>
      <x:c r="N18" s="32"/>
    </x:row>
    <x:row r="19">
      <x:c r="A19" s="38" t="str">
        <x:v>Speed</x:v>
      </x:c>
      <x:c r="B19" s="38" t="str">
        <x:v>m/s</x:v>
      </x:c>
      <x:c r="C19" s="38" t="str">
        <x:v>ft/min</x:v>
      </x:c>
      <x:c r="D19" s="38" t="str">
        <x:v>m/min</x:v>
      </x:c>
      <x:c r="E19" s="18" t="n">
        <x:v>196.8503937</x:v>
      </x:c>
      <x:c r="F19" s="18" t="n">
        <x:v>60</x:v>
      </x:c>
      <x:c r="G19" s="18" t="n">
        <x:v>0</x:v>
      </x:c>
      <x:c r="H19" s="38" t="str">
        <x:f>IF($B$5="SI",B19,IF($B$5="Imperial",C19,IF($B$5="Mixed",D19,IF($B$5="Custom",IF(J19="SI",B19,IF(J19="Imperial",C19,IF(J19="Mixed",D19,"INVALID"))),"INVALID"))))</x:f>
        <x:v>m/s</x:v>
      </x:c>
      <x:c r="I19" s="18" t="n">
        <x:f>IF($B$5="SI",K19,IF($B$5="Imperial",E19,IF($B$5="Mixed",F19,IF($B$5="Custom",IF(J19="SI",K19,IF(J19="Imperial",E19,IF(J19="Mixed",F19,NA()))),NA()))))</x:f>
        <x:v>1</x:v>
      </x:c>
      <x:c r="J19" s="36" t="str">
        <x:v>SI</x:v>
      </x:c>
      <x:c r="K19" s="38" t="n">
        <x:v>1</x:v>
      </x:c>
      <x:c r="L19" s="32"/>
      <x:c r="M19" s="32"/>
      <x:c r="N19" s="32"/>
    </x:row>
    <x:row r="20">
      <x:c r="A20" s="38" t="str">
        <x:v>Angular gradient</x:v>
      </x:c>
      <x:c r="B20" s="38" t="str">
        <x:v>rad/m</x:v>
      </x:c>
      <x:c r="C20" s="38" t="str">
        <x:v>deg/100ft</x:v>
      </x:c>
      <x:c r="D20" s="38" t="str">
        <x:v>deg/30m</x:v>
      </x:c>
      <x:c r="E20" s="18" t="n">
        <x:v>1746.37535955875</x:v>
      </x:c>
      <x:c r="F20" s="18" t="n">
        <x:v>1718.87338539247</x:v>
      </x:c>
      <x:c r="G20" s="18" t="n">
        <x:v>0</x:v>
      </x:c>
      <x:c r="H20" s="38" t="str">
        <x:f>IF($B$5="SI",B20,IF($B$5="Imperial",C20,IF($B$5="Mixed",D20,IF($B$5="Custom",IF(J20="SI",B20,IF(J20="Imperial",C20,IF(J20="Mixed",D20,"INVALID"))),"INVALID"))))</x:f>
        <x:v>rad/m</x:v>
      </x:c>
      <x:c r="I20" s="18" t="n">
        <x:f>IF($B$5="SI",K20,IF($B$5="Imperial",E20,IF($B$5="Mixed",F20,IF($B$5="Custom",IF(J20="SI",K20,IF(J20="Imperial",E20,IF(J20="Mixed",F20,NA()))),NA()))))</x:f>
        <x:v>1</x:v>
      </x:c>
      <x:c r="J20" s="36" t="str">
        <x:v>SI</x:v>
      </x:c>
      <x:c r="K20" s="38" t="n">
        <x:v>1</x:v>
      </x:c>
      <x:c r="L20" s="32"/>
      <x:c r="M20" s="32"/>
      <x:c r="N20" s="32"/>
    </x:row>
  </x:sheetData>
  <x:mergeCells>
    <x:mergeCell ref="A1:N1"/>
    <x:mergeCell ref="A3:K3"/>
    <x:mergeCell ref="D5:K5"/>
  </x:mergeCells>
  <x:dataValidations count="14">
    <x:dataValidation type="list" sqref="B5">
      <x:formula1>"SI,Imperial,Mixed,Custom"</x:formula1>
    </x:dataValidation>
    <x:dataValidation type="list" sqref="J8">
      <x:formula1>"SI,Imperial,Mixed"</x:formula1>
    </x:dataValidation>
    <x:dataValidation type="list" sqref="J9">
      <x:formula1>"SI,Imperial,Mixed"</x:formula1>
    </x:dataValidation>
    <x:dataValidation type="list" sqref="J10">
      <x:formula1>"SI,Imperial,Mixed"</x:formula1>
    </x:dataValidation>
    <x:dataValidation type="list" sqref="J11">
      <x:formula1>"SI,Imperial,Mixed"</x:formula1>
    </x:dataValidation>
    <x:dataValidation type="list" sqref="J12">
      <x:formula1>"SI,Imperial,Mixed"</x:formula1>
    </x:dataValidation>
    <x:dataValidation type="list" sqref="J13">
      <x:formula1>"SI,Imperial,Mixed"</x:formula1>
    </x:dataValidation>
    <x:dataValidation type="list" sqref="J14">
      <x:formula1>"SI,Imperial,Mixed"</x:formula1>
    </x:dataValidation>
    <x:dataValidation type="list" sqref="J15">
      <x:formula1>"SI,Imperial,Mixed"</x:formula1>
    </x:dataValidation>
    <x:dataValidation type="list" sqref="J16">
      <x:formula1>"SI,Imperial,Mixed"</x:formula1>
    </x:dataValidation>
    <x:dataValidation type="list" sqref="J17">
      <x:formula1>"SI,Imperial,Mixed"</x:formula1>
    </x:dataValidation>
    <x:dataValidation type="list" sqref="J18">
      <x:formula1>"SI,Imperial,Mixed"</x:formula1>
    </x:dataValidation>
    <x:dataValidation type="list" sqref="J19">
      <x:formula1>"SI,Imperial,Mixed"</x:formula1>
    </x:dataValidation>
    <x:dataValidation type="list" sqref="J20">
      <x:formula1>"SI,Imperial,Mixed"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Checks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Model checks and operating-status gates</x:v>
      </x:c>
      <x:c r="B3" s="33" t="str">
        <x:v>Model checks and operating-status gates</x:v>
      </x:c>
      <x:c r="C3" s="33" t="str">
        <x:v>Model checks and operating-status gates</x:v>
      </x:c>
      <x:c r="D3" s="33" t="str">
        <x:v>Model checks and operating-status gates</x:v>
      </x:c>
      <x:c r="E3" s="32"/>
      <x:c r="F3" s="32"/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Check</x:v>
      </x:c>
      <x:c r="B5" s="34" t="str">
        <x:v>Result</x:v>
      </x:c>
      <x:c r="C5" s="34" t="str">
        <x:v>Status</x:v>
      </x:c>
      <x:c r="D5" s="34" t="str">
        <x:v>Required action</x:v>
      </x:c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8" t="str">
        <x:v>SI input source</x:v>
      </x:c>
      <x:c r="B6" s="38" t="str">
        <x:v>All calculation sources use SI units</x:v>
      </x:c>
      <x:c r="C6" s="38" t="str">
        <x:v>INFO</x:v>
      </x:c>
      <x:c r="D6" s="38" t="str">
        <x:v>Select display units only in Unit Map</x:v>
      </x:c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8" t="str">
        <x:v>Input completeness</x:v>
      </x:c>
      <x:c r="B7" s="38" t="str">
        <x:v>Refer to Inputs input-status cells</x:v>
      </x:c>
      <x:c r="C7" s="38" t="str">
        <x:v>PENDING</x:v>
      </x:c>
      <x:c r="D7" s="38" t="str">
        <x:v>Resolve blanks / invalid geometry</x:v>
      </x:c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8" t="str">
        <x:v>Limit screening</x:v>
      </x:c>
      <x:c r="B8" s="38" t="str">
        <x:v>Refer to Summary governing utilisation</x:v>
      </x:c>
      <x:c r="C8" s="38" t="str">
        <x:v>PENDING</x:v>
      </x:c>
      <x:c r="D8" s="38" t="str">
        <x:v>Review any value above 100%</x:v>
      </x:c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8" t="str">
        <x:v>Method basis</x:v>
      </x:c>
      <x:c r="B9" s="38" t="str">
        <x:v>Screening model; not controlled operational approval</x:v>
      </x:c>
      <x:c r="C9" s="38" t="str">
        <x:v>INFO</x:v>
      </x:c>
      <x:c r="D9" s="38" t="str">
        <x:v>Use approved engineering workflow for sign-off</x:v>
      </x:c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8" t="str">
        <x:v>External links / VBA</x:v>
      </x:c>
      <x:c r="B10" s="38" t="str">
        <x:v>None</x:v>
      </x:c>
      <x:c r="C10" s="38" t="str">
        <x:v>PASS</x:v>
      </x:c>
      <x:c r="D10" s="38" t="str">
        <x:v>Workbook remains portable and auditable</x:v>
      </x:c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</x:sheetData>
  <x:mergeCells>
    <x:mergeCell ref="A1:N1"/>
    <x:mergeCell ref="A3:D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Calc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Formula-driven profile: POOH, RIH, slide, rotate, backream and buckling screens</x:v>
      </x:c>
      <x:c r="B3" s="33" t="str">
        <x:v>Formula-driven profile: POOH, RIH, slide, rotate, backream and buckling screens</x:v>
      </x:c>
      <x:c r="C3" s="33" t="str">
        <x:v>Formula-driven profile: POOH, RIH, slide, rotate, backream and buckling screens</x:v>
      </x:c>
      <x:c r="D3" s="33" t="str">
        <x:v>Formula-driven profile: POOH, RIH, slide, rotate, backream and buckling screens</x:v>
      </x:c>
      <x:c r="E3" s="33" t="str">
        <x:v>Formula-driven profile: POOH, RIH, slide, rotate, backream and buckling screens</x:v>
      </x:c>
      <x:c r="F3" s="33" t="str">
        <x:v>Formula-driven profile: POOH, RIH, slide, rotate, backream and buckling screens</x:v>
      </x:c>
      <x:c r="G3" s="33" t="str">
        <x:v>Formula-driven profile: POOH, RIH, slide, rotate, backream and buckling screens</x:v>
      </x:c>
      <x:c r="H3" s="33" t="str">
        <x:v>Formula-driven profile: POOH, RIH, slide, rotate, backream and buckling screens</x:v>
      </x:c>
      <x:c r="I3" s="33" t="str">
        <x:v>Formula-driven profile: POOH, RIH, slide, rotate, backream and buckling screens</x:v>
      </x:c>
      <x:c r="J3" s="33" t="str">
        <x:v>Formula-driven profile: POOH, RIH, slide, rotate, backream and buckling screens</x:v>
      </x:c>
      <x:c r="K3" s="33" t="str">
        <x:v>Formula-driven profile: POOH, RIH, slide, rotate, backream and buckling screens</x:v>
      </x:c>
      <x:c r="L3" s="33" t="str">
        <x:v>Formula-driven profile: POOH, RIH, slide, rotate, backream and buckling screens</x:v>
      </x:c>
      <x:c r="M3" s="33" t="str">
        <x:v>Formula-driven profile: POOH, RIH, slide, rotate, backream and buckling screens</x:v>
      </x:c>
      <x:c r="N3" s="33" t="str">
        <x:v>Formula-driven profile: POOH, RIH, slide, rotate, backream and buckling screens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MD m</x:v>
      </x:c>
      <x:c r="B5" s="34" t="str">
        <x:v>dMD m</x:v>
      </x:c>
      <x:c r="C5" s="34" t="str">
        <x:v>Dogleg rad</x:v>
      </x:c>
      <x:c r="D5" s="34" t="str">
        <x:v>Buoyed w N/m</x:v>
      </x:c>
      <x:c r="E5" s="34" t="str">
        <x:v>Normal force N</x:v>
      </x:c>
      <x:c r="F5" s="34" t="str">
        <x:v>Drag N</x:v>
      </x:c>
      <x:c r="G5" s="34" t="str">
        <x:v>Axial POOH N</x:v>
      </x:c>
      <x:c r="H5" s="34" t="str">
        <x:v>Axial RIH N</x:v>
      </x:c>
      <x:c r="I5" s="34" t="str">
        <x:v>Slide torque N-m</x:v>
      </x:c>
      <x:c r="J5" s="34" t="str">
        <x:v>Rotate torque N-m</x:v>
      </x:c>
      <x:c r="K5" s="34" t="str">
        <x:v>Backream torque N-m</x:v>
      </x:c>
      <x:c r="L5" s="34" t="str">
        <x:v>Sinusoidal N</x:v>
      </x:c>
      <x:c r="M5" s="34" t="str">
        <x:v>Helical N</x:v>
      </x:c>
      <x:c r="N5" s="34" t="str">
        <x:v>Status</x:v>
      </x:c>
    </x:row>
    <x:row r="6">
      <x:c r="A6" s="35" t="n">
        <x:f>Survey!A6</x:f>
        <x:v>0</x:v>
      </x:c>
      <x:c r="B6" s="35" t="n">
        <x:f>0</x:f>
        <x:v>0</x:v>
      </x:c>
      <x:c r="C6" s="35" t="n">
        <x:f>0</x:f>
        <x:v>0</x:v>
      </x:c>
      <x:c r="D6" s="35" t="n">
        <x:f>7850*9.80665*PI()/4*(Inputs!$B$9^2-Inputs!$B$10^2)*(1-Inputs!$B$5/7850)</x:f>
        <x:v>222.03697982472235</x:v>
      </x:c>
      <x:c r="E6" s="35" t="n">
        <x:f>D6*B6*ABS(C6)</x:f>
        <x:v>0</x:v>
      </x:c>
      <x:c r="F6" s="35" t="n">
        <x:f>E6*Inputs!$B$6</x:f>
        <x:v>0</x:v>
      </x:c>
      <x:c r="G6" s="35" t="n">
        <x:f>Inputs!$B$7</x:f>
        <x:v>120000</x:v>
      </x:c>
      <x:c r="H6" s="35" t="n">
        <x:f>Inputs!$B$7</x:f>
        <x:v>120000</x:v>
      </x:c>
      <x:c r="I6" s="35" t="n">
        <x:f>Inputs!$B$8+F6*Inputs!$B$9/2</x:f>
        <x:v>26000</x:v>
      </x:c>
      <x:c r="J6" s="35" t="n">
        <x:f>Inputs!$B$8+F6*Inputs!$B$9</x:f>
        <x:v>26000</x:v>
      </x:c>
      <x:c r="K6" s="35" t="n">
        <x:f>Inputs!$B$8+F6*Inputs!$B$9*1.25</x:f>
        <x:v>26000</x:v>
      </x:c>
      <x:c r="L6" s="35" t="n">
        <x:f>2*SQRT((Inputs!$B$12*IF(Inputs!$C$12="GPa",1E9,IF(Inputs!$C$12="MPa",1E6,IF(Inputs!$C$12="Pa",1,IF(Inputs!$C$12="Mpsi",6894757293.168,IF(Inputs!$C$12="psi",6894.757293168,NA()))))))*PI()/64*(Inputs!$B$9^4-Inputs!$B$10^4)*E6/MAX(B6,1))</x:f>
        <x:v>0</x:v>
      </x:c>
      <x:c r="M6" s="35" t="n">
        <x:f>4*SQRT((Inputs!$B$12*IF(Inputs!$C$12="GPa",1E9,IF(Inputs!$C$12="MPa",1E6,IF(Inputs!$C$12="Pa",1,IF(Inputs!$C$12="Mpsi",6894757293.168,IF(Inputs!$C$12="psi",6894.757293168,NA()))))))*PI()/64*(Inputs!$B$9^4-Inputs!$B$10^4)*E6/MAX(B6,1))</x:f>
        <x:v>0</x:v>
      </x:c>
      <x:c r="N6" s="35" t="str">
        <x:f>IF(H6&lt;-M6,"REVIEW","PASS")</x:f>
        <x:v>PASS</x:v>
      </x:c>
    </x:row>
    <x:row r="7">
      <x:c r="A7" s="35" t="n">
        <x:f>Survey!A7</x:f>
        <x:v>155.10875760000002</x:v>
      </x:c>
      <x:c r="B7" s="35" t="n">
        <x:f>Survey!A7-Survey!A6</x:f>
        <x:v>155.10875760000002</x:v>
      </x:c>
      <x:c r="C7" s="35" t="n">
        <x:f>ACOS(COS(Survey!B6)*COS(Survey!B7)+SIN(Survey!B6)*SIN(Survey!B7)*COS(Survey!C7-Survey!C6))</x:f>
        <x:v>0.008499753457214215</x:v>
      </x:c>
      <x:c r="D7" s="35" t="n">
        <x:f>7850*9.80665*PI()/4*(Inputs!$B$9^2-Inputs!$B$10^2)*(1-Inputs!$B$5/7850)</x:f>
        <x:v>222.03697982472235</x:v>
      </x:c>
      <x:c r="E7" s="35" t="n">
        <x:f>D7*B7*ABS(C7)</x:f>
        <x:v>292.7304897919086</x:v>
      </x:c>
      <x:c r="F7" s="35" t="n">
        <x:f>E7*Inputs!$B$6</x:f>
        <x:v>70.25531755005807</x:v>
      </x:c>
      <x:c r="G7" s="35" t="n">
        <x:f>G6+D7*B7+F7</x:f>
        <x:v>154510.13539941903</x:v>
      </x:c>
      <x:c r="H7" s="35" t="n">
        <x:f>H6+D7*B7-F7</x:f>
        <x:v>154369.6247643189</x:v>
      </x:c>
      <x:c r="I7" s="35" t="n">
        <x:f>Inputs!$B$8+F7*Inputs!$B$9/2</x:f>
        <x:v>26004.461212664428</x:v>
      </x:c>
      <x:c r="J7" s="35" t="n">
        <x:f>Inputs!$B$8+F7*Inputs!$B$9</x:f>
        <x:v>26008.922425328856</x:v>
      </x:c>
      <x:c r="K7" s="35" t="n">
        <x:f>Inputs!$B$8+F7*Inputs!$B$9*1.25</x:f>
        <x:v>26011.153031661073</x:v>
      </x:c>
      <x:c r="L7" s="35" t="n">
        <x:f>2*SQRT((Inputs!$B$12*IF(Inputs!$C$12="GPa",1E9,IF(Inputs!$C$12="MPa",1E6,IF(Inputs!$C$12="Pa",1,IF(Inputs!$C$12="Mpsi",6894757293.168,IF(Inputs!$C$12="psi",6894.757293168,NA()))))))*PI()/64*(Inputs!$B$9^4-Inputs!$B$10^4)*E7/MAX(B7,1))</x:f>
        <x:v>3045.9878423456744</x:v>
      </x:c>
      <x:c r="M7" s="35" t="n">
        <x:f>4*SQRT((Inputs!$B$12*IF(Inputs!$C$12="GPa",1E9,IF(Inputs!$C$12="MPa",1E6,IF(Inputs!$C$12="Pa",1,IF(Inputs!$C$12="Mpsi",6894757293.168,IF(Inputs!$C$12="psi",6894.757293168,NA()))))))*PI()/64*(Inputs!$B$9^4-Inputs!$B$10^4)*E7/MAX(B7,1))</x:f>
        <x:v>6091.975684691349</x:v>
      </x:c>
      <x:c r="N7" s="35" t="str">
        <x:f>IF(H7&lt;-M7,"REVIEW","PASS")</x:f>
        <x:v>PASS</x:v>
      </x:c>
    </x:row>
    <x:row r="8">
      <x:c r="A8" s="35" t="n">
        <x:f>Survey!A8</x:f>
        <x:v>307.974492</x:v>
      </x:c>
      <x:c r="B8" s="35" t="n">
        <x:f>Survey!A8-Survey!A7</x:f>
        <x:v>152.86573439999998</x:v>
      </x:c>
      <x:c r="C8" s="35" t="n">
        <x:f>ACOS(COS(Survey!B7)*COS(Survey!B8)+SIN(Survey!B7)*SIN(Survey!B8)*COS(Survey!C8-Survey!C7))</x:f>
        <x:v>0.001955898460514405</x:v>
      </x:c>
      <x:c r="D8" s="35" t="n">
        <x:f>7850*9.80665*PI()/4*(Inputs!$B$9^2-Inputs!$B$10^2)*(1-Inputs!$B$5/7850)</x:f>
        <x:v>222.03697982472235</x:v>
      </x:c>
      <x:c r="E8" s="35" t="n">
        <x:f>D8*B8*ABS(C8)</x:f>
        <x:v>66.38680430881284</x:v>
      </x:c>
      <x:c r="F8" s="35" t="n">
        <x:f>E8*Inputs!$B$6</x:f>
        <x:v>15.932833034115081</x:v>
      </x:c>
      <x:c r="G8" s="35" t="n">
        <x:f>G7+D8*B8+F8</x:f>
        <x:v>188467.9142173173</x:v>
      </x:c>
      <x:c r="H8" s="35" t="n">
        <x:f>H7+D8*B8-F8</x:f>
        <x:v>188295.53791614895</x:v>
      </x:c>
      <x:c r="I8" s="35" t="n">
        <x:f>Inputs!$B$8+F8*Inputs!$B$9/2</x:f>
        <x:v>26001.011734897667</x:v>
      </x:c>
      <x:c r="J8" s="35" t="n">
        <x:f>Inputs!$B$8+F8*Inputs!$B$9</x:f>
        <x:v>26002.02346979533</x:v>
      </x:c>
      <x:c r="K8" s="35" t="n">
        <x:f>Inputs!$B$8+F8*Inputs!$B$9*1.25</x:f>
        <x:v>26002.529337244167</x:v>
      </x:c>
      <x:c r="L8" s="35" t="n">
        <x:f>2*SQRT((Inputs!$B$12*IF(Inputs!$C$12="GPa",1E9,IF(Inputs!$C$12="MPa",1E6,IF(Inputs!$C$12="Pa",1,IF(Inputs!$C$12="Mpsi",6894757293.168,IF(Inputs!$C$12="psi",6894.757293168,NA()))))))*PI()/64*(Inputs!$B$9^4-Inputs!$B$10^4)*E8/MAX(B8,1))</x:f>
        <x:v>1461.161274893059</x:v>
      </x:c>
      <x:c r="M8" s="35" t="n">
        <x:f>4*SQRT((Inputs!$B$12*IF(Inputs!$C$12="GPa",1E9,IF(Inputs!$C$12="MPa",1E6,IF(Inputs!$C$12="Pa",1,IF(Inputs!$C$12="Mpsi",6894757293.168,IF(Inputs!$C$12="psi",6894.757293168,NA()))))))*PI()/64*(Inputs!$B$9^4-Inputs!$B$10^4)*E8/MAX(B8,1))</x:f>
        <x:v>2922.322549786118</x:v>
      </x:c>
      <x:c r="N8" s="35" t="str">
        <x:f>IF(H8&lt;-M8,"REVIEW","PASS")</x:f>
        <x:v>PASS</x:v>
      </x:c>
    </x:row>
    <x:row r="9">
      <x:c r="A9" s="35" t="n">
        <x:f>Survey!A9</x:f>
        <x:v>460.2227016</x:v>
      </x:c>
      <x:c r="B9" s="35" t="n">
        <x:f>Survey!A9-Survey!A8</x:f>
        <x:v>152.2482096</x:v>
      </x:c>
      <x:c r="C9" s="35" t="n">
        <x:f>ACOS(COS(Survey!B8)*COS(Survey!B9)+SIN(Survey!B8)*SIN(Survey!B9)*COS(Survey!C9-Survey!C8))</x:f>
        <x:v>0.002687938455227633</x:v>
      </x:c>
      <x:c r="D9" s="35" t="n">
        <x:f>7850*9.80665*PI()/4*(Inputs!$B$9^2-Inputs!$B$10^2)*(1-Inputs!$B$5/7850)</x:f>
        <x:v>222.03697982472235</x:v>
      </x:c>
      <x:c r="E9" s="35" t="n">
        <x:f>D9*B9*ABS(C9)</x:f>
        <x:v>90.86504084062919</x:v>
      </x:c>
      <x:c r="F9" s="35" t="n">
        <x:f>E9*Inputs!$B$6</x:f>
        <x:v>21.807609801751006</x:v>
      </x:c>
      <x:c r="G9" s="35" t="n">
        <x:f>G8+D9*B9+F9</x:f>
        <x:v>222294.45447042436</x:v>
      </x:c>
      <x:c r="H9" s="35" t="n">
        <x:f>H8+D9*B9-F9</x:f>
        <x:v>222078.4629496525</x:v>
      </x:c>
      <x:c r="I9" s="35" t="n">
        <x:f>Inputs!$B$8+F9*Inputs!$B$9/2</x:f>
        <x:v>26001.384783222413</x:v>
      </x:c>
      <x:c r="J9" s="35" t="n">
        <x:f>Inputs!$B$8+F9*Inputs!$B$9</x:f>
        <x:v>26002.769566444822</x:v>
      </x:c>
      <x:c r="K9" s="35" t="n">
        <x:f>Inputs!$B$8+F9*Inputs!$B$9*1.25</x:f>
        <x:v>26003.46195805603</x:v>
      </x:c>
      <x:c r="L9" s="35" t="n">
        <x:f>2*SQRT((Inputs!$B$12*IF(Inputs!$C$12="GPa",1E9,IF(Inputs!$C$12="MPa",1E6,IF(Inputs!$C$12="Pa",1,IF(Inputs!$C$12="Mpsi",6894757293.168,IF(Inputs!$C$12="psi",6894.757293168,NA()))))))*PI()/64*(Inputs!$B$9^4-Inputs!$B$10^4)*E9/MAX(B9,1))</x:f>
        <x:v>1712.910460216405</x:v>
      </x:c>
      <x:c r="M9" s="35" t="n">
        <x:f>4*SQRT((Inputs!$B$12*IF(Inputs!$C$12="GPa",1E9,IF(Inputs!$C$12="MPa",1E6,IF(Inputs!$C$12="Pa",1,IF(Inputs!$C$12="Mpsi",6894757293.168,IF(Inputs!$C$12="psi",6894.757293168,NA()))))))*PI()/64*(Inputs!$B$9^4-Inputs!$B$10^4)*E9/MAX(B9,1))</x:f>
        <x:v>3425.82092043281</x:v>
      </x:c>
      <x:c r="N9" s="35" t="str">
        <x:f>IF(H9&lt;-M9,"REVIEW","PASS")</x:f>
        <x:v>PASS</x:v>
      </x:c>
    </x:row>
    <x:row r="10">
      <x:c r="A10" s="35" t="n">
        <x:f>Survey!A10</x:f>
        <x:v>611.9649432</x:v>
      </x:c>
      <x:c r="B10" s="35" t="n">
        <x:f>Survey!A10-Survey!A9</x:f>
        <x:v>151.7422416</x:v>
      </x:c>
      <x:c r="C10" s="35" t="n">
        <x:f>ACOS(COS(Survey!B9)*COS(Survey!B10)+SIN(Survey!B9)*SIN(Survey!B10)*COS(Survey!C10-Survey!C9))</x:f>
        <x:v>0.003613425743153162</x:v>
      </x:c>
      <x:c r="D10" s="35" t="n">
        <x:f>7850*9.80665*PI()/4*(Inputs!$B$9^2-Inputs!$B$10^2)*(1-Inputs!$B$5/7850)</x:f>
        <x:v>222.03697982472235</x:v>
      </x:c>
      <x:c r="E10" s="35" t="n">
        <x:f>D10*B10*ABS(C10)</x:f>
        <x:v>121.74494589353354</x:v>
      </x:c>
      <x:c r="F10" s="35" t="n">
        <x:f>E10*Inputs!$B$6</x:f>
        <x:v>29.218787014448047</x:v>
      </x:c>
      <x:c r="G10" s="35" t="n">
        <x:f>G9+D10*B10+F10</x:f>
        <x:v>256016.06229413615</x:v>
      </x:c>
      <x:c r="H10" s="35" t="n">
        <x:f>H9+D10*B10-F10</x:f>
        <x:v>255741.63319933537</x:v>
      </x:c>
      <x:c r="I10" s="35" t="n">
        <x:f>Inputs!$B$8+F10*Inputs!$B$9/2</x:f>
        <x:v>26001.855392975416</x:v>
      </x:c>
      <x:c r="J10" s="35" t="n">
        <x:f>Inputs!$B$8+F10*Inputs!$B$9</x:f>
        <x:v>26003.710785950836</x:v>
      </x:c>
      <x:c r="K10" s="35" t="n">
        <x:f>Inputs!$B$8+F10*Inputs!$B$9*1.25</x:f>
        <x:v>26004.638482438542</x:v>
      </x:c>
      <x:c r="L10" s="35" t="n">
        <x:f>2*SQRT((Inputs!$B$12*IF(Inputs!$C$12="GPa",1E9,IF(Inputs!$C$12="MPa",1E6,IF(Inputs!$C$12="Pa",1,IF(Inputs!$C$12="Mpsi",6894757293.168,IF(Inputs!$C$12="psi",6894.757293168,NA()))))))*PI()/64*(Inputs!$B$9^4-Inputs!$B$10^4)*E10/MAX(B10,1))</x:f>
        <x:v>1986.0243471491665</x:v>
      </x:c>
      <x:c r="M10" s="35" t="n">
        <x:f>4*SQRT((Inputs!$B$12*IF(Inputs!$C$12="GPa",1E9,IF(Inputs!$C$12="MPa",1E6,IF(Inputs!$C$12="Pa",1,IF(Inputs!$C$12="Mpsi",6894757293.168,IF(Inputs!$C$12="psi",6894.757293168,NA()))))))*PI()/64*(Inputs!$B$9^4-Inputs!$B$10^4)*E10/MAX(B10,1))</x:f>
        <x:v>3972.048694298333</x:v>
      </x:c>
      <x:c r="N10" s="35" t="str">
        <x:f>IF(H10&lt;-M10,"REVIEW","PASS")</x:f>
        <x:v>PASS</x:v>
      </x:c>
    </x:row>
    <x:row r="11">
      <x:c r="A11" s="35" t="n">
        <x:f>Survey!A11</x:f>
        <x:v>763.5706344</x:v>
      </x:c>
      <x:c r="B11" s="35" t="n">
        <x:f>Survey!A11-Survey!A10</x:f>
        <x:v>151.60569120000002</x:v>
      </x:c>
      <x:c r="C11" s="35" t="n">
        <x:f>ACOS(COS(Survey!B10)*COS(Survey!B11)+SIN(Survey!B10)*SIN(Survey!B11)*COS(Survey!C11-Survey!C10))</x:f>
        <x:v>0.004992445901641772</x:v>
      </x:c>
      <x:c r="D11" s="35" t="n">
        <x:f>7850*9.80665*PI()/4*(Inputs!$B$9^2-Inputs!$B$10^2)*(1-Inputs!$B$5/7850)</x:f>
        <x:v>222.03697982472235</x:v>
      </x:c>
      <x:c r="E11" s="35" t="n">
        <x:f>D11*B11*ABS(C11)</x:f>
        <x:v>168.0560624052397</x:v>
      </x:c>
      <x:c r="F11" s="35" t="n">
        <x:f>E11*Inputs!$B$6</x:f>
        <x:v>40.333454977257524</x:v>
      </x:c>
      <x:c r="G11" s="35" t="n">
        <x:f>G10+D11*B11+F11</x:f>
        <x:v>289718.4655474009</x:v>
      </x:c>
      <x:c r="H11" s="35" t="n">
        <x:f>H10+D11*B11-F11</x:f>
        <x:v>289363.3695426456</x:v>
      </x:c>
      <x:c r="I11" s="35" t="n">
        <x:f>Inputs!$B$8+F11*Inputs!$B$9/2</x:f>
        <x:v>26002.561174391056</x:v>
      </x:c>
      <x:c r="J11" s="35" t="n">
        <x:f>Inputs!$B$8+F11*Inputs!$B$9</x:f>
        <x:v>26005.12234878211</x:v>
      </x:c>
      <x:c r="K11" s="35" t="n">
        <x:f>Inputs!$B$8+F11*Inputs!$B$9*1.25</x:f>
        <x:v>26006.40293597764</x:v>
      </x:c>
      <x:c r="L11" s="35" t="n">
        <x:f>2*SQRT((Inputs!$B$12*IF(Inputs!$C$12="GPa",1E9,IF(Inputs!$C$12="MPa",1E6,IF(Inputs!$C$12="Pa",1,IF(Inputs!$C$12="Mpsi",6894757293.168,IF(Inputs!$C$12="psi",6894.757293168,NA()))))))*PI()/64*(Inputs!$B$9^4-Inputs!$B$10^4)*E11/MAX(B11,1))</x:f>
        <x:v>2334.434457092405</x:v>
      </x:c>
      <x:c r="M11" s="35" t="n">
        <x:f>4*SQRT((Inputs!$B$12*IF(Inputs!$C$12="GPa",1E9,IF(Inputs!$C$12="MPa",1E6,IF(Inputs!$C$12="Pa",1,IF(Inputs!$C$12="Mpsi",6894757293.168,IF(Inputs!$C$12="psi",6894.757293168,NA()))))))*PI()/64*(Inputs!$B$9^4-Inputs!$B$10^4)*E11/MAX(B11,1))</x:f>
        <x:v>4668.86891418481</x:v>
      </x:c>
      <x:c r="N11" s="35" t="str">
        <x:f>IF(H11&lt;-M11,"REVIEW","PASS")</x:f>
        <x:v>PASS</x:v>
      </x:c>
    </x:row>
    <x:row r="12">
      <x:c r="A12" s="35" t="n">
        <x:f>Survey!A12</x:f>
        <x:v>915.4786872000001</x:v>
      </x:c>
      <x:c r="B12" s="35" t="n">
        <x:f>Survey!A12-Survey!A11</x:f>
        <x:v>151.90805280000006</x:v>
      </x:c>
      <x:c r="C12" s="35" t="n">
        <x:f>ACOS(COS(Survey!B11)*COS(Survey!B12)+SIN(Survey!B11)*SIN(Survey!B12)*COS(Survey!C12-Survey!C11))</x:f>
        <x:v>0.0011738148326782972</x:v>
      </x:c>
      <x:c r="D12" s="35" t="n">
        <x:f>7850*9.80665*PI()/4*(Inputs!$B$9^2-Inputs!$B$10^2)*(1-Inputs!$B$5/7850)</x:f>
        <x:v>222.03697982472235</x:v>
      </x:c>
      <x:c r="E12" s="35" t="n">
        <x:f>D12*B12*ABS(C12)</x:f>
        <x:v>39.59184142249565</x:v>
      </x:c>
      <x:c r="F12" s="35" t="n">
        <x:f>E12*Inputs!$B$6</x:f>
        <x:v>9.502041941398955</x:v>
      </x:c>
      <x:c r="G12" s="35" t="n">
        <x:f>G11+D12*B12+F12</x:f>
        <x:v>323457.1728441087</x:v>
      </x:c>
      <x:c r="H12" s="35" t="n">
        <x:f>H11+D12*B12-F12</x:f>
        <x:v>323083.07275547064</x:v>
      </x:c>
      <x:c r="I12" s="35" t="n">
        <x:f>Inputs!$B$8+F12*Inputs!$B$9/2</x:f>
        <x:v>26000.60337966328</x:v>
      </x:c>
      <x:c r="J12" s="35" t="n">
        <x:f>Inputs!$B$8+F12*Inputs!$B$9</x:f>
        <x:v>26001.206759326556</x:v>
      </x:c>
      <x:c r="K12" s="35" t="n">
        <x:f>Inputs!$B$8+F12*Inputs!$B$9*1.25</x:f>
        <x:v>26001.5084491582</x:v>
      </x:c>
      <x:c r="L12" s="35" t="n">
        <x:f>2*SQRT((Inputs!$B$12*IF(Inputs!$C$12="GPa",1E9,IF(Inputs!$C$12="MPa",1E6,IF(Inputs!$C$12="Pa",1,IF(Inputs!$C$12="Mpsi",6894757293.168,IF(Inputs!$C$12="psi",6894.757293168,NA()))))))*PI()/64*(Inputs!$B$9^4-Inputs!$B$10^4)*E12/MAX(B12,1))</x:f>
        <x:v>1131.943624491696</x:v>
      </x:c>
      <x:c r="M12" s="35" t="n">
        <x:f>4*SQRT((Inputs!$B$12*IF(Inputs!$C$12="GPa",1E9,IF(Inputs!$C$12="MPa",1E6,IF(Inputs!$C$12="Pa",1,IF(Inputs!$C$12="Mpsi",6894757293.168,IF(Inputs!$C$12="psi",6894.757293168,NA()))))))*PI()/64*(Inputs!$B$9^4-Inputs!$B$10^4)*E12/MAX(B12,1))</x:f>
        <x:v>2263.887248983392</x:v>
      </x:c>
      <x:c r="N12" s="35" t="str">
        <x:f>IF(H12&lt;-M12,"REVIEW","PASS")</x:f>
        <x:v>PASS</x:v>
      </x:c>
    </x:row>
    <x:row r="13">
      <x:c r="A13" s="35" t="n">
        <x:f>Survey!A13</x:f>
        <x:v>1067.9740896</x:v>
      </x:c>
      <x:c r="B13" s="35" t="n">
        <x:f>Survey!A13-Survey!A12</x:f>
        <x:v>152.4954024</x:v>
      </x:c>
      <x:c r="C13" s="35" t="n">
        <x:f>ACOS(COS(Survey!B12)*COS(Survey!B13)+SIN(Survey!B12)*SIN(Survey!B13)*COS(Survey!C13-Survey!C12))</x:f>
        <x:v>0.003385959841787336</x:v>
      </x:c>
      <x:c r="D13" s="35" t="n">
        <x:f>7850*9.80665*PI()/4*(Inputs!$B$9^2-Inputs!$B$10^2)*(1-Inputs!$B$5/7850)</x:f>
        <x:v>222.03697982472235</x:v>
      </x:c>
      <x:c r="E13" s="35" t="n">
        <x:f>D13*B13*ABS(C13)</x:f>
        <x:v>114.64730879060721</x:v>
      </x:c>
      <x:c r="F13" s="35" t="n">
        <x:f>E13*Inputs!$B$6</x:f>
        <x:v>27.51535410974573</x:v>
      </x:c>
      <x:c r="G13" s="35" t="n">
        <x:f>G12+D13*B13+F13</x:f>
        <x:v>357344.30678427016</x:v>
      </x:c>
      <x:c r="H13" s="35" t="n">
        <x:f>H12+D13*B13-F13</x:f>
        <x:v>356915.17598741263</x:v>
      </x:c>
      <x:c r="I13" s="35" t="n">
        <x:f>Inputs!$B$8+F13*Inputs!$B$9/2</x:f>
        <x:v>26001.747224985967</x:v>
      </x:c>
      <x:c r="J13" s="35" t="n">
        <x:f>Inputs!$B$8+F13*Inputs!$B$9</x:f>
        <x:v>26003.49444997194</x:v>
      </x:c>
      <x:c r="K13" s="35" t="n">
        <x:f>Inputs!$B$8+F13*Inputs!$B$9*1.25</x:f>
        <x:v>26004.36806246492</x:v>
      </x:c>
      <x:c r="L13" s="35" t="n">
        <x:f>2*SQRT((Inputs!$B$12*IF(Inputs!$C$12="GPa",1E9,IF(Inputs!$C$12="MPa",1E6,IF(Inputs!$C$12="Pa",1,IF(Inputs!$C$12="Mpsi",6894757293.168,IF(Inputs!$C$12="psi",6894.757293168,NA()))))))*PI()/64*(Inputs!$B$9^4-Inputs!$B$10^4)*E13/MAX(B13,1))</x:f>
        <x:v>1922.4980265136417</x:v>
      </x:c>
      <x:c r="M13" s="35" t="n">
        <x:f>4*SQRT((Inputs!$B$12*IF(Inputs!$C$12="GPa",1E9,IF(Inputs!$C$12="MPa",1E6,IF(Inputs!$C$12="Pa",1,IF(Inputs!$C$12="Mpsi",6894757293.168,IF(Inputs!$C$12="psi",6894.757293168,NA()))))))*PI()/64*(Inputs!$B$9^4-Inputs!$B$10^4)*E13/MAX(B13,1))</x:f>
        <x:v>3844.9960530272833</x:v>
      </x:c>
      <x:c r="N13" s="35" t="str">
        <x:f>IF(H13&lt;-M13,"REVIEW","PASS")</x:f>
        <x:v>PASS</x:v>
      </x:c>
    </x:row>
    <x:row r="14">
      <x:c r="A14" s="35" t="n">
        <x:f>Survey!A14</x:f>
        <x:v>1221.042516</x:v>
      </x:c>
      <x:c r="B14" s="35" t="n">
        <x:f>Survey!A14-Survey!A13</x:f>
        <x:v>153.0684263999999</x:v>
      </x:c>
      <x:c r="C14" s="35" t="n">
        <x:f>ACOS(COS(Survey!B13)*COS(Survey!B14)+SIN(Survey!B13)*SIN(Survey!B14)*COS(Survey!C14-Survey!C13))</x:f>
        <x:v>0.001780935989152678</x:v>
      </x:c>
      <x:c r="D14" s="35" t="n">
        <x:f>7850*9.80665*PI()/4*(Inputs!$B$9^2-Inputs!$B$10^2)*(1-Inputs!$B$5/7850)</x:f>
        <x:v>222.03697982472235</x:v>
      </x:c>
      <x:c r="E14" s="35" t="n">
        <x:f>D14*B14*ABS(C14)</x:f>
        <x:v>60.528406289761605</x:v>
      </x:c>
      <x:c r="F14" s="35" t="n">
        <x:f>E14*Inputs!$B$6</x:f>
        <x:v>14.526817509542784</x:v>
      </x:c>
      <x:c r="G14" s="35" t="n">
        <x:f>G13+D14*B14+F14</x:f>
        <x:v>391345.68470615847</x:v>
      </x:c>
      <x:c r="H14" s="35" t="n">
        <x:f>H13+D14*B14-F14</x:f>
        <x:v>390887.50027428183</x:v>
      </x:c>
      <x:c r="I14" s="35" t="n">
        <x:f>Inputs!$B$8+F14*Inputs!$B$9/2</x:f>
        <x:v>26000.922452911855</x:v>
      </x:c>
      <x:c r="J14" s="35" t="n">
        <x:f>Inputs!$B$8+F14*Inputs!$B$9</x:f>
        <x:v>26001.844905823713</x:v>
      </x:c>
      <x:c r="K14" s="35" t="n">
        <x:f>Inputs!$B$8+F14*Inputs!$B$9*1.25</x:f>
        <x:v>26002.30613227964</x:v>
      </x:c>
      <x:c r="L14" s="35" t="n">
        <x:f>2*SQRT((Inputs!$B$12*IF(Inputs!$C$12="GPa",1E9,IF(Inputs!$C$12="MPa",1E6,IF(Inputs!$C$12="Pa",1,IF(Inputs!$C$12="Mpsi",6894757293.168,IF(Inputs!$C$12="psi",6894.757293168,NA()))))))*PI()/64*(Inputs!$B$9^4-Inputs!$B$10^4)*E14/MAX(B14,1))</x:f>
        <x:v>1394.2772985072377</x:v>
      </x:c>
      <x:c r="M14" s="35" t="n">
        <x:f>4*SQRT((Inputs!$B$12*IF(Inputs!$C$12="GPa",1E9,IF(Inputs!$C$12="MPa",1E6,IF(Inputs!$C$12="Pa",1,IF(Inputs!$C$12="Mpsi",6894757293.168,IF(Inputs!$C$12="psi",6894.757293168,NA()))))))*PI()/64*(Inputs!$B$9^4-Inputs!$B$10^4)*E14/MAX(B14,1))</x:f>
        <x:v>2788.5545970144753</x:v>
      </x:c>
      <x:c r="N14" s="35" t="str">
        <x:f>IF(H14&lt;-M14,"REVIEW","PASS")</x:f>
        <x:v>PASS</x:v>
      </x:c>
    </x:row>
    <x:row r="15">
      <x:c r="A15" s="35" t="n">
        <x:f>Survey!A15</x:f>
        <x:v>1374.3773376000001</x:v>
      </x:c>
      <x:c r="B15" s="35" t="n">
        <x:f>Survey!A15-Survey!A14</x:f>
        <x:v>153.33482160000017</x:v>
      </x:c>
      <x:c r="C15" s="35" t="n">
        <x:f>ACOS(COS(Survey!B14)*COS(Survey!B15)+SIN(Survey!B14)*SIN(Survey!B15)*COS(Survey!C15-Survey!C14))</x:f>
        <x:v>0.004521500413018043</x:v>
      </x:c>
      <x:c r="D15" s="35" t="n">
        <x:f>7850*9.80665*PI()/4*(Inputs!$B$9^2-Inputs!$B$10^2)*(1-Inputs!$B$5/7850)</x:f>
        <x:v>222.03697982472235</x:v>
      </x:c>
      <x:c r="E15" s="35" t="n">
        <x:f>D15*B15*ABS(C15)</x:f>
        <x:v>153.939006181568</x:v>
      </x:c>
      <x:c r="F15" s="35" t="n">
        <x:f>E15*Inputs!$B$6</x:f>
        <x:v>36.94536148357632</x:v>
      </x:c>
      <x:c r="G15" s="35" t="n">
        <x:f>G14+D15*B15+F15</x:f>
        <x:v>425428.63075766864</x:v>
      </x:c>
      <x:c r="H15" s="35" t="n">
        <x:f>H14+D15*B15-F15</x:f>
        <x:v>424896.5556028249</x:v>
      </x:c>
      <x:c r="I15" s="35" t="n">
        <x:f>Inputs!$B$8+F15*Inputs!$B$9/2</x:f>
        <x:v>26002.346030454206</x:v>
      </x:c>
      <x:c r="J15" s="35" t="n">
        <x:f>Inputs!$B$8+F15*Inputs!$B$9</x:f>
        <x:v>26004.692060908415</x:v>
      </x:c>
      <x:c r="K15" s="35" t="n">
        <x:f>Inputs!$B$8+F15*Inputs!$B$9*1.25</x:f>
        <x:v>26005.865076135517</x:v>
      </x:c>
      <x:c r="L15" s="35" t="n">
        <x:f>2*SQRT((Inputs!$B$12*IF(Inputs!$C$12="GPa",1E9,IF(Inputs!$C$12="MPa",1E6,IF(Inputs!$C$12="Pa",1,IF(Inputs!$C$12="Mpsi",6894757293.168,IF(Inputs!$C$12="psi",6894.757293168,NA()))))))*PI()/64*(Inputs!$B$9^4-Inputs!$B$10^4)*E15/MAX(B15,1))</x:f>
        <x:v>2221.60215796265</x:v>
      </x:c>
      <x:c r="M15" s="35" t="n">
        <x:f>4*SQRT((Inputs!$B$12*IF(Inputs!$C$12="GPa",1E9,IF(Inputs!$C$12="MPa",1E6,IF(Inputs!$C$12="Pa",1,IF(Inputs!$C$12="Mpsi",6894757293.168,IF(Inputs!$C$12="psi",6894.757293168,NA()))))))*PI()/64*(Inputs!$B$9^4-Inputs!$B$10^4)*E15/MAX(B15,1))</x:f>
        <x:v>4443.2043159253</x:v>
      </x:c>
      <x:c r="N15" s="35" t="str">
        <x:f>IF(H15&lt;-M15,"REVIEW","PASS")</x:f>
        <x:v>PASS</x:v>
      </x:c>
    </x:row>
    <x:row r="16">
      <x:c r="A16" s="35" t="n">
        <x:f>Survey!A16</x:f>
        <x:v>1527.5362896000001</x:v>
      </x:c>
      <x:c r="B16" s="35" t="n">
        <x:f>Survey!A16-Survey!A15</x:f>
        <x:v>153.158952</x:v>
      </x:c>
      <x:c r="C16" s="35" t="n">
        <x:f>ACOS(COS(Survey!B15)*COS(Survey!B16)+SIN(Survey!B15)*SIN(Survey!B16)*COS(Survey!C16-Survey!C15))</x:f>
        <x:v>0.00038836786947261254</x:v>
      </x:c>
      <x:c r="D16" s="35" t="n">
        <x:f>7850*9.80665*PI()/4*(Inputs!$B$9^2-Inputs!$B$10^2)*(1-Inputs!$B$5/7850)</x:f>
        <x:v>222.03697982472235</x:v>
      </x:c>
      <x:c r="E16" s="35" t="n">
        <x:f>D16*B16*ABS(C16)</x:f>
        <x:v>13.207207159636718</x:v>
      </x:c>
      <x:c r="F16" s="35" t="n">
        <x:f>E16*Inputs!$B$6</x:f>
        <x:v>3.169729718312812</x:v>
      </x:c>
      <x:c r="G16" s="35" t="n">
        <x:f>G15+D16*B16+F16</x:f>
        <x:v>459438.75162258657</x:v>
      </x:c>
      <x:c r="H16" s="35" t="n">
        <x:f>H15+D16*B16-F16</x:f>
        <x:v>458900.33700830623</x:v>
      </x:c>
      <x:c r="I16" s="35" t="n">
        <x:f>Inputs!$B$8+F16*Inputs!$B$9/2</x:f>
        <x:v>26000.201277837114</x:v>
      </x:c>
      <x:c r="J16" s="35" t="n">
        <x:f>Inputs!$B$8+F16*Inputs!$B$9</x:f>
        <x:v>26000.402555674227</x:v>
      </x:c>
      <x:c r="K16" s="35" t="n">
        <x:f>Inputs!$B$8+F16*Inputs!$B$9*1.25</x:f>
        <x:v>26000.50319459278</x:v>
      </x:c>
      <x:c r="L16" s="35" t="n">
        <x:f>2*SQRT((Inputs!$B$12*IF(Inputs!$C$12="GPa",1E9,IF(Inputs!$C$12="MPa",1E6,IF(Inputs!$C$12="Pa",1,IF(Inputs!$C$12="Mpsi",6894757293.168,IF(Inputs!$C$12="psi",6894.757293168,NA()))))))*PI()/64*(Inputs!$B$9^4-Inputs!$B$10^4)*E16/MAX(B16,1))</x:f>
        <x:v>651.098429003259</x:v>
      </x:c>
      <x:c r="M16" s="35" t="n">
        <x:f>4*SQRT((Inputs!$B$12*IF(Inputs!$C$12="GPa",1E9,IF(Inputs!$C$12="MPa",1E6,IF(Inputs!$C$12="Pa",1,IF(Inputs!$C$12="Mpsi",6894757293.168,IF(Inputs!$C$12="psi",6894.757293168,NA()))))))*PI()/64*(Inputs!$B$9^4-Inputs!$B$10^4)*E16/MAX(B16,1))</x:f>
        <x:v>1302.196858006518</x:v>
      </x:c>
      <x:c r="N16" s="35" t="str">
        <x:f>IF(H16&lt;-M16,"REVIEW","PASS")</x:f>
        <x:v>PASS</x:v>
      </x:c>
    </x:row>
    <x:row r="17">
      <x:c r="A17" s="35" t="n">
        <x:f>Survey!A17</x:f>
        <x:v>1565.8667184</x:v>
      </x:c>
      <x:c r="B17" s="35" t="n">
        <x:f>Survey!A17-Survey!A16</x:f>
        <x:v>38.330428799999936</x:v>
      </x:c>
      <x:c r="C17" s="35" t="n">
        <x:f>ACOS(COS(Survey!B16)*COS(Survey!B17)+SIN(Survey!B16)*SIN(Survey!B17)*COS(Survey!C17-Survey!C16))</x:f>
        <x:v>0.19597173245837152</x:v>
      </x:c>
      <x:c r="D17" s="35" t="n">
        <x:f>7850*9.80665*PI()/4*(Inputs!$B$9^2-Inputs!$B$10^2)*(1-Inputs!$B$5/7850)</x:f>
        <x:v>222.03697982472235</x:v>
      </x:c>
      <x:c r="E17" s="35" t="n">
        <x:f>D17*B17*ABS(C17)</x:f>
        <x:v>1667.870860023089</x:v>
      </x:c>
      <x:c r="F17" s="35" t="n">
        <x:f>E17*Inputs!$B$6</x:f>
        <x:v>400.2890064055414</x:v>
      </x:c>
      <x:c r="G17" s="35" t="n">
        <x:f>G16+D17*B17+F17</x:f>
        <x:v>468349.8132751307</x:v>
      </x:c>
      <x:c r="H17" s="35" t="n">
        <x:f>H16+D17*B17-F17</x:f>
        <x:v>467010.8206480392</x:v>
      </x:c>
      <x:c r="I17" s="35" t="n">
        <x:f>Inputs!$B$8+F17*Inputs!$B$9/2</x:f>
        <x:v>26025.418351906752</x:v>
      </x:c>
      <x:c r="J17" s="35" t="n">
        <x:f>Inputs!$B$8+F17*Inputs!$B$9</x:f>
        <x:v>26050.836703813504</x:v>
      </x:c>
      <x:c r="K17" s="35" t="n">
        <x:f>Inputs!$B$8+F17*Inputs!$B$9*1.25</x:f>
        <x:v>26063.54587976688</x:v>
      </x:c>
      <x:c r="L17" s="35" t="n">
        <x:f>2*SQRT((Inputs!$B$12*IF(Inputs!$C$12="GPa",1E9,IF(Inputs!$C$12="MPa",1E6,IF(Inputs!$C$12="Pa",1,IF(Inputs!$C$12="Mpsi",6894757293.168,IF(Inputs!$C$12="psi",6894.757293168,NA()))))))*PI()/64*(Inputs!$B$9^4-Inputs!$B$10^4)*E17/MAX(B17,1))</x:f>
        <x:v>14625.870276492271</x:v>
      </x:c>
      <x:c r="M17" s="35" t="n">
        <x:f>4*SQRT((Inputs!$B$12*IF(Inputs!$C$12="GPa",1E9,IF(Inputs!$C$12="MPa",1E6,IF(Inputs!$C$12="Pa",1,IF(Inputs!$C$12="Mpsi",6894757293.168,IF(Inputs!$C$12="psi",6894.757293168,NA()))))))*PI()/64*(Inputs!$B$9^4-Inputs!$B$10^4)*E17/MAX(B17,1))</x:f>
        <x:v>29251.740552984542</x:v>
      </x:c>
      <x:c r="N17" s="35" t="str">
        <x:f>IF(H17&lt;-M17,"REVIEW","PASS")</x:f>
        <x:v>PASS</x:v>
      </x:c>
    </x:row>
    <x:row r="18">
      <x:c r="A18" s="35" t="n">
        <x:f>Survey!A18</x:f>
        <x:v>1603.5857184000001</x:v>
      </x:c>
      <x:c r="B18" s="35" t="n">
        <x:f>Survey!A18-Survey!A17</x:f>
        <x:v>37.71900000000005</x:v>
      </x:c>
      <x:c r="C18" s="35" t="n">
        <x:f>ACOS(COS(Survey!B17)*COS(Survey!B18)+SIN(Survey!B17)*SIN(Survey!B18)*COS(Survey!C18-Survey!C17))</x:f>
        <x:v>0.1800443888486791</x:v>
      </x:c>
      <x:c r="D18" s="35" t="n">
        <x:f>7850*9.80665*PI()/4*(Inputs!$B$9^2-Inputs!$B$10^2)*(1-Inputs!$B$5/7850)</x:f>
        <x:v>222.03697982472235</x:v>
      </x:c>
      <x:c r="E18" s="35" t="n">
        <x:f>D18*B18*ABS(C18)</x:f>
        <x:v>1507.8740687392979</x:v>
      </x:c>
      <x:c r="F18" s="35" t="n">
        <x:f>E18*Inputs!$B$6</x:f>
        <x:v>361.88977649743146</x:v>
      </x:c>
      <x:c r="G18" s="35" t="n">
        <x:f>G17+D18*B18+F18</x:f>
        <x:v>477086.71589363687</x:v>
      </x:c>
      <x:c r="H18" s="35" t="n">
        <x:f>H17+D18*B18-F18</x:f>
        <x:v>475023.9437135505</x:v>
      </x:c>
      <x:c r="I18" s="35" t="n">
        <x:f>Inputs!$B$8+F18*Inputs!$B$9/2</x:f>
        <x:v>26022.980000807587</x:v>
      </x:c>
      <x:c r="J18" s="35" t="n">
        <x:f>Inputs!$B$8+F18*Inputs!$B$9</x:f>
        <x:v>26045.960001615174</x:v>
      </x:c>
      <x:c r="K18" s="35" t="n">
        <x:f>Inputs!$B$8+F18*Inputs!$B$9*1.25</x:f>
        <x:v>26057.450002018966</x:v>
      </x:c>
      <x:c r="L18" s="35" t="n">
        <x:f>2*SQRT((Inputs!$B$12*IF(Inputs!$C$12="GPa",1E9,IF(Inputs!$C$12="MPa",1E6,IF(Inputs!$C$12="Pa",1,IF(Inputs!$C$12="Mpsi",6894757293.168,IF(Inputs!$C$12="psi",6894.757293168,NA()))))))*PI()/64*(Inputs!$B$9^4-Inputs!$B$10^4)*E18/MAX(B18,1))</x:f>
        <x:v>14018.927722546516</x:v>
      </x:c>
      <x:c r="M18" s="35" t="n">
        <x:f>4*SQRT((Inputs!$B$12*IF(Inputs!$C$12="GPa",1E9,IF(Inputs!$C$12="MPa",1E6,IF(Inputs!$C$12="Pa",1,IF(Inputs!$C$12="Mpsi",6894757293.168,IF(Inputs!$C$12="psi",6894.757293168,NA()))))))*PI()/64*(Inputs!$B$9^4-Inputs!$B$10^4)*E18/MAX(B18,1))</x:f>
        <x:v>28037.85544509303</x:v>
      </x:c>
      <x:c r="N18" s="35" t="str">
        <x:f>IF(H18&lt;-M18,"REVIEW","PASS")</x:f>
        <x:v>PASS</x:v>
      </x:c>
    </x:row>
    <x:row r="19">
      <x:c r="A19" s="35" t="n">
        <x:f>Survey!A19</x:f>
        <x:v>1640.9209752000002</x:v>
      </x:c>
      <x:c r="B19" s="35" t="n">
        <x:f>Survey!A19-Survey!A18</x:f>
        <x:v>37.335256800000025</x:v>
      </x:c>
      <x:c r="C19" s="35" t="n">
        <x:f>ACOS(COS(Survey!B18)*COS(Survey!B19)+SIN(Survey!B18)*SIN(Survey!B19)*COS(Survey!C19-Survey!C18))</x:f>
        <x:v>0.1661534375269788</x:v>
      </x:c>
      <x:c r="D19" s="35" t="n">
        <x:f>7850*9.80665*PI()/4*(Inputs!$B$9^2-Inputs!$B$10^2)*(1-Inputs!$B$5/7850)</x:f>
        <x:v>222.03697982472235</x:v>
      </x:c>
      <x:c r="E19" s="35" t="n">
        <x:f>D19*B19*ABS(C19)</x:f>
        <x:v>1377.380039288115</x:v>
      </x:c>
      <x:c r="F19" s="35" t="n">
        <x:f>E19*Inputs!$B$6</x:f>
        <x:v>330.5712094291476</x:v>
      </x:c>
      <x:c r="G19" s="35" t="n">
        <x:f>G18+D19*B19+F19</x:f>
        <x:v>485707.09476391843</x:v>
      </x:c>
      <x:c r="H19" s="35" t="n">
        <x:f>H18+D19*B19-F19</x:f>
        <x:v>482983.18016497383</x:v>
      </x:c>
      <x:c r="I19" s="35" t="n">
        <x:f>Inputs!$B$8+F19*Inputs!$B$9/2</x:f>
        <x:v>26020.99127179875</x:v>
      </x:c>
      <x:c r="J19" s="35" t="n">
        <x:f>Inputs!$B$8+F19*Inputs!$B$9</x:f>
        <x:v>26041.982543597504</x:v>
      </x:c>
      <x:c r="K19" s="35" t="n">
        <x:f>Inputs!$B$8+F19*Inputs!$B$9*1.25</x:f>
        <x:v>26052.478179496877</x:v>
      </x:c>
      <x:c r="L19" s="35" t="n">
        <x:f>2*SQRT((Inputs!$B$12*IF(Inputs!$C$12="GPa",1E9,IF(Inputs!$C$12="MPa",1E6,IF(Inputs!$C$12="Pa",1,IF(Inputs!$C$12="Mpsi",6894757293.168,IF(Inputs!$C$12="psi",6894.757293168,NA()))))))*PI()/64*(Inputs!$B$9^4-Inputs!$B$10^4)*E19/MAX(B19,1))</x:f>
        <x:v>13467.273080777122</x:v>
      </x:c>
      <x:c r="M19" s="35" t="n">
        <x:f>4*SQRT((Inputs!$B$12*IF(Inputs!$C$12="GPa",1E9,IF(Inputs!$C$12="MPa",1E6,IF(Inputs!$C$12="Pa",1,IF(Inputs!$C$12="Mpsi",6894757293.168,IF(Inputs!$C$12="psi",6894.757293168,NA()))))))*PI()/64*(Inputs!$B$9^4-Inputs!$B$10^4)*E19/MAX(B19,1))</x:f>
        <x:v>26934.546161554244</x:v>
      </x:c>
      <x:c r="N19" s="35" t="str">
        <x:f>IF(H19&lt;-M19,"REVIEW","PASS")</x:f>
        <x:v>PASS</x:v>
      </x:c>
    </x:row>
    <x:row r="20">
      <x:c r="A20" s="35" t="n">
        <x:f>Survey!A20</x:f>
        <x:v>1678.2970752</x:v>
      </x:c>
      <x:c r="B20" s="35" t="n">
        <x:f>Survey!A20-Survey!A19</x:f>
        <x:v>37.37609999999995</x:v>
      </x:c>
      <x:c r="C20" s="35" t="n">
        <x:f>ACOS(COS(Survey!B19)*COS(Survey!B20)+SIN(Survey!B19)*SIN(Survey!B20)*COS(Survey!C20-Survey!C19))</x:f>
        <x:v>0.1581118281329091</x:v>
      </x:c>
      <x:c r="D20" s="35" t="n">
        <x:f>7850*9.80665*PI()/4*(Inputs!$B$9^2-Inputs!$B$10^2)*(1-Inputs!$B$5/7850)</x:f>
        <x:v>222.03697982472235</x:v>
      </x:c>
      <x:c r="E20" s="35" t="n">
        <x:f>D20*B20*ABS(C20)</x:f>
        <x:v>1312.1505129857976</x:v>
      </x:c>
      <x:c r="F20" s="35" t="n">
        <x:f>E20*Inputs!$B$6</x:f>
        <x:v>314.9161231165914</x:v>
      </x:c>
      <x:c r="G20" s="35" t="n">
        <x:f>G19+D20*B20+F20</x:f>
        <x:v>494320.8872486618</x:v>
      </x:c>
      <x:c r="H20" s="35" t="n">
        <x:f>H19+D20*B20-F20</x:f>
        <x:v>490967.14040348405</x:v>
      </x:c>
      <x:c r="I20" s="35" t="n">
        <x:f>Inputs!$B$8+F20*Inputs!$B$9/2</x:f>
        <x:v>26019.997173817905</x:v>
      </x:c>
      <x:c r="J20" s="35" t="n">
        <x:f>Inputs!$B$8+F20*Inputs!$B$9</x:f>
        <x:v>26039.994347635806</x:v>
      </x:c>
      <x:c r="K20" s="35" t="n">
        <x:f>Inputs!$B$8+F20*Inputs!$B$9*1.25</x:f>
        <x:v>26049.99293454476</x:v>
      </x:c>
      <x:c r="L20" s="35" t="n">
        <x:f>2*SQRT((Inputs!$B$12*IF(Inputs!$C$12="GPa",1E9,IF(Inputs!$C$12="MPa",1E6,IF(Inputs!$C$12="Pa",1,IF(Inputs!$C$12="Mpsi",6894757293.168,IF(Inputs!$C$12="psi",6894.757293168,NA()))))))*PI()/64*(Inputs!$B$9^4-Inputs!$B$10^4)*E20/MAX(B20,1))</x:f>
        <x:v>13137.332179016305</x:v>
      </x:c>
      <x:c r="M20" s="35" t="n">
        <x:f>4*SQRT((Inputs!$B$12*IF(Inputs!$C$12="GPa",1E9,IF(Inputs!$C$12="MPa",1E6,IF(Inputs!$C$12="Pa",1,IF(Inputs!$C$12="Mpsi",6894757293.168,IF(Inputs!$C$12="psi",6894.757293168,NA()))))))*PI()/64*(Inputs!$B$9^4-Inputs!$B$10^4)*E20/MAX(B20,1))</x:f>
        <x:v>26274.66435803261</x:v>
      </x:c>
      <x:c r="N20" s="35" t="str">
        <x:f>IF(H20&lt;-M20,"REVIEW","PASS")</x:f>
        <x:v>PASS</x:v>
      </x:c>
    </x:row>
    <x:row r="21">
      <x:c r="A21" s="35" t="n">
        <x:f>Survey!A21</x:f>
        <x:v>1716.1166592000002</x:v>
      </x:c>
      <x:c r="B21" s="35" t="n">
        <x:f>Survey!A21-Survey!A20</x:f>
        <x:v>37.81958400000008</x:v>
      </x:c>
      <x:c r="C21" s="35" t="n">
        <x:f>ACOS(COS(Survey!B20)*COS(Survey!B21)+SIN(Survey!B20)*SIN(Survey!B21)*COS(Survey!C21-Survey!C20))</x:f>
        <x:v>0.16179100424443132</x:v>
      </x:c>
      <x:c r="D21" s="35" t="n">
        <x:f>7850*9.80665*PI()/4*(Inputs!$B$9^2-Inputs!$B$10^2)*(1-Inputs!$B$5/7850)</x:f>
        <x:v>222.03697982472235</x:v>
      </x:c>
      <x:c r="E21" s="35" t="n">
        <x:f>D21*B21*ABS(C21)</x:f>
        <x:v>1358.6150762373159</x:v>
      </x:c>
      <x:c r="F21" s="35" t="n">
        <x:f>E21*Inputs!$B$6</x:f>
        <x:v>326.0676182969558</x:v>
      </x:c>
      <x:c r="G21" s="35" t="n">
        <x:f>G20+D21*B21+F21</x:f>
        <x:v>503044.30107654614</x:v>
      </x:c>
      <x:c r="H21" s="35" t="n">
        <x:f>H20+D21*B21-F21</x:f>
        <x:v>499038.4189947745</x:v>
      </x:c>
      <x:c r="I21" s="35" t="n">
        <x:f>Inputs!$B$8+F21*Inputs!$B$9/2</x:f>
        <x:v>26020.705293761857</x:v>
      </x:c>
      <x:c r="J21" s="35" t="n">
        <x:f>Inputs!$B$8+F21*Inputs!$B$9</x:f>
        <x:v>26041.410587523715</x:v>
      </x:c>
      <x:c r="K21" s="35" t="n">
        <x:f>Inputs!$B$8+F21*Inputs!$B$9*1.25</x:f>
        <x:v>26051.763234404643</x:v>
      </x:c>
      <x:c r="L21" s="35" t="n">
        <x:f>2*SQRT((Inputs!$B$12*IF(Inputs!$C$12="GPa",1E9,IF(Inputs!$C$12="MPa",1E6,IF(Inputs!$C$12="Pa",1,IF(Inputs!$C$12="Mpsi",6894757293.168,IF(Inputs!$C$12="psi",6894.757293168,NA()))))))*PI()/64*(Inputs!$B$9^4-Inputs!$B$10^4)*E21/MAX(B21,1))</x:f>
        <x:v>13289.302478170144</x:v>
      </x:c>
      <x:c r="M21" s="35" t="n">
        <x:f>4*SQRT((Inputs!$B$12*IF(Inputs!$C$12="GPa",1E9,IF(Inputs!$C$12="MPa",1E6,IF(Inputs!$C$12="Pa",1,IF(Inputs!$C$12="Mpsi",6894757293.168,IF(Inputs!$C$12="psi",6894.757293168,NA()))))))*PI()/64*(Inputs!$B$9^4-Inputs!$B$10^4)*E21/MAX(B21,1))</x:f>
        <x:v>26578.60495634029</x:v>
      </x:c>
      <x:c r="N21" s="35" t="str">
        <x:f>IF(H21&lt;-M21,"REVIEW","PASS")</x:f>
        <x:v>PASS</x:v>
      </x:c>
    </x:row>
    <x:row r="22">
      <x:c r="A22" s="35" t="n">
        <x:f>Survey!A22</x:f>
        <x:v>1754.5571208000001</x:v>
      </x:c>
      <x:c r="B22" s="35" t="n">
        <x:f>Survey!A22-Survey!A21</x:f>
        <x:v>38.440461599999935</x:v>
      </x:c>
      <x:c r="C22" s="35" t="n">
        <x:f>ACOS(COS(Survey!B21)*COS(Survey!B22)+SIN(Survey!B21)*SIN(Survey!B22)*COS(Survey!C22-Survey!C21))</x:f>
        <x:v>0.1751901560788287</x:v>
      </x:c>
      <x:c r="D22" s="35" t="n">
        <x:f>7850*9.80665*PI()/4*(Inputs!$B$9^2-Inputs!$B$10^2)*(1-Inputs!$B$5/7850)</x:f>
        <x:v>222.03697982472235</x:v>
      </x:c>
      <x:c r="E22" s="35" t="n">
        <x:f>D22*B22*ABS(C22)</x:f>
        <x:v>1495.2837203521567</x:v>
      </x:c>
      <x:c r="F22" s="35" t="n">
        <x:f>E22*Inputs!$B$6</x:f>
        <x:v>358.8680928845176</x:v>
      </x:c>
      <x:c r="G22" s="35" t="n">
        <x:f>G21+D22*B22+F22</x:f>
        <x:v>511938.37316616287</x:v>
      </x:c>
      <x:c r="H22" s="35" t="n">
        <x:f>H21+D22*B22-F22</x:f>
        <x:v>507214.75489862217</x:v>
      </x:c>
      <x:c r="I22" s="35" t="n">
        <x:f>Inputs!$B$8+F22*Inputs!$B$9/2</x:f>
        <x:v>26022.788123898168</x:v>
      </x:c>
      <x:c r="J22" s="35" t="n">
        <x:f>Inputs!$B$8+F22*Inputs!$B$9</x:f>
        <x:v>26045.576247796333</x:v>
      </x:c>
      <x:c r="K22" s="35" t="n">
        <x:f>Inputs!$B$8+F22*Inputs!$B$9*1.25</x:f>
        <x:v>26056.97030974542</x:v>
      </x:c>
      <x:c r="L22" s="35" t="n">
        <x:f>2*SQRT((Inputs!$B$12*IF(Inputs!$C$12="GPa",1E9,IF(Inputs!$C$12="MPa",1E6,IF(Inputs!$C$12="Pa",1,IF(Inputs!$C$12="Mpsi",6894757293.168,IF(Inputs!$C$12="psi",6894.757293168,NA()))))))*PI()/64*(Inputs!$B$9^4-Inputs!$B$10^4)*E22/MAX(B22,1))</x:f>
        <x:v>13828.652103940169</x:v>
      </x:c>
      <x:c r="M22" s="35" t="n">
        <x:f>4*SQRT((Inputs!$B$12*IF(Inputs!$C$12="GPa",1E9,IF(Inputs!$C$12="MPa",1E6,IF(Inputs!$C$12="Pa",1,IF(Inputs!$C$12="Mpsi",6894757293.168,IF(Inputs!$C$12="psi",6894.757293168,NA()))))))*PI()/64*(Inputs!$B$9^4-Inputs!$B$10^4)*E22/MAX(B22,1))</x:f>
        <x:v>27657.304207880337</x:v>
      </x:c>
      <x:c r="N22" s="35" t="str">
        <x:f>IF(H22&lt;-M22,"REVIEW","PASS")</x:f>
        <x:v>PASS</x:v>
      </x:c>
    </x:row>
    <x:row r="23">
      <x:c r="A23" s="35" t="n">
        <x:f>Survey!A23</x:f>
        <x:v>1793.4788616</x:v>
      </x:c>
      <x:c r="B23" s="35" t="n">
        <x:f>Survey!A23-Survey!A22</x:f>
        <x:v>38.92174079999995</x:v>
      </x:c>
      <x:c r="C23" s="35" t="n">
        <x:f>ACOS(COS(Survey!B22)*COS(Survey!B23)+SIN(Survey!B22)*SIN(Survey!B23)*COS(Survey!C23-Survey!C22))</x:f>
        <x:v>0.1902486791261647</x:v>
      </x:c>
      <x:c r="D23" s="35" t="n">
        <x:f>7850*9.80665*PI()/4*(Inputs!$B$9^2-Inputs!$B$10^2)*(1-Inputs!$B$5/7850)</x:f>
        <x:v>222.03697982472235</x:v>
      </x:c>
      <x:c r="E23" s="35" t="n">
        <x:f>D23*B23*ABS(C23)</x:f>
        <x:v>1644.1415989486266</x:v>
      </x:c>
      <x:c r="F23" s="35" t="n">
        <x:f>E23*Inputs!$B$6</x:f>
        <x:v>394.59398374767034</x:v>
      </x:c>
      <x:c r="G23" s="35" t="n">
        <x:f>G22+D23*B23+F23</x:f>
        <x:v>520975.0329266632</x:v>
      </x:c>
      <x:c r="H23" s="35" t="n">
        <x:f>H22+D23*B23-F23</x:f>
        <x:v>515462.2266916272</x:v>
      </x:c>
      <x:c r="I23" s="35" t="n">
        <x:f>Inputs!$B$8+F23*Inputs!$B$9/2</x:f>
        <x:v>26025.05671796798</x:v>
      </x:c>
      <x:c r="J23" s="35" t="n">
        <x:f>Inputs!$B$8+F23*Inputs!$B$9</x:f>
        <x:v>26050.113435935953</x:v>
      </x:c>
      <x:c r="K23" s="35" t="n">
        <x:f>Inputs!$B$8+F23*Inputs!$B$9*1.25</x:f>
        <x:v>26062.641794919942</x:v>
      </x:c>
      <x:c r="L23" s="35" t="n">
        <x:f>2*SQRT((Inputs!$B$12*IF(Inputs!$C$12="GPa",1E9,IF(Inputs!$C$12="MPa",1E6,IF(Inputs!$C$12="Pa",1,IF(Inputs!$C$12="Mpsi",6894757293.168,IF(Inputs!$C$12="psi",6894.757293168,NA()))))))*PI()/64*(Inputs!$B$9^4-Inputs!$B$10^4)*E23/MAX(B23,1))</x:f>
        <x:v>14410.724855994376</x:v>
      </x:c>
      <x:c r="M23" s="35" t="n">
        <x:f>4*SQRT((Inputs!$B$12*IF(Inputs!$C$12="GPa",1E9,IF(Inputs!$C$12="MPa",1E6,IF(Inputs!$C$12="Pa",1,IF(Inputs!$C$12="Mpsi",6894757293.168,IF(Inputs!$C$12="psi",6894.757293168,NA()))))))*PI()/64*(Inputs!$B$9^4-Inputs!$B$10^4)*E23/MAX(B23,1))</x:f>
        <x:v>28821.449711988753</x:v>
      </x:c>
      <x:c r="N23" s="35" t="str">
        <x:f>IF(H23&lt;-M23,"REVIEW","PASS")</x:f>
        <x:v>PASS</x:v>
      </x:c>
    </x:row>
    <x:row r="24">
      <x:c r="A24" s="35" t="n">
        <x:f>Survey!A24</x:f>
        <x:v>1832.4975288000003</x:v>
      </x:c>
      <x:c r="B24" s="35" t="n">
        <x:f>Survey!A24-Survey!A23</x:f>
        <x:v>39.01866720000021</x:v>
      </x:c>
      <x:c r="C24" s="35" t="n">
        <x:f>ACOS(COS(Survey!B23)*COS(Survey!B24)+SIN(Survey!B23)*SIN(Survey!B24)*COS(Survey!C24-Survey!C23))</x:f>
        <x:v>0.19786300557438954</x:v>
      </x:c>
      <x:c r="D24" s="35" t="n">
        <x:f>7850*9.80665*PI()/4*(Inputs!$B$9^2-Inputs!$B$10^2)*(1-Inputs!$B$5/7850)</x:f>
        <x:v>222.03697982472235</x:v>
      </x:c>
      <x:c r="E24" s="35" t="n">
        <x:f>D24*B24*ABS(C24)</x:f>
        <x:v>1714.2033672032646</x:v>
      </x:c>
      <x:c r="F24" s="35" t="n">
        <x:f>E24*Inputs!$B$6</x:f>
        <x:v>411.4088081287835</x:v>
      </x:c>
      <x:c r="G24" s="35" t="n">
        <x:f>G23+D24*B24+F24</x:f>
        <x:v>530050.028756666</x:v>
      </x:c>
      <x:c r="H24" s="35" t="n">
        <x:f>H23+D24*B24-F24</x:f>
        <x:v>523714.4049053724</x:v>
      </x:c>
      <x:c r="I24" s="35" t="n">
        <x:f>Inputs!$B$8+F24*Inputs!$B$9/2</x:f>
        <x:v>26026.12445931618</x:v>
      </x:c>
      <x:c r="J24" s="35" t="n">
        <x:f>Inputs!$B$8+F24*Inputs!$B$9</x:f>
        <x:v>26052.248918632355</x:v>
      </x:c>
      <x:c r="K24" s="35" t="n">
        <x:f>Inputs!$B$8+F24*Inputs!$B$9*1.25</x:f>
        <x:v>26065.311148290446</x:v>
      </x:c>
      <x:c r="L24" s="35" t="n">
        <x:f>2*SQRT((Inputs!$B$12*IF(Inputs!$C$12="GPa",1E9,IF(Inputs!$C$12="MPa",1E6,IF(Inputs!$C$12="Pa",1,IF(Inputs!$C$12="Mpsi",6894757293.168,IF(Inputs!$C$12="psi",6894.757293168,NA()))))))*PI()/64*(Inputs!$B$9^4-Inputs!$B$10^4)*E24/MAX(B24,1))</x:f>
        <x:v>14696.276085690224</x:v>
      </x:c>
      <x:c r="M24" s="35" t="n">
        <x:f>4*SQRT((Inputs!$B$12*IF(Inputs!$C$12="GPa",1E9,IF(Inputs!$C$12="MPa",1E6,IF(Inputs!$C$12="Pa",1,IF(Inputs!$C$12="Mpsi",6894757293.168,IF(Inputs!$C$12="psi",6894.757293168,NA()))))))*PI()/64*(Inputs!$B$9^4-Inputs!$B$10^4)*E24/MAX(B24,1))</x:f>
        <x:v>29392.55217138045</x:v>
      </x:c>
      <x:c r="N24" s="35" t="str">
        <x:f>IF(H24&lt;-M24,"REVIEW","PASS")</x:f>
        <x:v>PASS</x:v>
      </x:c>
    </x:row>
    <x:row r="25">
      <x:c r="A25" s="35" t="n">
        <x:f>Survey!A25</x:f>
        <x:v>1871.1787824</x:v>
      </x:c>
      <x:c r="B25" s="35" t="n">
        <x:f>Survey!A25-Survey!A24</x:f>
        <x:v>38.68125359999976</x:v>
      </x:c>
      <x:c r="C25" s="35" t="n">
        <x:f>ACOS(COS(Survey!B24)*COS(Survey!B25)+SIN(Survey!B24)*SIN(Survey!B25)*COS(Survey!C25-Survey!C24))</x:f>
        <x:v>0.1932315779833657</x:v>
      </x:c>
      <x:c r="D25" s="35" t="n">
        <x:f>7850*9.80665*PI()/4*(Inputs!$B$9^2-Inputs!$B$10^2)*(1-Inputs!$B$5/7850)</x:f>
        <x:v>222.03697982472235</x:v>
      </x:c>
      <x:c r="E25" s="35" t="n">
        <x:f>D25*B25*ABS(C25)</x:f>
        <x:v>1659.6020105425494</x:v>
      </x:c>
      <x:c r="F25" s="35" t="n">
        <x:f>E25*Inputs!$B$6</x:f>
        <x:v>398.3044825302118</x:v>
      </x:c>
      <x:c r="G25" s="35" t="n">
        <x:f>G24+D25*B25+F25</x:f>
        <x:v>539037.0019643743</x:v>
      </x:c>
      <x:c r="H25" s="35" t="n">
        <x:f>H24+D25*B25-F25</x:f>
        <x:v>531904.7691480203</x:v>
      </x:c>
      <x:c r="I25" s="35" t="n">
        <x:f>Inputs!$B$8+F25*Inputs!$B$9/2</x:f>
        <x:v>26025.292334640668</x:v>
      </x:c>
      <x:c r="J25" s="35" t="n">
        <x:f>Inputs!$B$8+F25*Inputs!$B$9</x:f>
        <x:v>26050.584669281336</x:v>
      </x:c>
      <x:c r="K25" s="35" t="n">
        <x:f>Inputs!$B$8+F25*Inputs!$B$9*1.25</x:f>
        <x:v>26063.23083660167</x:v>
      </x:c>
      <x:c r="L25" s="35" t="n">
        <x:f>2*SQRT((Inputs!$B$12*IF(Inputs!$C$12="GPa",1E9,IF(Inputs!$C$12="MPa",1E6,IF(Inputs!$C$12="Pa",1,IF(Inputs!$C$12="Mpsi",6894757293.168,IF(Inputs!$C$12="psi",6894.757293168,NA()))))))*PI()/64*(Inputs!$B$9^4-Inputs!$B$10^4)*E25/MAX(B25,1))</x:f>
        <x:v>14523.257963276968</x:v>
      </x:c>
      <x:c r="M25" s="35" t="n">
        <x:f>4*SQRT((Inputs!$B$12*IF(Inputs!$C$12="GPa",1E9,IF(Inputs!$C$12="MPa",1E6,IF(Inputs!$C$12="Pa",1,IF(Inputs!$C$12="Mpsi",6894757293.168,IF(Inputs!$C$12="psi",6894.757293168,NA()))))))*PI()/64*(Inputs!$B$9^4-Inputs!$B$10^4)*E25/MAX(B25,1))</x:f>
        <x:v>29046.515926553937</x:v>
      </x:c>
      <x:c r="N25" s="35" t="str">
        <x:f>IF(H25&lt;-M25,"REVIEW","PASS")</x:f>
        <x:v>PASS</x:v>
      </x:c>
    </x:row>
    <x:row r="26">
      <x:c r="A26" s="35" t="n">
        <x:f>Survey!A26</x:f>
        <x:v>1947.3607992000002</x:v>
      </x:c>
      <x:c r="B26" s="35" t="n">
        <x:f>Survey!A26-Survey!A25</x:f>
        <x:v>76.18201680000016</x:v>
      </x:c>
      <x:c r="C26" s="35" t="n">
        <x:f>ACOS(COS(Survey!B25)*COS(Survey!B26)+SIN(Survey!B25)*SIN(Survey!B26)*COS(Survey!C26-Survey!C25))</x:f>
        <x:v>0.06564180295538212</x:v>
      </x:c>
      <x:c r="D26" s="35" t="n">
        <x:f>7850*9.80665*PI()/4*(Inputs!$B$9^2-Inputs!$B$10^2)*(1-Inputs!$B$5/7850)</x:f>
        <x:v>222.03697982472235</x:v>
      </x:c>
      <x:c r="E26" s="35" t="n">
        <x:f>D26*B26*ABS(C26)</x:f>
        <x:v>1110.3458616190876</x:v>
      </x:c>
      <x:c r="F26" s="35" t="n">
        <x:f>E26*Inputs!$B$6</x:f>
        <x:v>266.483006788581</x:v>
      </x:c>
      <x:c r="G26" s="35" t="n">
        <x:f>G25+D26*B26+F26</x:f>
        <x:v>556218.7098983912</x:v>
      </x:c>
      <x:c r="H26" s="35" t="n">
        <x:f>H25+D26*B26-F26</x:f>
        <x:v>548553.5110684601</x:v>
      </x:c>
      <x:c r="I26" s="35" t="n">
        <x:f>Inputs!$B$8+F26*Inputs!$B$9/2</x:f>
        <x:v>26016.921670931075</x:v>
      </x:c>
      <x:c r="J26" s="35" t="n">
        <x:f>Inputs!$B$8+F26*Inputs!$B$9</x:f>
        <x:v>26033.84334186215</x:v>
      </x:c>
      <x:c r="K26" s="35" t="n">
        <x:f>Inputs!$B$8+F26*Inputs!$B$9*1.25</x:f>
        <x:v>26042.304177327685</x:v>
      </x:c>
      <x:c r="L26" s="35" t="n">
        <x:f>2*SQRT((Inputs!$B$12*IF(Inputs!$C$12="GPa",1E9,IF(Inputs!$C$12="MPa",1E6,IF(Inputs!$C$12="Pa",1,IF(Inputs!$C$12="Mpsi",6894757293.168,IF(Inputs!$C$12="psi",6894.757293168,NA()))))))*PI()/64*(Inputs!$B$9^4-Inputs!$B$10^4)*E26/MAX(B26,1))</x:f>
        <x:v>8464.771745150709</x:v>
      </x:c>
      <x:c r="M26" s="35" t="n">
        <x:f>4*SQRT((Inputs!$B$12*IF(Inputs!$C$12="GPa",1E9,IF(Inputs!$C$12="MPa",1E6,IF(Inputs!$C$12="Pa",1,IF(Inputs!$C$12="Mpsi",6894757293.168,IF(Inputs!$C$12="psi",6894.757293168,NA()))))))*PI()/64*(Inputs!$B$9^4-Inputs!$B$10^4)*E26/MAX(B26,1))</x:f>
        <x:v>16929.543490301417</x:v>
      </x:c>
      <x:c r="N26" s="35" t="str">
        <x:f>IF(H26&lt;-M26,"REVIEW","PASS")</x:f>
        <x:v>PASS</x:v>
      </x:c>
    </x:row>
    <x:row r="27">
      <x:c r="A27" s="35" t="n">
        <x:f>Survey!A27</x:f>
        <x:v>2022.9868608</x:v>
      </x:c>
      <x:c r="B27" s="35" t="n">
        <x:f>Survey!A27-Survey!A26</x:f>
        <x:v>75.62606159999973</x:v>
      </x:c>
      <x:c r="C27" s="35" t="n">
        <x:f>ACOS(COS(Survey!B26)*COS(Survey!B27)+SIN(Survey!B26)*SIN(Survey!B27)*COS(Survey!C27-Survey!C26))</x:f>
        <x:v>0.04156791010017175</x:v>
      </x:c>
      <x:c r="D27" s="35" t="n">
        <x:f>7850*9.80665*PI()/4*(Inputs!$B$9^2-Inputs!$B$10^2)*(1-Inputs!$B$5/7850)</x:f>
        <x:v>222.03697982472235</x:v>
      </x:c>
      <x:c r="E27" s="35" t="n">
        <x:f>D27*B27*ABS(C27)</x:f>
        <x:v>697.9992976376334</x:v>
      </x:c>
      <x:c r="F27" s="35" t="n">
        <x:f>E27*Inputs!$B$6</x:f>
        <x:v>167.519831433032</x:v>
      </x:c>
      <x:c r="G27" s="35" t="n">
        <x:f>G26+D27*B27+F27</x:f>
        <x:v>573178.0120435266</x:v>
      </x:c>
      <x:c r="H27" s="35" t="n">
        <x:f>H26+D27*B27-F27</x:f>
        <x:v>565177.7735507294</x:v>
      </x:c>
      <x:c r="I27" s="35" t="n">
        <x:f>Inputs!$B$8+F27*Inputs!$B$9/2</x:f>
        <x:v>26010.637509295997</x:v>
      </x:c>
      <x:c r="J27" s="35" t="n">
        <x:f>Inputs!$B$8+F27*Inputs!$B$9</x:f>
        <x:v>26021.275018591994</x:v>
      </x:c>
      <x:c r="K27" s="35" t="n">
        <x:f>Inputs!$B$8+F27*Inputs!$B$9*1.25</x:f>
        <x:v>26026.593773239994</x:v>
      </x:c>
      <x:c r="L27" s="35" t="n">
        <x:f>2*SQRT((Inputs!$B$12*IF(Inputs!$C$12="GPa",1E9,IF(Inputs!$C$12="MPa",1E6,IF(Inputs!$C$12="Pa",1,IF(Inputs!$C$12="Mpsi",6894757293.168,IF(Inputs!$C$12="psi",6894.757293168,NA()))))))*PI()/64*(Inputs!$B$9^4-Inputs!$B$10^4)*E27/MAX(B27,1))</x:f>
        <x:v>6736.03129578184</x:v>
      </x:c>
      <x:c r="M27" s="35" t="n">
        <x:f>4*SQRT((Inputs!$B$12*IF(Inputs!$C$12="GPa",1E9,IF(Inputs!$C$12="MPa",1E6,IF(Inputs!$C$12="Pa",1,IF(Inputs!$C$12="Mpsi",6894757293.168,IF(Inputs!$C$12="psi",6894.757293168,NA()))))))*PI()/64*(Inputs!$B$9^4-Inputs!$B$10^4)*E27/MAX(B27,1))</x:f>
        <x:v>13472.06259156368</x:v>
      </x:c>
      <x:c r="N27" s="35" t="str">
        <x:f>IF(H27&lt;-M27,"REVIEW","PASS")</x:f>
        <x:v>PASS</x:v>
      </x:c>
    </x:row>
    <x:row r="28">
      <x:c r="A28" s="35" t="n">
        <x:f>Survey!A28</x:f>
        <x:v>2098.3837128</x:v>
      </x:c>
      <x:c r="B28" s="35" t="n">
        <x:f>Survey!A28-Survey!A27</x:f>
        <x:v>75.39685200000008</x:v>
      </x:c>
      <x:c r="C28" s="35" t="n">
        <x:f>ACOS(COS(Survey!B27)*COS(Survey!B28)+SIN(Survey!B27)*SIN(Survey!B28)*COS(Survey!C28-Survey!C27))</x:f>
        <x:v>0.03999327126142472</x:v>
      </x:c>
      <x:c r="D28" s="35" t="n">
        <x:f>7850*9.80665*PI()/4*(Inputs!$B$9^2-Inputs!$B$10^2)*(1-Inputs!$B$5/7850)</x:f>
        <x:v>222.03697982472235</x:v>
      </x:c>
      <x:c r="E28" s="35" t="n">
        <x:f>D28*B28*ABS(C28)</x:f>
        <x:v>669.5229271872035</x:v>
      </x:c>
      <x:c r="F28" s="35" t="n">
        <x:f>E28*Inputs!$B$6</x:f>
        <x:v>160.68550252492884</x:v>
      </x:c>
      <x:c r="G28" s="35" t="n">
        <x:f>G27+D28*B28+F28</x:f>
        <x:v>590079.5868524231</x:v>
      </x:c>
      <x:c r="H28" s="35" t="n">
        <x:f>H27+D28*B28-F28</x:f>
        <x:v>581757.977354576</x:v>
      </x:c>
      <x:c r="I28" s="35" t="n">
        <x:f>Inputs!$B$8+F28*Inputs!$B$9/2</x:f>
        <x:v>26010.203529410333</x:v>
      </x:c>
      <x:c r="J28" s="35" t="n">
        <x:f>Inputs!$B$8+F28*Inputs!$B$9</x:f>
        <x:v>26020.407058820667</x:v>
      </x:c>
      <x:c r="K28" s="35" t="n">
        <x:f>Inputs!$B$8+F28*Inputs!$B$9*1.25</x:f>
        <x:v>26025.508823525834</x:v>
      </x:c>
      <x:c r="L28" s="35" t="n">
        <x:f>2*SQRT((Inputs!$B$12*IF(Inputs!$C$12="GPa",1E9,IF(Inputs!$C$12="MPa",1E6,IF(Inputs!$C$12="Pa",1,IF(Inputs!$C$12="Mpsi",6894757293.168,IF(Inputs!$C$12="psi",6894.757293168,NA()))))))*PI()/64*(Inputs!$B$9^4-Inputs!$B$10^4)*E28/MAX(B28,1))</x:f>
        <x:v>6607.2154035717995</x:v>
      </x:c>
      <x:c r="M28" s="35" t="n">
        <x:f>4*SQRT((Inputs!$B$12*IF(Inputs!$C$12="GPa",1E9,IF(Inputs!$C$12="MPa",1E6,IF(Inputs!$C$12="Pa",1,IF(Inputs!$C$12="Mpsi",6894757293.168,IF(Inputs!$C$12="psi",6894.757293168,NA()))))))*PI()/64*(Inputs!$B$9^4-Inputs!$B$10^4)*E28/MAX(B28,1))</x:f>
        <x:v>13214.430807143599</x:v>
      </x:c>
      <x:c r="N28" s="35" t="str">
        <x:f>IF(H28&lt;-M28,"REVIEW","PASS")</x:f>
        <x:v>PASS</x:v>
      </x:c>
    </x:row>
    <x:row r="29">
      <x:c r="A29" s="35" t="n">
        <x:f>Survey!A29</x:f>
        <x:v>2173.9945344000002</x:v>
      </x:c>
      <x:c r="B29" s="35" t="n">
        <x:f>Survey!A29-Survey!A28</x:f>
        <x:v>75.61082160000024</x:v>
      </x:c>
      <x:c r="C29" s="35" t="n">
        <x:f>ACOS(COS(Survey!B28)*COS(Survey!B29)+SIN(Survey!B28)*SIN(Survey!B29)*COS(Survey!C29-Survey!C28))</x:f>
        <x:v>0.03775034095626195</x:v>
      </x:c>
      <x:c r="D29" s="35" t="n">
        <x:f>7850*9.80665*PI()/4*(Inputs!$B$9^2-Inputs!$B$10^2)*(1-Inputs!$B$5/7850)</x:f>
        <x:v>222.03697982472235</x:v>
      </x:c>
      <x:c r="E29" s="35" t="n">
        <x:f>D29*B29*ABS(C29)</x:f>
        <x:v>633.7677663569915</x:v>
      </x:c>
      <x:c r="F29" s="35" t="n">
        <x:f>E29*Inputs!$B$6</x:f>
        <x:v>152.10426392567794</x:v>
      </x:c>
      <x:c r="G29" s="35" t="n">
        <x:f>G28+D29*B29+F29</x:f>
        <x:v>607020.0895864788</x:v>
      </x:c>
      <x:c r="H29" s="35" t="n">
        <x:f>H28+D29*B29-F29</x:f>
        <x:v>598394.2715607802</x:v>
      </x:c>
      <x:c r="I29" s="35" t="n">
        <x:f>Inputs!$B$8+F29*Inputs!$B$9/2</x:f>
        <x:v>26009.65862075928</x:v>
      </x:c>
      <x:c r="J29" s="35" t="n">
        <x:f>Inputs!$B$8+F29*Inputs!$B$9</x:f>
        <x:v>26019.31724151856</x:v>
      </x:c>
      <x:c r="K29" s="35" t="n">
        <x:f>Inputs!$B$8+F29*Inputs!$B$9*1.25</x:f>
        <x:v>26024.1465518982</x:v>
      </x:c>
      <x:c r="L29" s="35" t="n">
        <x:f>2*SQRT((Inputs!$B$12*IF(Inputs!$C$12="GPa",1E9,IF(Inputs!$C$12="MPa",1E6,IF(Inputs!$C$12="Pa",1,IF(Inputs!$C$12="Mpsi",6894757293.168,IF(Inputs!$C$12="psi",6894.757293168,NA()))))))*PI()/64*(Inputs!$B$9^4-Inputs!$B$10^4)*E29/MAX(B29,1))</x:f>
        <x:v>6419.267007502434</x:v>
      </x:c>
      <x:c r="M29" s="35" t="n">
        <x:f>4*SQRT((Inputs!$B$12*IF(Inputs!$C$12="GPa",1E9,IF(Inputs!$C$12="MPa",1E6,IF(Inputs!$C$12="Pa",1,IF(Inputs!$C$12="Mpsi",6894757293.168,IF(Inputs!$C$12="psi",6894.757293168,NA()))))))*PI()/64*(Inputs!$B$9^4-Inputs!$B$10^4)*E29/MAX(B29,1))</x:f>
        <x:v>12838.534015004869</x:v>
      </x:c>
      <x:c r="N29" s="35" t="str">
        <x:f>IF(H29&lt;-M29,"REVIEW","PASS")</x:f>
        <x:v>PASS</x:v>
      </x:c>
    </x:row>
    <x:row r="30">
      <x:c r="A30" s="35" t="n">
        <x:f>Survey!A30</x:f>
        <x:v>2250.1543008</x:v>
      </x:c>
      <x:c r="B30" s="35" t="n">
        <x:f>Survey!A30-Survey!A29</x:f>
        <x:v>76.15976639999963</x:v>
      </x:c>
      <x:c r="C30" s="35" t="n">
        <x:f>ACOS(COS(Survey!B29)*COS(Survey!B30)+SIN(Survey!B29)*SIN(Survey!B30)*COS(Survey!C30-Survey!C29))</x:f>
        <x:v>0.03492761932670656</x:v>
      </x:c>
      <x:c r="D30" s="35" t="n">
        <x:f>7850*9.80665*PI()/4*(Inputs!$B$9^2-Inputs!$B$10^2)*(1-Inputs!$B$5/7850)</x:f>
        <x:v>222.03697982472235</x:v>
      </x:c>
      <x:c r="E30" s="35" t="n">
        <x:f>D30*B30*ABS(C30)</x:f>
        <x:v>590.6359802676063</x:v>
      </x:c>
      <x:c r="F30" s="35" t="n">
        <x:f>E30*Inputs!$B$6</x:f>
        <x:v>141.75263526422552</x:v>
      </x:c>
      <x:c r="G30" s="35" t="n">
        <x:f>G29+D30*B30+F30</x:f>
        <x:v>624072.1267373553</x:v>
      </x:c>
      <x:c r="H30" s="35" t="n">
        <x:f>H29+D30*B30-F30</x:f>
        <x:v>615162.8034411283</x:v>
      </x:c>
      <x:c r="I30" s="35" t="n">
        <x:f>Inputs!$B$8+F30*Inputs!$B$9/2</x:f>
        <x:v>26009.00129233928</x:v>
      </x:c>
      <x:c r="J30" s="35" t="n">
        <x:f>Inputs!$B$8+F30*Inputs!$B$9</x:f>
        <x:v>26018.002584678557</x:v>
      </x:c>
      <x:c r="K30" s="35" t="n">
        <x:f>Inputs!$B$8+F30*Inputs!$B$9*1.25</x:f>
        <x:v>26022.503230848197</x:v>
      </x:c>
      <x:c r="L30" s="35" t="n">
        <x:f>2*SQRT((Inputs!$B$12*IF(Inputs!$C$12="GPa",1E9,IF(Inputs!$C$12="MPa",1E6,IF(Inputs!$C$12="Pa",1,IF(Inputs!$C$12="Mpsi",6894757293.168,IF(Inputs!$C$12="psi",6894.757293168,NA()))))))*PI()/64*(Inputs!$B$9^4-Inputs!$B$10^4)*E30/MAX(B30,1))</x:f>
        <x:v>6174.609456279386</x:v>
      </x:c>
      <x:c r="M30" s="35" t="n">
        <x:f>4*SQRT((Inputs!$B$12*IF(Inputs!$C$12="GPa",1E9,IF(Inputs!$C$12="MPa",1E6,IF(Inputs!$C$12="Pa",1,IF(Inputs!$C$12="Mpsi",6894757293.168,IF(Inputs!$C$12="psi",6894.757293168,NA()))))))*PI()/64*(Inputs!$B$9^4-Inputs!$B$10^4)*E30/MAX(B30,1))</x:f>
        <x:v>12349.218912558772</x:v>
      </x:c>
      <x:c r="N30" s="35" t="str">
        <x:f>IF(H30&lt;-M30,"REVIEW","PASS")</x:f>
        <x:v>PASS</x:v>
      </x:c>
    </x:row>
    <x:row r="31">
      <x:c r="A31" s="35" t="n">
        <x:f>Survey!A31</x:f>
        <x:v>2326.9172664000002</x:v>
      </x:c>
      <x:c r="B31" s="35" t="n">
        <x:f>Survey!A31-Survey!A30</x:f>
        <x:v>76.76296560000037</x:v>
      </x:c>
      <x:c r="C31" s="35" t="n">
        <x:f>ACOS(COS(Survey!B30)*COS(Survey!B31)+SIN(Survey!B30)*SIN(Survey!B31)*COS(Survey!C31-Survey!C30))</x:f>
        <x:v>0.031634756808441515</x:v>
      </x:c>
      <x:c r="D31" s="35" t="n">
        <x:f>7850*9.80665*PI()/4*(Inputs!$B$9^2-Inputs!$B$10^2)*(1-Inputs!$B$5/7850)</x:f>
        <x:v>222.03697982472235</x:v>
      </x:c>
      <x:c r="E31" s="35" t="n">
        <x:f>D31*B31*ABS(C31)</x:f>
        <x:v>539.1896611839766</x:v>
      </x:c>
      <x:c r="F31" s="35" t="n">
        <x:f>E31*Inputs!$B$6</x:f>
        <x:v>129.40551868415437</x:v>
      </x:c>
      <x:c r="G31" s="35" t="n">
        <x:f>G30+D31*B31+F31</x:f>
        <x:v>641245.7493002525</x:v>
      </x:c>
      <x:c r="H31" s="35" t="n">
        <x:f>H30+D31*B31-F31</x:f>
        <x:v>632077.6149666572</x:v>
      </x:c>
      <x:c r="I31" s="35" t="n">
        <x:f>Inputs!$B$8+F31*Inputs!$B$9/2</x:f>
        <x:v>26008.217250436443</x:v>
      </x:c>
      <x:c r="J31" s="35" t="n">
        <x:f>Inputs!$B$8+F31*Inputs!$B$9</x:f>
        <x:v>26016.43450087289</x:v>
      </x:c>
      <x:c r="K31" s="35" t="n">
        <x:f>Inputs!$B$8+F31*Inputs!$B$9*1.25</x:f>
        <x:v>26020.54312609111</x:v>
      </x:c>
      <x:c r="L31" s="35" t="n">
        <x:f>2*SQRT((Inputs!$B$12*IF(Inputs!$C$12="GPa",1E9,IF(Inputs!$C$12="MPa",1E6,IF(Inputs!$C$12="Pa",1,IF(Inputs!$C$12="Mpsi",6894757293.168,IF(Inputs!$C$12="psi",6894.757293168,NA()))))))*PI()/64*(Inputs!$B$9^4-Inputs!$B$10^4)*E31/MAX(B31,1))</x:f>
        <x:v>5876.344539699765</x:v>
      </x:c>
      <x:c r="M31" s="35" t="n">
        <x:f>4*SQRT((Inputs!$B$12*IF(Inputs!$C$12="GPa",1E9,IF(Inputs!$C$12="MPa",1E6,IF(Inputs!$C$12="Pa",1,IF(Inputs!$C$12="Mpsi",6894757293.168,IF(Inputs!$C$12="psi",6894.757293168,NA()))))))*PI()/64*(Inputs!$B$9^4-Inputs!$B$10^4)*E31/MAX(B31,1))</x:f>
        <x:v>11752.68907939953</x:v>
      </x:c>
      <x:c r="N31" s="35" t="str">
        <x:f>IF(H31&lt;-M31,"REVIEW","PASS")</x:f>
        <x:v>PASS</x:v>
      </x:c>
    </x:row>
    <x:row r="32">
      <x:c r="A32" s="35" t="n">
        <x:f>Survey!A32</x:f>
        <x:v>2404.030752</x:v>
      </x:c>
      <x:c r="B32" s="35" t="n">
        <x:f>Survey!A32-Survey!A31</x:f>
        <x:v>77.11348559999988</x:v>
      </x:c>
      <x:c r="C32" s="35" t="n">
        <x:f>ACOS(COS(Survey!B31)*COS(Survey!B32)+SIN(Survey!B31)*SIN(Survey!B32)*COS(Survey!C32-Survey!C31))</x:f>
        <x:v>0.02800960861667594</x:v>
      </x:c>
      <x:c r="D32" s="35" t="n">
        <x:f>7850*9.80665*PI()/4*(Inputs!$B$9^2-Inputs!$B$10^2)*(1-Inputs!$B$5/7850)</x:f>
        <x:v>222.03697982472235</x:v>
      </x:c>
      <x:c r="E32" s="35" t="n">
        <x:f>D32*B32*ABS(C32)</x:f>
        <x:v>479.5817916700757</x:v>
      </x:c>
      <x:c r="F32" s="35" t="n">
        <x:f>E32*Inputs!$B$6</x:f>
        <x:v>115.09963000081817</x:v>
      </x:c>
      <x:c r="G32" s="35" t="n">
        <x:f>G31+D32*B32+F32</x:f>
        <x:v>658482.8943766345</x:v>
      </x:c>
      <x:c r="H32" s="35" t="n">
        <x:f>H31+D32*B32-F32</x:f>
        <x:v>649084.5607830377</x:v>
      </x:c>
      <x:c r="I32" s="35" t="n">
        <x:f>Inputs!$B$8+F32*Inputs!$B$9/2</x:f>
        <x:v>26007.308826505054</x:v>
      </x:c>
      <x:c r="J32" s="35" t="n">
        <x:f>Inputs!$B$8+F32*Inputs!$B$9</x:f>
        <x:v>26014.617653010104</x:v>
      </x:c>
      <x:c r="K32" s="35" t="n">
        <x:f>Inputs!$B$8+F32*Inputs!$B$9*1.25</x:f>
        <x:v>26018.27206626263</x:v>
      </x:c>
      <x:c r="L32" s="35" t="n">
        <x:f>2*SQRT((Inputs!$B$12*IF(Inputs!$C$12="GPa",1E9,IF(Inputs!$C$12="MPa",1E6,IF(Inputs!$C$12="Pa",1,IF(Inputs!$C$12="Mpsi",6894757293.168,IF(Inputs!$C$12="psi",6894.757293168,NA()))))))*PI()/64*(Inputs!$B$9^4-Inputs!$B$10^4)*E32/MAX(B32,1))</x:f>
        <x:v>5529.406533740687</x:v>
      </x:c>
      <x:c r="M32" s="35" t="n">
        <x:f>4*SQRT((Inputs!$B$12*IF(Inputs!$C$12="GPa",1E9,IF(Inputs!$C$12="MPa",1E6,IF(Inputs!$C$12="Pa",1,IF(Inputs!$C$12="Mpsi",6894757293.168,IF(Inputs!$C$12="psi",6894.757293168,NA()))))))*PI()/64*(Inputs!$B$9^4-Inputs!$B$10^4)*E32/MAX(B32,1))</x:f>
        <x:v>11058.813067481375</x:v>
      </x:c>
      <x:c r="N32" s="35" t="str">
        <x:f>IF(H32&lt;-M32,"REVIEW","PASS")</x:f>
        <x:v>PASS</x:v>
      </x:c>
    </x:row>
    <x:row r="33">
      <x:c r="A33" s="35" t="n">
        <x:f>Survey!A33</x:f>
        <x:v>2481.0637704</x:v>
      </x:c>
      <x:c r="B33" s="35" t="n">
        <x:f>Survey!A33-Survey!A32</x:f>
        <x:v>77.03301839999995</x:v>
      </x:c>
      <x:c r="C33" s="35" t="n">
        <x:f>ACOS(COS(Survey!B32)*COS(Survey!B33)+SIN(Survey!B32)*SIN(Survey!B33)*COS(Survey!C33-Survey!C32))</x:f>
        <x:v>0.024162331327270754</x:v>
      </x:c>
      <x:c r="D33" s="35" t="n">
        <x:f>7850*9.80665*PI()/4*(Inputs!$B$9^2-Inputs!$B$10^2)*(1-Inputs!$B$5/7850)</x:f>
        <x:v>222.03697982472235</x:v>
      </x:c>
      <x:c r="E33" s="35" t="n">
        <x:f>D33*B33*ABS(C33)</x:f>
        <x:v>413.27683409437816</x:v>
      </x:c>
      <x:c r="F33" s="35" t="n">
        <x:f>E33*Inputs!$B$6</x:f>
        <x:v>99.18644018265076</x:v>
      </x:c>
      <x:c r="G33" s="35" t="n">
        <x:f>G32+D33*B33+F33</x:f>
        <x:v>675686.2595691354</x:v>
      </x:c>
      <x:c r="H33" s="35" t="n">
        <x:f>H32+D33*B33-F33</x:f>
        <x:v>666089.5530951733</x:v>
      </x:c>
      <x:c r="I33" s="35" t="n">
        <x:f>Inputs!$B$8+F33*Inputs!$B$9/2</x:f>
        <x:v>26006.298338951598</x:v>
      </x:c>
      <x:c r="J33" s="35" t="n">
        <x:f>Inputs!$B$8+F33*Inputs!$B$9</x:f>
        <x:v>26012.596677903195</x:v>
      </x:c>
      <x:c r="K33" s="35" t="n">
        <x:f>Inputs!$B$8+F33*Inputs!$B$9*1.25</x:f>
        <x:v>26015.745847378996</x:v>
      </x:c>
      <x:c r="L33" s="35" t="n">
        <x:f>2*SQRT((Inputs!$B$12*IF(Inputs!$C$12="GPa",1E9,IF(Inputs!$C$12="MPa",1E6,IF(Inputs!$C$12="Pa",1,IF(Inputs!$C$12="Mpsi",6894757293.168,IF(Inputs!$C$12="psi",6894.757293168,NA()))))))*PI()/64*(Inputs!$B$9^4-Inputs!$B$10^4)*E33/MAX(B33,1))</x:f>
        <x:v>5135.638179379317</x:v>
      </x:c>
      <x:c r="M33" s="35" t="n">
        <x:f>4*SQRT((Inputs!$B$12*IF(Inputs!$C$12="GPa",1E9,IF(Inputs!$C$12="MPa",1E6,IF(Inputs!$C$12="Pa",1,IF(Inputs!$C$12="Mpsi",6894757293.168,IF(Inputs!$C$12="psi",6894.757293168,NA()))))))*PI()/64*(Inputs!$B$9^4-Inputs!$B$10^4)*E33/MAX(B33,1))</x:f>
        <x:v>10271.276358758634</x:v>
      </x:c>
      <x:c r="N33" s="35" t="str">
        <x:f>IF(H33&lt;-M33,"REVIEW","PASS")</x:f>
        <x:v>PASS</x:v>
      </x:c>
    </x:row>
    <x:row r="34">
      <x:c r="A34" s="35" t="n">
        <x:f>Survey!A34</x:f>
        <x:v>2557.6252632</x:v>
      </x:c>
      <x:c r="B34" s="35" t="n">
        <x:f>Survey!A34-Survey!A33</x:f>
        <x:v>76.5614928</x:v>
      </x:c>
      <x:c r="C34" s="35" t="n">
        <x:f>ACOS(COS(Survey!B33)*COS(Survey!B34)+SIN(Survey!B33)*SIN(Survey!B34)*COS(Survey!C34-Survey!C33))</x:f>
        <x:v>0.02033600640358868</x:v>
      </x:c>
      <x:c r="D34" s="35" t="n">
        <x:f>7850*9.80665*PI()/4*(Inputs!$B$9^2-Inputs!$B$10^2)*(1-Inputs!$B$5/7850)</x:f>
        <x:v>222.03697982472235</x:v>
      </x:c>
      <x:c r="E34" s="35" t="n">
        <x:f>D34*B34*ABS(C34)</x:f>
        <x:v>345.701587665793</x:v>
      </x:c>
      <x:c r="F34" s="35" t="n">
        <x:f>E34*Inputs!$B$6</x:f>
        <x:v>82.96838103979032</x:v>
      </x:c>
      <x:c r="G34" s="35" t="n">
        <x:f>G33+D34*B34+F34</x:f>
        <x:v>692768.7105823595</x:v>
      </x:c>
      <x:c r="H34" s="35" t="n">
        <x:f>H33+D34*B34-F34</x:f>
        <x:v>683006.0673463177</x:v>
      </x:c>
      <x:c r="I34" s="35" t="n">
        <x:f>Inputs!$B$8+F34*Inputs!$B$9/2</x:f>
        <x:v>26005.268492196028</x:v>
      </x:c>
      <x:c r="J34" s="35" t="n">
        <x:f>Inputs!$B$8+F34*Inputs!$B$9</x:f>
        <x:v>26010.536984392053</x:v>
      </x:c>
      <x:c r="K34" s="35" t="n">
        <x:f>Inputs!$B$8+F34*Inputs!$B$9*1.25</x:f>
        <x:v>26013.17123049007</x:v>
      </x:c>
      <x:c r="L34" s="35" t="n">
        <x:f>2*SQRT((Inputs!$B$12*IF(Inputs!$C$12="GPa",1E9,IF(Inputs!$C$12="MPa",1E6,IF(Inputs!$C$12="Pa",1,IF(Inputs!$C$12="Mpsi",6894757293.168,IF(Inputs!$C$12="psi",6894.757293168,NA()))))))*PI()/64*(Inputs!$B$9^4-Inputs!$B$10^4)*E34/MAX(B34,1))</x:f>
        <x:v>4711.485253484027</x:v>
      </x:c>
      <x:c r="M34" s="35" t="n">
        <x:f>4*SQRT((Inputs!$B$12*IF(Inputs!$C$12="GPa",1E9,IF(Inputs!$C$12="MPa",1E6,IF(Inputs!$C$12="Pa",1,IF(Inputs!$C$12="Mpsi",6894757293.168,IF(Inputs!$C$12="psi",6894.757293168,NA()))))))*PI()/64*(Inputs!$B$9^4-Inputs!$B$10^4)*E34/MAX(B34,1))</x:f>
        <x:v>9422.970506968055</x:v>
      </x:c>
      <x:c r="N34" s="35" t="str">
        <x:f>IF(H34&lt;-M34,"REVIEW","PASS")</x:f>
        <x:v>PASS</x:v>
      </x:c>
    </x:row>
    <x:row r="35">
      <x:c r="A35" s="35" t="n">
        <x:f>Survey!A35</x:f>
        <x:v>2633.5658784</x:v>
      </x:c>
      <x:c r="B35" s="35" t="n">
        <x:f>Survey!A35-Survey!A34</x:f>
        <x:v>75.94061520000014</x:v>
      </x:c>
      <x:c r="C35" s="35" t="n">
        <x:f>ACOS(COS(Survey!B34)*COS(Survey!B35)+SIN(Survey!B34)*SIN(Survey!B35)*COS(Survey!C35-Survey!C34))</x:f>
        <x:v>0.0166286507984047</x:v>
      </x:c>
      <x:c r="D35" s="35" t="n">
        <x:f>7850*9.80665*PI()/4*(Inputs!$B$9^2-Inputs!$B$10^2)*(1-Inputs!$B$5/7850)</x:f>
        <x:v>222.03697982472235</x:v>
      </x:c>
      <x:c r="E35" s="35" t="n">
        <x:f>D35*B35*ABS(C35)</x:f>
        <x:v>280.3860714418655</x:v>
      </x:c>
      <x:c r="F35" s="35" t="n">
        <x:f>E35*Inputs!$B$6</x:f>
        <x:v>67.29265714604772</x:v>
      </x:c>
      <x:c r="G35" s="35" t="n">
        <x:f>G34+D35*B35+F35</x:f>
        <x:v>709697.6280845449</x:v>
      </x:c>
      <x:c r="H35" s="35" t="n">
        <x:f>H34+D35*B35-F35</x:f>
        <x:v>699800.3995342111</x:v>
      </x:c>
      <x:c r="I35" s="35" t="n">
        <x:f>Inputs!$B$8+F35*Inputs!$B$9/2</x:f>
        <x:v>26004.273083728775</x:v>
      </x:c>
      <x:c r="J35" s="35" t="n">
        <x:f>Inputs!$B$8+F35*Inputs!$B$9</x:f>
        <x:v>26008.54616745755</x:v>
      </x:c>
      <x:c r="K35" s="35" t="n">
        <x:f>Inputs!$B$8+F35*Inputs!$B$9*1.25</x:f>
        <x:v>26010.682709321936</x:v>
      </x:c>
      <x:c r="L35" s="35" t="n">
        <x:f>2*SQRT((Inputs!$B$12*IF(Inputs!$C$12="GPa",1E9,IF(Inputs!$C$12="MPa",1E6,IF(Inputs!$C$12="Pa",1,IF(Inputs!$C$12="Mpsi",6894757293.168,IF(Inputs!$C$12="psi",6894.757293168,NA()))))))*PI()/64*(Inputs!$B$9^4-Inputs!$B$10^4)*E35/MAX(B35,1))</x:f>
        <x:v>4260.430722586636</x:v>
      </x:c>
      <x:c r="M35" s="35" t="n">
        <x:f>4*SQRT((Inputs!$B$12*IF(Inputs!$C$12="GPa",1E9,IF(Inputs!$C$12="MPa",1E6,IF(Inputs!$C$12="Pa",1,IF(Inputs!$C$12="Mpsi",6894757293.168,IF(Inputs!$C$12="psi",6894.757293168,NA()))))))*PI()/64*(Inputs!$B$9^4-Inputs!$B$10^4)*E35/MAX(B35,1))</x:f>
        <x:v>8520.861445173272</x:v>
      </x:c>
      <x:c r="N35" s="35" t="str">
        <x:f>IF(H35&lt;-M35,"REVIEW","PASS")</x:f>
        <x:v>PASS</x:v>
      </x:c>
    </x:row>
    <x:row r="36">
      <x:c r="A36" s="35" t="n">
        <x:f>Survey!A36</x:f>
        <x:v>2709.0514272</x:v>
      </x:c>
      <x:c r="B36" s="35" t="n">
        <x:f>Survey!A36-Survey!A35</x:f>
        <x:v>75.48554879999983</x:v>
      </x:c>
      <x:c r="C36" s="35" t="n">
        <x:f>ACOS(COS(Survey!B35)*COS(Survey!B36)+SIN(Survey!B35)*SIN(Survey!B36)*COS(Survey!C36-Survey!C35))</x:f>
        <x:v>0.01329152153830749</x:v>
      </x:c>
      <x:c r="D36" s="35" t="n">
        <x:f>7850*9.80665*PI()/4*(Inputs!$B$9^2-Inputs!$B$10^2)*(1-Inputs!$B$5/7850)</x:f>
        <x:v>222.03697982472235</x:v>
      </x:c>
      <x:c r="E36" s="35" t="n">
        <x:f>D36*B36*ABS(C36)</x:f>
        <x:v>222.77365360706725</x:v>
      </x:c>
      <x:c r="F36" s="35" t="n">
        <x:f>E36*Inputs!$B$6</x:f>
        <x:v>53.46567686569614</x:v>
      </x:c>
      <x:c r="G36" s="35" t="n">
        <x:f>G35+D36*B36+F36</x:f>
        <x:v>726511.6770373742</x:v>
      </x:c>
      <x:c r="H36" s="35" t="n">
        <x:f>H35+D36*B36-F36</x:f>
        <x:v>716507.5171333092</x:v>
      </x:c>
      <x:c r="I36" s="35" t="n">
        <x:f>Inputs!$B$8+F36*Inputs!$B$9/2</x:f>
        <x:v>26003.395070480972</x:v>
      </x:c>
      <x:c r="J36" s="35" t="n">
        <x:f>Inputs!$B$8+F36*Inputs!$B$9</x:f>
        <x:v>26006.790140961944</x:v>
      </x:c>
      <x:c r="K36" s="35" t="n">
        <x:f>Inputs!$B$8+F36*Inputs!$B$9*1.25</x:f>
        <x:v>26008.48767620243</x:v>
      </x:c>
      <x:c r="L36" s="35" t="n">
        <x:f>2*SQRT((Inputs!$B$12*IF(Inputs!$C$12="GPa",1E9,IF(Inputs!$C$12="MPa",1E6,IF(Inputs!$C$12="Pa",1,IF(Inputs!$C$12="Mpsi",6894757293.168,IF(Inputs!$C$12="psi",6894.757293168,NA()))))))*PI()/64*(Inputs!$B$9^4-Inputs!$B$10^4)*E36/MAX(B36,1))</x:f>
        <x:v>3809.012087543358</x:v>
      </x:c>
      <x:c r="M36" s="35" t="n">
        <x:f>4*SQRT((Inputs!$B$12*IF(Inputs!$C$12="GPa",1E9,IF(Inputs!$C$12="MPa",1E6,IF(Inputs!$C$12="Pa",1,IF(Inputs!$C$12="Mpsi",6894757293.168,IF(Inputs!$C$12="psi",6894.757293168,NA()))))))*PI()/64*(Inputs!$B$9^4-Inputs!$B$10^4)*E36/MAX(B36,1))</x:f>
        <x:v>7618.024175086716</x:v>
      </x:c>
      <x:c r="N36" s="35" t="str">
        <x:f>IF(H36&lt;-M36,"REVIEW","PASS")</x:f>
        <x:v>PASS</x:v>
      </x:c>
    </x:row>
    <x:row r="37">
      <x:c r="A37" s="35" t="n">
        <x:f>Survey!A37</x:f>
        <x:v>2784.480588</x:v>
      </x:c>
      <x:c r="B37" s="35" t="n">
        <x:f>Survey!A37-Survey!A36</x:f>
        <x:v>75.42916079999986</x:v>
      </x:c>
      <x:c r="C37" s="35" t="n">
        <x:f>ACOS(COS(Survey!B36)*COS(Survey!B37)+SIN(Survey!B36)*SIN(Survey!B37)*COS(Survey!C37-Survey!C36))</x:f>
        <x:v>0.010453100026035417</x:v>
      </x:c>
      <x:c r="D37" s="35" t="n">
        <x:f>7850*9.80665*PI()/4*(Inputs!$B$9^2-Inputs!$B$10^2)*(1-Inputs!$B$5/7850)</x:f>
        <x:v>222.03697982472235</x:v>
      </x:c>
      <x:c r="E37" s="35" t="n">
        <x:f>D37*B37*ABS(C37)</x:f>
        <x:v>175.06917835360096</x:v>
      </x:c>
      <x:c r="F37" s="35" t="n">
        <x:f>E37*Inputs!$B$6</x:f>
        <x:v>42.01660280486423</x:v>
      </x:c>
      <x:c r="G37" s="35" t="n">
        <x:f>G36+D37*B37+F37</x:f>
        <x:v>743301.7566949244</x:v>
      </x:c>
      <x:c r="H37" s="35" t="n">
        <x:f>H36+D37*B37-F37</x:f>
        <x:v>733213.5635852496</x:v>
      </x:c>
      <x:c r="I37" s="35" t="n">
        <x:f>Inputs!$B$8+F37*Inputs!$B$9/2</x:f>
        <x:v>26002.66805427811</x:v>
      </x:c>
      <x:c r="J37" s="35" t="n">
        <x:f>Inputs!$B$8+F37*Inputs!$B$9</x:f>
        <x:v>26005.336108556217</x:v>
      </x:c>
      <x:c r="K37" s="35" t="n">
        <x:f>Inputs!$B$8+F37*Inputs!$B$9*1.25</x:f>
        <x:v>26006.670135695273</x:v>
      </x:c>
      <x:c r="L37" s="35" t="n">
        <x:f>2*SQRT((Inputs!$B$12*IF(Inputs!$C$12="GPa",1E9,IF(Inputs!$C$12="MPa",1E6,IF(Inputs!$C$12="Pa",1,IF(Inputs!$C$12="Mpsi",6894757293.168,IF(Inputs!$C$12="psi",6894.757293168,NA()))))))*PI()/64*(Inputs!$B$9^4-Inputs!$B$10^4)*E37/MAX(B37,1))</x:f>
        <x:v>3377.9059561717727</x:v>
      </x:c>
      <x:c r="M37" s="35" t="n">
        <x:f>4*SQRT((Inputs!$B$12*IF(Inputs!$C$12="GPa",1E9,IF(Inputs!$C$12="MPa",1E6,IF(Inputs!$C$12="Pa",1,IF(Inputs!$C$12="Mpsi",6894757293.168,IF(Inputs!$C$12="psi",6894.757293168,NA()))))))*PI()/64*(Inputs!$B$9^4-Inputs!$B$10^4)*E37/MAX(B37,1))</x:f>
        <x:v>6755.811912343545</x:v>
      </x:c>
      <x:c r="N37" s="35" t="str">
        <x:f>IF(H37&lt;-M37,"REVIEW","PASS")</x:f>
        <x:v>PASS</x:v>
      </x:c>
    </x:row>
    <x:row r="38">
      <x:c r="A38" s="35" t="n">
        <x:f>Survey!A38</x:f>
        <x:v>2860.2800807999997</x:v>
      </x:c>
      <x:c r="B38" s="35" t="n">
        <x:f>Survey!A38-Survey!A37</x:f>
        <x:v>75.79949279999983</x:v>
      </x:c>
      <x:c r="C38" s="35" t="n">
        <x:f>ACOS(COS(Survey!B37)*COS(Survey!B38)+SIN(Survey!B37)*SIN(Survey!B38)*COS(Survey!C38-Survey!C37))</x:f>
        <x:v>0.00814021017421109</x:v>
      </x:c>
      <x:c r="D38" s="35" t="n">
        <x:f>7850*9.80665*PI()/4*(Inputs!$B$9^2-Inputs!$B$10^2)*(1-Inputs!$B$5/7850)</x:f>
        <x:v>222.03697982472235</x:v>
      </x:c>
      <x:c r="E38" s="35" t="n">
        <x:f>D38*B38*ABS(C38)</x:f>
        <x:v>137.00210158497856</x:v>
      </x:c>
      <x:c r="F38" s="35" t="n">
        <x:f>E38*Inputs!$B$6</x:f>
        <x:v>32.880504380394854</x:v>
      </x:c>
      <x:c r="G38" s="35" t="n">
        <x:f>G37+D38*B38+F38</x:f>
        <x:v>760164.9276528626</x:v>
      </x:c>
      <x:c r="H38" s="35" t="n">
        <x:f>H37+D38*B38-F38</x:f>
        <x:v>750010.9735344269</x:v>
      </x:c>
      <x:c r="I38" s="35" t="n">
        <x:f>Inputs!$B$8+F38*Inputs!$B$9/2</x:f>
        <x:v>26002.087912028153</x:v>
      </x:c>
      <x:c r="J38" s="35" t="n">
        <x:f>Inputs!$B$8+F38*Inputs!$B$9</x:f>
        <x:v>26004.17582405631</x:v>
      </x:c>
      <x:c r="K38" s="35" t="n">
        <x:f>Inputs!$B$8+F38*Inputs!$B$9*1.25</x:f>
        <x:v>26005.219780070387</x:v>
      </x:c>
      <x:c r="L38" s="35" t="n">
        <x:f>2*SQRT((Inputs!$B$12*IF(Inputs!$C$12="GPa",1E9,IF(Inputs!$C$12="MPa",1E6,IF(Inputs!$C$12="Pa",1,IF(Inputs!$C$12="Mpsi",6894757293.168,IF(Inputs!$C$12="psi",6894.757293168,NA()))))))*PI()/64*(Inputs!$B$9^4-Inputs!$B$10^4)*E38/MAX(B38,1))</x:f>
        <x:v>2980.8684489930993</x:v>
      </x:c>
      <x:c r="M38" s="35" t="n">
        <x:f>4*SQRT((Inputs!$B$12*IF(Inputs!$C$12="GPa",1E9,IF(Inputs!$C$12="MPa",1E6,IF(Inputs!$C$12="Pa",1,IF(Inputs!$C$12="Mpsi",6894757293.168,IF(Inputs!$C$12="psi",6894.757293168,NA()))))))*PI()/64*(Inputs!$B$9^4-Inputs!$B$10^4)*E38/MAX(B38,1))</x:f>
        <x:v>5961.7368979861985</x:v>
      </x:c>
      <x:c r="N38" s="35" t="str">
        <x:f>IF(H38&lt;-M38,"REVIEW","PASS")</x:f>
        <x:v>PASS</x:v>
      </x:c>
    </x:row>
    <x:row r="39">
      <x:c r="A39" s="35" t="n">
        <x:f>Survey!A39</x:f>
        <x:v>2936.688564</x:v>
      </x:c>
      <x:c r="B39" s="35" t="n">
        <x:f>Survey!A39-Survey!A38</x:f>
        <x:v>76.40848320000032</x:v>
      </x:c>
      <x:c r="C39" s="35" t="n">
        <x:f>ACOS(COS(Survey!B38)*COS(Survey!B39)+SIN(Survey!B38)*SIN(Survey!B39)*COS(Survey!C39-Survey!C38))</x:f>
        <x:v>0.006199395403994184</x:v>
      </x:c>
      <x:c r="D39" s="35" t="n">
        <x:f>7850*9.80665*PI()/4*(Inputs!$B$9^2-Inputs!$B$10^2)*(1-Inputs!$B$5/7850)</x:f>
        <x:v>222.03697982472235</x:v>
      </x:c>
      <x:c r="E39" s="35" t="n">
        <x:f>D39*B39*ABS(C39)</x:f>
        <x:v>105.17589754595693</x:v>
      </x:c>
      <x:c r="F39" s="35" t="n">
        <x:f>E39*Inputs!$B$6</x:f>
        <x:v>25.24221541102966</x:v>
      </x:c>
      <x:c r="G39" s="35" t="n">
        <x:f>G38+D39*B39+F39</x:f>
        <x:v>777155.6787109898</x:v>
      </x:c>
      <x:c r="H39" s="35" t="n">
        <x:f>H38+D39*B39-F39</x:f>
        <x:v>766951.240161732</x:v>
      </x:c>
      <x:c r="I39" s="35" t="n">
        <x:f>Inputs!$B$8+F39*Inputs!$B$9/2</x:f>
        <x:v>26001.6028806786</x:v>
      </x:c>
      <x:c r="J39" s="35" t="n">
        <x:f>Inputs!$B$8+F39*Inputs!$B$9</x:f>
        <x:v>26003.2057613572</x:v>
      </x:c>
      <x:c r="K39" s="35" t="n">
        <x:f>Inputs!$B$8+F39*Inputs!$B$9*1.25</x:f>
        <x:v>26004.007201696502</x:v>
      </x:c>
      <x:c r="L39" s="35" t="n">
        <x:f>2*SQRT((Inputs!$B$12*IF(Inputs!$C$12="GPa",1E9,IF(Inputs!$C$12="MPa",1E6,IF(Inputs!$C$12="Pa",1,IF(Inputs!$C$12="Mpsi",6894757293.168,IF(Inputs!$C$12="psi",6894.757293168,NA()))))))*PI()/64*(Inputs!$B$9^4-Inputs!$B$10^4)*E39/MAX(B39,1))</x:f>
        <x:v>2601.355278029806</x:v>
      </x:c>
      <x:c r="M39" s="35" t="n">
        <x:f>4*SQRT((Inputs!$B$12*IF(Inputs!$C$12="GPa",1E9,IF(Inputs!$C$12="MPa",1E6,IF(Inputs!$C$12="Pa",1,IF(Inputs!$C$12="Mpsi",6894757293.168,IF(Inputs!$C$12="psi",6894.757293168,NA()))))))*PI()/64*(Inputs!$B$9^4-Inputs!$B$10^4)*E39/MAX(B39,1))</x:f>
        <x:v>5202.710556059612</x:v>
      </x:c>
      <x:c r="N39" s="35" t="str">
        <x:f>IF(H39&lt;-M39,"REVIEW","PASS")</x:f>
        <x:v>PASS</x:v>
      </x:c>
    </x:row>
    <x:row r="40">
      <x:c r="A40" s="35" t="n">
        <x:f>Survey!A40</x:f>
        <x:v>3013.6334952</x:v>
      </x:c>
      <x:c r="B40" s="35" t="n">
        <x:f>Survey!A40-Survey!A39</x:f>
        <x:v>76.94493120000016</x:v>
      </x:c>
      <x:c r="C40" s="35" t="n">
        <x:f>ACOS(COS(Survey!B39)*COS(Survey!B40)+SIN(Survey!B39)*SIN(Survey!B40)*COS(Survey!C40-Survey!C39))</x:f>
        <x:v>0.004476277513187401</x:v>
      </x:c>
      <x:c r="D40" s="35" t="n">
        <x:f>7850*9.80665*PI()/4*(Inputs!$B$9^2-Inputs!$B$10^2)*(1-Inputs!$B$5/7850)</x:f>
        <x:v>222.03697982472235</x:v>
      </x:c>
      <x:c r="E40" s="35" t="n">
        <x:f>D40*B40*ABS(C40)</x:f>
        <x:v>76.47550093822522</x:v>
      </x:c>
      <x:c r="F40" s="35" t="n">
        <x:f>E40*Inputs!$B$6</x:f>
        <x:v>18.354120225174054</x:v>
      </x:c>
      <x:c r="G40" s="35" t="n">
        <x:f>G39+D40*B40+F40</x:f>
        <x:v>794258.6529676841</x:v>
      </x:c>
      <x:c r="H40" s="35" t="n">
        <x:f>H39+D40*B40-F40</x:f>
        <x:v>784017.5061779759</x:v>
      </x:c>
      <x:c r="I40" s="35" t="n">
        <x:f>Inputs!$B$8+F40*Inputs!$B$9/2</x:f>
        <x:v>26001.165486634298</x:v>
      </x:c>
      <x:c r="J40" s="35" t="n">
        <x:f>Inputs!$B$8+F40*Inputs!$B$9</x:f>
        <x:v>26002.330973268596</x:v>
      </x:c>
      <x:c r="K40" s="35" t="n">
        <x:f>Inputs!$B$8+F40*Inputs!$B$9*1.25</x:f>
        <x:v>26002.913716585746</x:v>
      </x:c>
      <x:c r="L40" s="35" t="n">
        <x:f>2*SQRT((Inputs!$B$12*IF(Inputs!$C$12="GPa",1E9,IF(Inputs!$C$12="MPa",1E6,IF(Inputs!$C$12="Pa",1,IF(Inputs!$C$12="Mpsi",6894757293.168,IF(Inputs!$C$12="psi",6894.757293168,NA()))))))*PI()/64*(Inputs!$B$9^4-Inputs!$B$10^4)*E40/MAX(B40,1))</x:f>
        <x:v>2210.464287905019</x:v>
      </x:c>
      <x:c r="M40" s="35" t="n">
        <x:f>4*SQRT((Inputs!$B$12*IF(Inputs!$C$12="GPa",1E9,IF(Inputs!$C$12="MPa",1E6,IF(Inputs!$C$12="Pa",1,IF(Inputs!$C$12="Mpsi",6894757293.168,IF(Inputs!$C$12="psi",6894.757293168,NA()))))))*PI()/64*(Inputs!$B$9^4-Inputs!$B$10^4)*E40/MAX(B40,1))</x:f>
        <x:v>4420.928575810038</x:v>
      </x:c>
      <x:c r="N40" s="35" t="str">
        <x:f>IF(H40&lt;-M40,"REVIEW","PASS")</x:f>
        <x:v>PASS</x:v>
      </x:c>
    </x:row>
    <x:row r="41">
      <x:c r="A41" s="35" t="n">
        <x:f>Survey!A41</x:f>
        <x:v>3090.7698408</x:v>
      </x:c>
      <x:c r="B41" s="35" t="n">
        <x:f>Survey!A41-Survey!A40</x:f>
        <x:v>77.13634559999991</x:v>
      </x:c>
      <x:c r="C41" s="35" t="n">
        <x:f>ACOS(COS(Survey!B40)*COS(Survey!B41)+SIN(Survey!B40)*SIN(Survey!B41)*COS(Survey!C41-Survey!C40))</x:f>
        <x:v>0.0030628949044587414</x:v>
      </x:c>
      <x:c r="D41" s="35" t="n">
        <x:f>7850*9.80665*PI()/4*(Inputs!$B$9^2-Inputs!$B$10^2)*(1-Inputs!$B$5/7850)</x:f>
        <x:v>222.03697982472235</x:v>
      </x:c>
      <x:c r="E41" s="35" t="n">
        <x:f>D41*B41*ABS(C41)</x:f>
        <x:v>52.458572287485644</x:v>
      </x:c>
      <x:c r="F41" s="35" t="n">
        <x:f>E41*Inputs!$B$6</x:f>
        <x:v>12.590057348996554</x:v>
      </x:c>
      <x:c r="G41" s="35" t="n">
        <x:f>G40+D41*B41+F41</x:f>
        <x:v>811398.364236773</x:v>
      </x:c>
      <x:c r="H41" s="35" t="n">
        <x:f>H40+D41*B41-F41</x:f>
        <x:v>801132.0373323669</x:v>
      </x:c>
      <x:c r="I41" s="35" t="n">
        <x:f>Inputs!$B$8+F41*Inputs!$B$9/2</x:f>
        <x:v>26000.79946864166</x:v>
      </x:c>
      <x:c r="J41" s="35" t="n">
        <x:f>Inputs!$B$8+F41*Inputs!$B$9</x:f>
        <x:v>26001.59893728332</x:v>
      </x:c>
      <x:c r="K41" s="35" t="n">
        <x:f>Inputs!$B$8+F41*Inputs!$B$9*1.25</x:f>
        <x:v>26001.998671604153</x:v>
      </x:c>
      <x:c r="L41" s="35" t="n">
        <x:f>2*SQRT((Inputs!$B$12*IF(Inputs!$C$12="GPa",1E9,IF(Inputs!$C$12="MPa",1E6,IF(Inputs!$C$12="Pa",1,IF(Inputs!$C$12="Mpsi",6894757293.168,IF(Inputs!$C$12="psi",6894.757293168,NA()))))))*PI()/64*(Inputs!$B$9^4-Inputs!$B$10^4)*E41/MAX(B41,1))</x:f>
        <x:v>1828.4835133349245</x:v>
      </x:c>
      <x:c r="M41" s="35" t="n">
        <x:f>4*SQRT((Inputs!$B$12*IF(Inputs!$C$12="GPa",1E9,IF(Inputs!$C$12="MPa",1E6,IF(Inputs!$C$12="Pa",1,IF(Inputs!$C$12="Mpsi",6894757293.168,IF(Inputs!$C$12="psi",6894.757293168,NA()))))))*PI()/64*(Inputs!$B$9^4-Inputs!$B$10^4)*E41/MAX(B41,1))</x:f>
        <x:v>3656.967026669849</x:v>
      </x:c>
      <x:c r="N41" s="35" t="str">
        <x:f>IF(H41&lt;-M41,"REVIEW","PASS")</x:f>
        <x:v>PASS</x:v>
      </x:c>
    </x:row>
    <x:row r="42">
      <x:c r="A42" s="35" t="n">
        <x:f>Survey!A42</x:f>
        <x:v>3167.6544215999998</x:v>
      </x:c>
      <x:c r="B42" s="35" t="n">
        <x:f>Survey!A42-Survey!A41</x:f>
        <x:v>76.88458079999964</x:v>
      </x:c>
      <x:c r="C42" s="35" t="n">
        <x:f>ACOS(COS(Survey!B41)*COS(Survey!B42)+SIN(Survey!B41)*SIN(Survey!B42)*COS(Survey!C42-Survey!C41))</x:f>
        <x:v>0.003009845875904272</x:v>
      </x:c>
      <x:c r="D42" s="35" t="n">
        <x:f>7850*9.80665*PI()/4*(Inputs!$B$9^2-Inputs!$B$10^2)*(1-Inputs!$B$5/7850)</x:f>
        <x:v>222.03697982472235</x:v>
      </x:c>
      <x:c r="E42" s="35" t="n">
        <x:f>D42*B42*ABS(C42)</x:f>
        <x:v>51.381741462561145</x:v>
      </x:c>
      <x:c r="F42" s="35" t="n">
        <x:f>E42*Inputs!$B$6</x:f>
        <x:v>12.331617951014675</x:v>
      </x:c>
      <x:c r="G42" s="35" t="n">
        <x:f>G41+D42*B42+F42</x:f>
        <x:v>828481.9159706458</x:v>
      </x:c>
      <x:c r="H42" s="35" t="n">
        <x:f>H41+D42*B42-F42</x:f>
        <x:v>818190.9258303377</x:v>
      </x:c>
      <x:c r="I42" s="35" t="n">
        <x:f>Inputs!$B$8+F42*Inputs!$B$9/2</x:f>
        <x:v>26000.78305773989</x:v>
      </x:c>
      <x:c r="J42" s="35" t="n">
        <x:f>Inputs!$B$8+F42*Inputs!$B$9</x:f>
        <x:v>26001.566115479778</x:v>
      </x:c>
      <x:c r="K42" s="35" t="n">
        <x:f>Inputs!$B$8+F42*Inputs!$B$9*1.25</x:f>
        <x:v>26001.957644349724</x:v>
      </x:c>
      <x:c r="L42" s="35" t="n">
        <x:f>2*SQRT((Inputs!$B$12*IF(Inputs!$C$12="GPa",1E9,IF(Inputs!$C$12="MPa",1E6,IF(Inputs!$C$12="Pa",1,IF(Inputs!$C$12="Mpsi",6894757293.168,IF(Inputs!$C$12="psi",6894.757293168,NA()))))))*PI()/64*(Inputs!$B$9^4-Inputs!$B$10^4)*E42/MAX(B42,1))</x:f>
        <x:v>1812.5797754308658</x:v>
      </x:c>
      <x:c r="M42" s="35" t="n">
        <x:f>4*SQRT((Inputs!$B$12*IF(Inputs!$C$12="GPa",1E9,IF(Inputs!$C$12="MPa",1E6,IF(Inputs!$C$12="Pa",1,IF(Inputs!$C$12="Mpsi",6894757293.168,IF(Inputs!$C$12="psi",6894.757293168,NA()))))))*PI()/64*(Inputs!$B$9^4-Inputs!$B$10^4)*E42/MAX(B42,1))</x:f>
        <x:v>3625.1595508617315</x:v>
      </x:c>
      <x:c r="N42" s="35" t="str">
        <x:f>IF(H42&lt;-M42,"REVIEW","PASS")</x:f>
        <x:v>PASS</x:v>
      </x:c>
    </x:row>
    <x:row r="43">
      <x:c r="A43" s="35" t="n">
        <x:f>Survey!A43</x:f>
        <x:v>3243.9723792</x:v>
      </x:c>
      <x:c r="B43" s="35" t="n">
        <x:f>Survey!A43-Survey!A42</x:f>
        <x:v>76.31795760000023</x:v>
      </x:c>
      <x:c r="C43" s="35" t="n">
        <x:f>ACOS(COS(Survey!B42)*COS(Survey!B43)+SIN(Survey!B42)*SIN(Survey!B43)*COS(Survey!C43-Survey!C42))</x:f>
        <x:v>0.004506409793643097</x:v>
      </x:c>
      <x:c r="D43" s="35" t="n">
        <x:f>7850*9.80665*PI()/4*(Inputs!$B$9^2-Inputs!$B$10^2)*(1-Inputs!$B$5/7850)</x:f>
        <x:v>222.03697982472235</x:v>
      </x:c>
      <x:c r="E43" s="35" t="n">
        <x:f>D43*B43*ABS(C43)</x:f>
        <x:v>76.36295622721087</x:v>
      </x:c>
      <x:c r="F43" s="35" t="n">
        <x:f>E43*Inputs!$B$6</x:f>
        <x:v>18.32710949453061</x:v>
      </x:c>
      <x:c r="G43" s="35" t="n">
        <x:f>G42+D43*B43+F43</x:f>
        <x:v>845445.6518920356</x:v>
      </x:c>
      <x:c r="H43" s="35" t="n">
        <x:f>H42+D43*B43-F43</x:f>
        <x:v>835118.0075327385</x:v>
      </x:c>
      <x:c r="I43" s="35" t="n">
        <x:f>Inputs!$B$8+F43*Inputs!$B$9/2</x:f>
        <x:v>26001.163771452902</x:v>
      </x:c>
      <x:c r="J43" s="35" t="n">
        <x:f>Inputs!$B$8+F43*Inputs!$B$9</x:f>
        <x:v>26002.327542905805</x:v>
      </x:c>
      <x:c r="K43" s="35" t="n">
        <x:f>Inputs!$B$8+F43*Inputs!$B$9*1.25</x:f>
        <x:v>26002.909428632258</x:v>
      </x:c>
      <x:c r="L43" s="35" t="n">
        <x:f>2*SQRT((Inputs!$B$12*IF(Inputs!$C$12="GPa",1E9,IF(Inputs!$C$12="MPa",1E6,IF(Inputs!$C$12="Pa",1,IF(Inputs!$C$12="Mpsi",6894757293.168,IF(Inputs!$C$12="psi",6894.757293168,NA()))))))*PI()/64*(Inputs!$B$9^4-Inputs!$B$10^4)*E43/MAX(B43,1))</x:f>
        <x:v>2217.891733412791</x:v>
      </x:c>
      <x:c r="M43" s="35" t="n">
        <x:f>4*SQRT((Inputs!$B$12*IF(Inputs!$C$12="GPa",1E9,IF(Inputs!$C$12="MPa",1E6,IF(Inputs!$C$12="Pa",1,IF(Inputs!$C$12="Mpsi",6894757293.168,IF(Inputs!$C$12="psi",6894.757293168,NA()))))))*PI()/64*(Inputs!$B$9^4-Inputs!$B$10^4)*E43/MAX(B43,1))</x:f>
        <x:v>4435.783466825582</x:v>
      </x:c>
      <x:c r="N43" s="35" t="str">
        <x:f>IF(H43&lt;-M43,"REVIEW","PASS")</x:f>
        <x:v>PASS</x:v>
      </x:c>
    </x:row>
    <x:row r="44">
      <x:c r="A44" s="35" t="n">
        <x:f>Survey!A44</x:f>
        <x:v>3319.6978056000003</x:v>
      </x:c>
      <x:c r="B44" s="35" t="n">
        <x:f>Survey!A44-Survey!A43</x:f>
        <x:v>75.72542640000029</x:v>
      </x:c>
      <x:c r="C44" s="35" t="n">
        <x:f>ACOS(COS(Survey!B43)*COS(Survey!B44)+SIN(Survey!B43)*SIN(Survey!B44)*COS(Survey!C44-Survey!C43))</x:f>
        <x:v>0.006396622985549533</x:v>
      </x:c>
      <x:c r="D44" s="35" t="n">
        <x:f>7850*9.80665*PI()/4*(Inputs!$B$9^2-Inputs!$B$10^2)*(1-Inputs!$B$5/7850)</x:f>
        <x:v>222.03697982472235</x:v>
      </x:c>
      <x:c r="E44" s="35" t="n">
        <x:f>D44*B44*ABS(C44)</x:f>
        <x:v>107.55182723484587</x:v>
      </x:c>
      <x:c r="F44" s="35" t="n">
        <x:f>E44*Inputs!$B$6</x:f>
        <x:v>25.812438536363008</x:v>
      </x:c>
      <x:c r="G44" s="35" t="n">
        <x:f>G43+D44*B44+F44</x:f>
        <x:v>862285.3093043673</x:v>
      </x:c>
      <x:c r="H44" s="35" t="n">
        <x:f>H43+D44*B44-F44</x:f>
        <x:v>851906.0400679975</x:v>
      </x:c>
      <x:c r="I44" s="35" t="n">
        <x:f>Inputs!$B$8+F44*Inputs!$B$9/2</x:f>
        <x:v>26001.63908984706</x:v>
      </x:c>
      <x:c r="J44" s="35" t="n">
        <x:f>Inputs!$B$8+F44*Inputs!$B$9</x:f>
        <x:v>26003.27817969412</x:v>
      </x:c>
      <x:c r="K44" s="35" t="n">
        <x:f>Inputs!$B$8+F44*Inputs!$B$9*1.25</x:f>
        <x:v>26004.097724617648</x:v>
      </x:c>
      <x:c r="L44" s="35" t="n">
        <x:f>2*SQRT((Inputs!$B$12*IF(Inputs!$C$12="GPa",1E9,IF(Inputs!$C$12="MPa",1E6,IF(Inputs!$C$12="Pa",1,IF(Inputs!$C$12="Mpsi",6894757293.168,IF(Inputs!$C$12="psi",6894.757293168,NA()))))))*PI()/64*(Inputs!$B$9^4-Inputs!$B$10^4)*E44/MAX(B44,1))</x:f>
        <x:v>2642.4110592528173</x:v>
      </x:c>
      <x:c r="M44" s="35" t="n">
        <x:f>4*SQRT((Inputs!$B$12*IF(Inputs!$C$12="GPa",1E9,IF(Inputs!$C$12="MPa",1E6,IF(Inputs!$C$12="Pa",1,IF(Inputs!$C$12="Mpsi",6894757293.168,IF(Inputs!$C$12="psi",6894.757293168,NA()))))))*PI()/64*(Inputs!$B$9^4-Inputs!$B$10^4)*E44/MAX(B44,1))</x:f>
        <x:v>5284.8221185056345</x:v>
      </x:c>
      <x:c r="N44" s="35" t="str">
        <x:f>IF(H44&lt;-M44,"REVIEW","PASS")</x:f>
        <x:v>PASS</x:v>
      </x:c>
    </x:row>
    <x:row r="45">
      <x:c r="A45" s="35" t="n">
        <x:f>Survey!A45</x:f>
        <x:v>3395.1068496000003</x:v>
      </x:c>
      <x:c r="B45" s="35" t="n">
        <x:f>Survey!A45-Survey!A44</x:f>
        <x:v>75.409044</x:v>
      </x:c>
      <x:c r="C45" s="35" t="n">
        <x:f>ACOS(COS(Survey!B44)*COS(Survey!B45)+SIN(Survey!B44)*SIN(Survey!B45)*COS(Survey!C45-Survey!C44))</x:f>
        <x:v>0.008134766744770719</x:v>
      </x:c>
      <x:c r="D45" s="35" t="n">
        <x:f>7850*9.80665*PI()/4*(Inputs!$B$9^2-Inputs!$B$10^2)*(1-Inputs!$B$5/7850)</x:f>
        <x:v>222.03697982472235</x:v>
      </x:c>
      <x:c r="E45" s="35" t="n">
        <x:f>D45*B45*ABS(C45)</x:f>
        <x:v>136.2052510298899</x:v>
      </x:c>
      <x:c r="F45" s="35" t="n">
        <x:f>E45*Inputs!$B$6</x:f>
        <x:v>32.68926024717357</x:v>
      </x:c>
      <x:c r="G45" s="35" t="n">
        <x:f>G44+D45*B45+F45</x:f>
        <x:v>879061.594945844</x:v>
      </x:c>
      <x:c r="H45" s="35" t="n">
        <x:f>H44+D45*B45-F45</x:f>
        <x:v>868616.94718898</x:v>
      </x:c>
      <x:c r="I45" s="35" t="n">
        <x:f>Inputs!$B$8+F45*Inputs!$B$9/2</x:f>
        <x:v>26002.075768025694</x:v>
      </x:c>
      <x:c r="J45" s="35" t="n">
        <x:f>Inputs!$B$8+F45*Inputs!$B$9</x:f>
        <x:v>26004.15153605139</x:v>
      </x:c>
      <x:c r="K45" s="35" t="n">
        <x:f>Inputs!$B$8+F45*Inputs!$B$9*1.25</x:f>
        <x:v>26005.18942006424</x:v>
      </x:c>
      <x:c r="L45" s="35" t="n">
        <x:f>2*SQRT((Inputs!$B$12*IF(Inputs!$C$12="GPa",1E9,IF(Inputs!$C$12="MPa",1E6,IF(Inputs!$C$12="Pa",1,IF(Inputs!$C$12="Mpsi",6894757293.168,IF(Inputs!$C$12="psi",6894.757293168,NA()))))))*PI()/64*(Inputs!$B$9^4-Inputs!$B$10^4)*E45/MAX(B45,1))</x:f>
        <x:v>2979.8716159706937</x:v>
      </x:c>
      <x:c r="M45" s="35" t="n">
        <x:f>4*SQRT((Inputs!$B$12*IF(Inputs!$C$12="GPa",1E9,IF(Inputs!$C$12="MPa",1E6,IF(Inputs!$C$12="Pa",1,IF(Inputs!$C$12="Mpsi",6894757293.168,IF(Inputs!$C$12="psi",6894.757293168,NA()))))))*PI()/64*(Inputs!$B$9^4-Inputs!$B$10^4)*E45/MAX(B45,1))</x:f>
        <x:v>5959.743231941387</x:v>
      </x:c>
      <x:c r="N45" s="35" t="str">
        <x:f>IF(H45&lt;-M45,"REVIEW","PASS")</x:f>
        <x:v>PASS</x:v>
      </x:c>
    </x:row>
    <x:row r="46">
      <x:c r="A46" s="35" t="n">
        <x:f>Survey!A46</x:f>
        <x:v>3470.6368992</x:v>
      </x:c>
      <x:c r="B46" s="35" t="n">
        <x:f>Survey!A46-Survey!A45</x:f>
        <x:v>75.53004959999953</x:v>
      </x:c>
      <x:c r="C46" s="35" t="n">
        <x:f>ACOS(COS(Survey!B45)*COS(Survey!B46)+SIN(Survey!B45)*SIN(Survey!B46)*COS(Survey!C46-Survey!C45))</x:f>
        <x:v>0.009618354008373966</x:v>
      </x:c>
      <x:c r="D46" s="35" t="n">
        <x:f>7850*9.80665*PI()/4*(Inputs!$B$9^2-Inputs!$B$10^2)*(1-Inputs!$B$5/7850)</x:f>
        <x:v>222.03697982472235</x:v>
      </x:c>
      <x:c r="E46" s="35" t="n">
        <x:f>D46*B46*ABS(C46)</x:f>
        <x:v>161.30426059078752</x:v>
      </x:c>
      <x:c r="F46" s="35" t="n">
        <x:f>E46*Inputs!$B$6</x:f>
        <x:v>38.713022541789</x:v>
      </x:c>
      <x:c r="G46" s="35" t="n">
        <x:f>G45+D46*B46+F46</x:f>
        <x:v>895870.7720675812</x:v>
      </x:c>
      <x:c r="H46" s="35" t="n">
        <x:f>H45+D46*B46-F46</x:f>
        <x:v>885348.6982656334</x:v>
      </x:c>
      <x:c r="I46" s="35" t="n">
        <x:f>Inputs!$B$8+F46*Inputs!$B$9/2</x:f>
        <x:v>26002.458276931404</x:v>
      </x:c>
      <x:c r="J46" s="35" t="n">
        <x:f>Inputs!$B$8+F46*Inputs!$B$9</x:f>
        <x:v>26004.916553862808</x:v>
      </x:c>
      <x:c r="K46" s="35" t="n">
        <x:f>Inputs!$B$8+F46*Inputs!$B$9*1.25</x:f>
        <x:v>26006.145692328508</x:v>
      </x:c>
      <x:c r="L46" s="35" t="n">
        <x:f>2*SQRT((Inputs!$B$12*IF(Inputs!$C$12="GPa",1E9,IF(Inputs!$C$12="MPa",1E6,IF(Inputs!$C$12="Pa",1,IF(Inputs!$C$12="Mpsi",6894757293.168,IF(Inputs!$C$12="psi",6894.757293168,NA()))))))*PI()/64*(Inputs!$B$9^4-Inputs!$B$10^4)*E46/MAX(B46,1))</x:f>
        <x:v>3240.2265772593487</x:v>
      </x:c>
      <x:c r="M46" s="35" t="n">
        <x:f>4*SQRT((Inputs!$B$12*IF(Inputs!$C$12="GPa",1E9,IF(Inputs!$C$12="MPa",1E6,IF(Inputs!$C$12="Pa",1,IF(Inputs!$C$12="Mpsi",6894757293.168,IF(Inputs!$C$12="psi",6894.757293168,NA()))))))*PI()/64*(Inputs!$B$9^4-Inputs!$B$10^4)*E46/MAX(B46,1))</x:f>
        <x:v>6480.453154518697</x:v>
      </x:c>
      <x:c r="N46" s="35" t="str">
        <x:f>IF(H46&lt;-M46,"REVIEW","PASS")</x:f>
        <x:v>PASS</x:v>
      </x:c>
    </x:row>
    <x:row r="47">
      <x:c r="A47" s="35" t="n">
        <x:f>Survey!A47</x:f>
        <x:v>3546.6631632</x:v>
      </x:c>
      <x:c r="B47" s="35" t="n">
        <x:f>Survey!A47-Survey!A46</x:f>
        <x:v>76.02626400000008</x:v>
      </x:c>
      <x:c r="C47" s="35" t="n">
        <x:f>ACOS(COS(Survey!B46)*COS(Survey!B47)+SIN(Survey!B46)*SIN(Survey!B47)*COS(Survey!C47-Survey!C46))</x:f>
        <x:v>0.011079136920127134</x:v>
      </x:c>
      <x:c r="D47" s="35" t="n">
        <x:f>7850*9.80665*PI()/4*(Inputs!$B$9^2-Inputs!$B$10^2)*(1-Inputs!$B$5/7850)</x:f>
        <x:v>222.03697982472235</x:v>
      </x:c>
      <x:c r="E47" s="35" t="n">
        <x:f>D47*B47*ABS(C47)</x:f>
        <x:v>187.02294452636986</x:v>
      </x:c>
      <x:c r="F47" s="35" t="n">
        <x:f>E47*Inputs!$B$6</x:f>
        <x:v>44.88550668632876</x:v>
      </x:c>
      <x:c r="G47" s="35" t="n">
        <x:f>G46+D47*B47+F47</x:f>
        <x:v>912796.2996201845</x:v>
      </x:c>
      <x:c r="H47" s="35" t="n">
        <x:f>H46+D47*B47-F47</x:f>
        <x:v>902184.4548048641</x:v>
      </x:c>
      <x:c r="I47" s="35" t="n">
        <x:f>Inputs!$B$8+F47*Inputs!$B$9/2</x:f>
        <x:v>26002.850229674583</x:v>
      </x:c>
      <x:c r="J47" s="35" t="n">
        <x:f>Inputs!$B$8+F47*Inputs!$B$9</x:f>
        <x:v>26005.700459349162</x:v>
      </x:c>
      <x:c r="K47" s="35" t="n">
        <x:f>Inputs!$B$8+F47*Inputs!$B$9*1.25</x:f>
        <x:v>26007.125574186455</x:v>
      </x:c>
      <x:c r="L47" s="35" t="n">
        <x:f>2*SQRT((Inputs!$B$12*IF(Inputs!$C$12="GPa",1E9,IF(Inputs!$C$12="MPa",1E6,IF(Inputs!$C$12="Pa",1,IF(Inputs!$C$12="Mpsi",6894757293.168,IF(Inputs!$C$12="psi",6894.757293168,NA()))))))*PI()/64*(Inputs!$B$9^4-Inputs!$B$10^4)*E47/MAX(B47,1))</x:f>
        <x:v>3477.5866978427607</x:v>
      </x:c>
      <x:c r="M47" s="35" t="n">
        <x:f>4*SQRT((Inputs!$B$12*IF(Inputs!$C$12="GPa",1E9,IF(Inputs!$C$12="MPa",1E6,IF(Inputs!$C$12="Pa",1,IF(Inputs!$C$12="Mpsi",6894757293.168,IF(Inputs!$C$12="psi",6894.757293168,NA()))))))*PI()/64*(Inputs!$B$9^4-Inputs!$B$10^4)*E47/MAX(B47,1))</x:f>
        <x:v>6955.173395685521</x:v>
      </x:c>
      <x:c r="N47" s="35" t="str">
        <x:f>IF(H47&lt;-M47,"REVIEW","PASS")</x:f>
        <x:v>PASS</x:v>
      </x:c>
    </x:row>
    <x:row r="48">
      <x:c r="A48" s="35" t="n">
        <x:f>Survey!A48</x:f>
        <x:v>3623.3087808</x:v>
      </x:c>
      <x:c r="B48" s="35" t="n">
        <x:f>Survey!A48-Survey!A47</x:f>
        <x:v>76.64561760000015</x:v>
      </x:c>
      <x:c r="C48" s="35" t="n">
        <x:f>ACOS(COS(Survey!B47)*COS(Survey!B48)+SIN(Survey!B47)*SIN(Survey!B48)*COS(Survey!C48-Survey!C47))</x:f>
        <x:v>0.012783635911966544</x:v>
      </x:c>
      <x:c r="D48" s="35" t="n">
        <x:f>7850*9.80665*PI()/4*(Inputs!$B$9^2-Inputs!$B$10^2)*(1-Inputs!$B$5/7850)</x:f>
        <x:v>222.03697982472235</x:v>
      </x:c>
      <x:c r="E48" s="35" t="n">
        <x:f>D48*B48*ABS(C48)</x:f>
        <x:v>217.55397985130492</x:v>
      </x:c>
      <x:c r="F48" s="35" t="n">
        <x:f>E48*Inputs!$B$6</x:f>
        <x:v>52.21295516431318</x:v>
      </x:c>
      <x:c r="G48" s="35" t="n">
        <x:f>G47+D48*B48+F48</x:f>
        <x:v>929866.6740240534</x:v>
      </x:c>
      <x:c r="H48" s="35" t="n">
        <x:f>H47+D48*B48-F48</x:f>
        <x:v>919150.4032984045</x:v>
      </x:c>
      <x:c r="I48" s="35" t="n">
        <x:f>Inputs!$B$8+F48*Inputs!$B$9/2</x:f>
        <x:v>26003.315522652934</x:v>
      </x:c>
      <x:c r="J48" s="35" t="n">
        <x:f>Inputs!$B$8+F48*Inputs!$B$9</x:f>
        <x:v>26006.63104530587</x:v>
      </x:c>
      <x:c r="K48" s="35" t="n">
        <x:f>Inputs!$B$8+F48*Inputs!$B$9*1.25</x:f>
        <x:v>26008.288806632336</x:v>
      </x:c>
      <x:c r="L48" s="35" t="n">
        <x:f>2*SQRT((Inputs!$B$12*IF(Inputs!$C$12="GPa",1E9,IF(Inputs!$C$12="MPa",1E6,IF(Inputs!$C$12="Pa",1,IF(Inputs!$C$12="Mpsi",6894757293.168,IF(Inputs!$C$12="psi",6894.757293168,NA()))))))*PI()/64*(Inputs!$B$9^4-Inputs!$B$10^4)*E48/MAX(B48,1))</x:f>
        <x:v>3735.52973462342</x:v>
      </x:c>
      <x:c r="M48" s="35" t="n">
        <x:f>4*SQRT((Inputs!$B$12*IF(Inputs!$C$12="GPa",1E9,IF(Inputs!$C$12="MPa",1E6,IF(Inputs!$C$12="Pa",1,IF(Inputs!$C$12="Mpsi",6894757293.168,IF(Inputs!$C$12="psi",6894.757293168,NA()))))))*PI()/64*(Inputs!$B$9^4-Inputs!$B$10^4)*E48/MAX(B48,1))</x:f>
        <x:v>7471.05946924684</x:v>
      </x:c>
      <x:c r="N48" s="35" t="str">
        <x:f>IF(H48&lt;-M48,"REVIEW","PASS")</x:f>
        <x:v>PASS</x:v>
      </x:c>
    </x:row>
    <x:row r="49">
      <x:c r="A49" s="35" t="n">
        <x:f>Survey!A49</x:f>
        <x:v>3700.3805088</x:v>
      </x:c>
      <x:c r="B49" s="35" t="n">
        <x:f>Survey!A49-Survey!A48</x:f>
        <x:v>77.0717279999999</x:v>
      </x:c>
      <x:c r="C49" s="35" t="n">
        <x:f>ACOS(COS(Survey!B48)*COS(Survey!B49)+SIN(Survey!B48)*SIN(Survey!B49)*COS(Survey!C49-Survey!C48))</x:f>
        <x:v>0.014909431762647847</x:v>
      </x:c>
      <x:c r="D49" s="35" t="n">
        <x:f>7850*9.80665*PI()/4*(Inputs!$B$9^2-Inputs!$B$10^2)*(1-Inputs!$B$5/7850)</x:f>
        <x:v>222.03697982472235</x:v>
      </x:c>
      <x:c r="E49" s="35" t="n">
        <x:f>D49*B49*ABS(C49)</x:f>
        <x:v>255.14173197331385</x:v>
      </x:c>
      <x:c r="F49" s="35" t="n">
        <x:f>E49*Inputs!$B$6</x:f>
        <x:v>61.23401567359532</x:v>
      </x:c>
      <x:c r="G49" s="35" t="n">
        <x:f>G48+D49*B49+F49</x:f>
        <x:v>947040.6817547195</x:v>
      </x:c>
      <x:c r="H49" s="35" t="n">
        <x:f>H48+D49*B49-F49</x:f>
        <x:v>936201.9429977234</x:v>
      </x:c>
      <x:c r="I49" s="35" t="n">
        <x:f>Inputs!$B$8+F49*Inputs!$B$9/2</x:f>
        <x:v>26003.888359995275</x:v>
      </x:c>
      <x:c r="J49" s="35" t="n">
        <x:f>Inputs!$B$8+F49*Inputs!$B$9</x:f>
        <x:v>26007.776719990547</x:v>
      </x:c>
      <x:c r="K49" s="35" t="n">
        <x:f>Inputs!$B$8+F49*Inputs!$B$9*1.25</x:f>
        <x:v>26009.720899988184</x:v>
      </x:c>
      <x:c r="L49" s="35" t="n">
        <x:f>2*SQRT((Inputs!$B$12*IF(Inputs!$C$12="GPa",1E9,IF(Inputs!$C$12="MPa",1E6,IF(Inputs!$C$12="Pa",1,IF(Inputs!$C$12="Mpsi",6894757293.168,IF(Inputs!$C$12="psi",6894.757293168,NA()))))))*PI()/64*(Inputs!$B$9^4-Inputs!$B$10^4)*E49/MAX(B49,1))</x:f>
        <x:v>4034.182554764465</x:v>
      </x:c>
      <x:c r="M49" s="35" t="n">
        <x:f>4*SQRT((Inputs!$B$12*IF(Inputs!$C$12="GPa",1E9,IF(Inputs!$C$12="MPa",1E6,IF(Inputs!$C$12="Pa",1,IF(Inputs!$C$12="Mpsi",6894757293.168,IF(Inputs!$C$12="psi",6894.757293168,NA()))))))*PI()/64*(Inputs!$B$9^4-Inputs!$B$10^4)*E49/MAX(B49,1))</x:f>
        <x:v>8068.36510952893</x:v>
      </x:c>
      <x:c r="N49" s="35" t="str">
        <x:f>IF(H49&lt;-M49,"REVIEW","PASS")</x:f>
        <x:v>PASS</x:v>
      </x:c>
    </x:row>
    <x:row r="50">
      <x:c r="A50" s="35" t="n">
        <x:f>Survey!A50</x:f>
        <x:v>3777.4683912</x:v>
      </x:c>
      <x:c r="B50" s="35" t="n">
        <x:f>Survey!A50-Survey!A49</x:f>
        <x:v>77.08788240000013</x:v>
      </x:c>
      <x:c r="C50" s="35" t="n">
        <x:f>ACOS(COS(Survey!B49)*COS(Survey!B50)+SIN(Survey!B49)*SIN(Survey!B50)*COS(Survey!C50-Survey!C49))</x:f>
        <x:v>0.017266708537206014</x:v>
      </x:c>
      <x:c r="D50" s="35" t="n">
        <x:f>7850*9.80665*PI()/4*(Inputs!$B$9^2-Inputs!$B$10^2)*(1-Inputs!$B$5/7850)</x:f>
        <x:v>222.03697982472235</x:v>
      </x:c>
      <x:c r="E50" s="35" t="n">
        <x:f>D50*B50*ABS(C50)</x:f>
        <x:v>295.5432095110804</x:v>
      </x:c>
      <x:c r="F50" s="35" t="n">
        <x:f>E50*Inputs!$B$6</x:f>
        <x:v>70.9303702826593</x:v>
      </x:c>
      <x:c r="G50" s="35" t="n">
        <x:f>G49+D50*B50+F50</x:f>
        <x:v>964227.9727141815</x:v>
      </x:c>
      <x:c r="H50" s="35" t="n">
        <x:f>H49+D50*B50-F50</x:f>
        <x:v>953247.3732166202</x:v>
      </x:c>
      <x:c r="I50" s="35" t="n">
        <x:f>Inputs!$B$8+F50*Inputs!$B$9/2</x:f>
        <x:v>26004.50407851295</x:v>
      </x:c>
      <x:c r="J50" s="35" t="n">
        <x:f>Inputs!$B$8+F50*Inputs!$B$9</x:f>
        <x:v>26009.0081570259</x:v>
      </x:c>
      <x:c r="K50" s="35" t="n">
        <x:f>Inputs!$B$8+F50*Inputs!$B$9*1.25</x:f>
        <x:v>26011.260196282372</x:v>
      </x:c>
      <x:c r="L50" s="35" t="n">
        <x:f>2*SQRT((Inputs!$B$12*IF(Inputs!$C$12="GPa",1E9,IF(Inputs!$C$12="MPa",1E6,IF(Inputs!$C$12="Pa",1,IF(Inputs!$C$12="Mpsi",6894757293.168,IF(Inputs!$C$12="psi",6894.757293168,NA()))))))*PI()/64*(Inputs!$B$9^4-Inputs!$B$10^4)*E50/MAX(B50,1))</x:f>
        <x:v>4341.399783443597</x:v>
      </x:c>
      <x:c r="M50" s="35" t="n">
        <x:f>4*SQRT((Inputs!$B$12*IF(Inputs!$C$12="GPa",1E9,IF(Inputs!$C$12="MPa",1E6,IF(Inputs!$C$12="Pa",1,IF(Inputs!$C$12="Mpsi",6894757293.168,IF(Inputs!$C$12="psi",6894.757293168,NA()))))))*PI()/64*(Inputs!$B$9^4-Inputs!$B$10^4)*E50/MAX(B50,1))</x:f>
        <x:v>8682.799566887194</x:v>
      </x:c>
      <x:c r="N50" s="35" t="str">
        <x:f>IF(H50&lt;-M50,"REVIEW","PASS")</x:f>
        <x:v>PASS</x:v>
      </x:c>
    </x:row>
    <x:row r="51">
      <x:c r="A51" s="35" t="n">
        <x:f>Survey!A51</x:f>
        <x:v>3854.1542424</x:v>
      </x:c>
      <x:c r="B51" s="35" t="n">
        <x:f>Survey!A51-Survey!A50</x:f>
        <x:v>76.68585119999989</x:v>
      </x:c>
      <x:c r="C51" s="35" t="n">
        <x:f>ACOS(COS(Survey!B50)*COS(Survey!B51)+SIN(Survey!B50)*SIN(Survey!B51)*COS(Survey!C51-Survey!C50))</x:f>
        <x:v>0.019671489225142197</x:v>
      </x:c>
      <x:c r="D51" s="35" t="n">
        <x:f>7850*9.80665*PI()/4*(Inputs!$B$9^2-Inputs!$B$10^2)*(1-Inputs!$B$5/7850)</x:f>
        <x:v>222.03697982472235</x:v>
      </x:c>
      <x:c r="E51" s="35" t="n">
        <x:f>D51*B51*ABS(C51)</x:f>
        <x:v>334.9483118097962</x:v>
      </x:c>
      <x:c r="F51" s="35" t="n">
        <x:f>E51*Inputs!$B$6</x:f>
        <x:v>80.38759483435109</x:v>
      </x:c>
      <x:c r="G51" s="35" t="n">
        <x:f>G50+D51*B51+F51</x:f>
        <x:v>981335.4551047519</x:v>
      </x:c>
      <x:c r="H51" s="35" t="n">
        <x:f>H50+D51*B51-F51</x:f>
        <x:v>970194.0804175219</x:v>
      </x:c>
      <x:c r="I51" s="35" t="n">
        <x:f>Inputs!$B$8+F51*Inputs!$B$9/2</x:f>
        <x:v>26005.10461227198</x:v>
      </x:c>
      <x:c r="J51" s="35" t="n">
        <x:f>Inputs!$B$8+F51*Inputs!$B$9</x:f>
        <x:v>26010.209224543964</x:v>
      </x:c>
      <x:c r="K51" s="35" t="n">
        <x:f>Inputs!$B$8+F51*Inputs!$B$9*1.25</x:f>
        <x:v>26012.761530679953</x:v>
      </x:c>
      <x:c r="L51" s="35" t="n">
        <x:f>2*SQRT((Inputs!$B$12*IF(Inputs!$C$12="GPa",1E9,IF(Inputs!$C$12="MPa",1E6,IF(Inputs!$C$12="Pa",1,IF(Inputs!$C$12="Mpsi",6894757293.168,IF(Inputs!$C$12="psi",6894.757293168,NA()))))))*PI()/64*(Inputs!$B$9^4-Inputs!$B$10^4)*E51/MAX(B51,1))</x:f>
        <x:v>4633.867599663519</x:v>
      </x:c>
      <x:c r="M51" s="35" t="n">
        <x:f>4*SQRT((Inputs!$B$12*IF(Inputs!$C$12="GPa",1E9,IF(Inputs!$C$12="MPa",1E6,IF(Inputs!$C$12="Pa",1,IF(Inputs!$C$12="Mpsi",6894757293.168,IF(Inputs!$C$12="psi",6894.757293168,NA()))))))*PI()/64*(Inputs!$B$9^4-Inputs!$B$10^4)*E51/MAX(B51,1))</x:f>
        <x:v>9267.735199327039</x:v>
      </x:c>
      <x:c r="N51" s="35" t="str">
        <x:f>IF(H51&lt;-M51,"REVIEW","PASS")</x:f>
        <x:v>PASS</x:v>
      </x:c>
    </x:row>
    <x:row r="52">
      <x:c r="A52" s="35" t="n">
        <x:f>Survey!A52</x:f>
        <x:v>3930.2240928</x:v>
      </x:c>
      <x:c r="B52" s="35" t="n">
        <x:f>Survey!A52-Survey!A51</x:f>
        <x:v>76.06985040000018</x:v>
      </x:c>
      <x:c r="C52" s="35" t="n">
        <x:f>ACOS(COS(Survey!B51)*COS(Survey!B52)+SIN(Survey!B51)*SIN(Survey!B52)*COS(Survey!C52-Survey!C51))</x:f>
        <x:v>0.02182936692864314</x:v>
      </x:c>
      <x:c r="D52" s="35" t="n">
        <x:f>7850*9.80665*PI()/4*(Inputs!$B$9^2-Inputs!$B$10^2)*(1-Inputs!$B$5/7850)</x:f>
        <x:v>222.03697982472235</x:v>
      </x:c>
      <x:c r="E52" s="35" t="n">
        <x:f>D52*B52*ABS(C52)</x:f>
        <x:v>368.7049892975099</x:v>
      </x:c>
      <x:c r="F52" s="35" t="n">
        <x:f>E52*Inputs!$B$6</x:f>
        <x:v>88.48919743140237</x:v>
      </x:c>
      <x:c r="G52" s="35" t="n">
        <x:f>G51+D52*B52+F52</x:f>
        <x:v>998314.2641407177</x:v>
      </x:c>
      <x:c r="H52" s="35" t="n">
        <x:f>H51+D52*B52-F52</x:f>
        <x:v>986995.911058625</x:v>
      </x:c>
      <x:c r="I52" s="35" t="n">
        <x:f>Inputs!$B$8+F52*Inputs!$B$9/2</x:f>
        <x:v>26005.619064036895</x:v>
      </x:c>
      <x:c r="J52" s="35" t="n">
        <x:f>Inputs!$B$8+F52*Inputs!$B$9</x:f>
        <x:v>26011.238128073786</x:v>
      </x:c>
      <x:c r="K52" s="35" t="n">
        <x:f>Inputs!$B$8+F52*Inputs!$B$9*1.25</x:f>
        <x:v>26014.047660092234</x:v>
      </x:c>
      <x:c r="L52" s="35" t="n">
        <x:f>2*SQRT((Inputs!$B$12*IF(Inputs!$C$12="GPa",1E9,IF(Inputs!$C$12="MPa",1E6,IF(Inputs!$C$12="Pa",1,IF(Inputs!$C$12="Mpsi",6894757293.168,IF(Inputs!$C$12="psi",6894.757293168,NA()))))))*PI()/64*(Inputs!$B$9^4-Inputs!$B$10^4)*E52/MAX(B52,1))</x:f>
        <x:v>4881.413205013298</x:v>
      </x:c>
      <x:c r="M52" s="35" t="n">
        <x:f>4*SQRT((Inputs!$B$12*IF(Inputs!$C$12="GPa",1E9,IF(Inputs!$C$12="MPa",1E6,IF(Inputs!$C$12="Pa",1,IF(Inputs!$C$12="Mpsi",6894757293.168,IF(Inputs!$C$12="psi",6894.757293168,NA()))))))*PI()/64*(Inputs!$B$9^4-Inputs!$B$10^4)*E52/MAX(B52,1))</x:f>
        <x:v>9762.826410026595</x:v>
      </x:c>
      <x:c r="N52" s="35" t="str">
        <x:f>IF(H52&lt;-M52,"REVIEW","PASS")</x:f>
        <x:v>PASS</x:v>
      </x:c>
    </x:row>
    <x:row r="53">
      <x:c r="A53" s="35" t="n">
        <x:f>Survey!A53</x:f>
        <x:v>4005.779136</x:v>
      </x:c>
      <x:c r="B53" s="35" t="n">
        <x:f>Survey!A53-Survey!A52</x:f>
        <x:v>75.5550432</x:v>
      </x:c>
      <x:c r="C53" s="35" t="n">
        <x:f>ACOS(COS(Survey!B52)*COS(Survey!B53)+SIN(Survey!B52)*SIN(Survey!B53)*COS(Survey!C53-Survey!C52))</x:f>
        <x:v>0.023616012247138093</x:v>
      </x:c>
      <x:c r="D53" s="35" t="n">
        <x:f>7850*9.80665*PI()/4*(Inputs!$B$9^2-Inputs!$B$10^2)*(1-Inputs!$B$5/7850)</x:f>
        <x:v>222.03697982472235</x:v>
      </x:c>
      <x:c r="E53" s="35" t="n">
        <x:f>D53*B53*ABS(C53)</x:f>
        <x:v>396.18254269844215</x:v>
      </x:c>
      <x:c r="F53" s="35" t="n">
        <x:f>E53*Inputs!$B$6</x:f>
        <x:v>95.08381024762612</x:v>
      </x:c>
      <x:c r="G53" s="35" t="n">
        <x:f>G52+D53*B53+F53</x:f>
        <x:v>1015185.3615536197</x:v>
      </x:c>
      <x:c r="H53" s="35" t="n">
        <x:f>H52+D53*B53-F53</x:f>
        <x:v>1003676.8408510318</x:v>
      </x:c>
      <x:c r="I53" s="35" t="n">
        <x:f>Inputs!$B$8+F53*Inputs!$B$9/2</x:f>
        <x:v>26006.037821950726</x:v>
      </x:c>
      <x:c r="J53" s="35" t="n">
        <x:f>Inputs!$B$8+F53*Inputs!$B$9</x:f>
        <x:v>26012.075643901448</x:v>
      </x:c>
      <x:c r="K53" s="35" t="n">
        <x:f>Inputs!$B$8+F53*Inputs!$B$9*1.25</x:f>
        <x:v>26015.09455487681</x:v>
      </x:c>
      <x:c r="L53" s="35" t="n">
        <x:f>2*SQRT((Inputs!$B$12*IF(Inputs!$C$12="GPa",1E9,IF(Inputs!$C$12="MPa",1E6,IF(Inputs!$C$12="Pa",1,IF(Inputs!$C$12="Mpsi",6894757293.168,IF(Inputs!$C$12="psi",6894.757293168,NA()))))))*PI()/64*(Inputs!$B$9^4-Inputs!$B$10^4)*E53/MAX(B53,1))</x:f>
        <x:v>5077.246908811857</x:v>
      </x:c>
      <x:c r="M53" s="35" t="n">
        <x:f>4*SQRT((Inputs!$B$12*IF(Inputs!$C$12="GPa",1E9,IF(Inputs!$C$12="MPa",1E6,IF(Inputs!$C$12="Pa",1,IF(Inputs!$C$12="Mpsi",6894757293.168,IF(Inputs!$C$12="psi",6894.757293168,NA()))))))*PI()/64*(Inputs!$B$9^4-Inputs!$B$10^4)*E53/MAX(B53,1))</x:f>
        <x:v>10154.493817623714</x:v>
      </x:c>
      <x:c r="N53" s="35" t="str">
        <x:f>IF(H53&lt;-M53,"REVIEW","PASS")</x:f>
        <x:v>PASS</x:v>
      </x:c>
    </x:row>
    <x:row r="54">
      <x:c r="A54" s="35" t="n">
        <x:f>Survey!A54</x:f>
        <x:v>4081.1817792</x:v>
      </x:c>
      <x:c r="B54" s="35" t="n">
        <x:f>Survey!A54-Survey!A53</x:f>
        <x:v>75.40264320000006</x:v>
      </x:c>
      <x:c r="C54" s="35" t="n">
        <x:f>ACOS(COS(Survey!B53)*COS(Survey!B54)+SIN(Survey!B53)*SIN(Survey!B54)*COS(Survey!C54-Survey!C53))</x:f>
        <x:v>0.025005681361726557</x:v>
      </x:c>
      <x:c r="D54" s="35" t="n">
        <x:f>7850*9.80665*PI()/4*(Inputs!$B$9^2-Inputs!$B$10^2)*(1-Inputs!$B$5/7850)</x:f>
        <x:v>222.03697982472235</x:v>
      </x:c>
      <x:c r="E54" s="35" t="n">
        <x:f>D54*B54*ABS(C54)</x:f>
        <x:v>418.6494975264415</x:v>
      </x:c>
      <x:c r="F54" s="35" t="n">
        <x:f>E54*Inputs!$B$6</x:f>
        <x:v>100.47587940634595</x:v>
      </x:c>
      <x:c r="G54" s="35" t="n">
        <x:f>G53+D54*B54+F54</x:f>
        <x:v>1032028.0125999552</x:v>
      </x:c>
      <x:c r="H54" s="35" t="n">
        <x:f>H53+D54*B54-F54</x:f>
        <x:v>1020318.5401385546</x:v>
      </x:c>
      <x:c r="I54" s="35" t="n">
        <x:f>Inputs!$B$8+F54*Inputs!$B$9/2</x:f>
        <x:v>26006.380218342303</x:v>
      </x:c>
      <x:c r="J54" s="35" t="n">
        <x:f>Inputs!$B$8+F54*Inputs!$B$9</x:f>
        <x:v>26012.760436684606</x:v>
      </x:c>
      <x:c r="K54" s="35" t="n">
        <x:f>Inputs!$B$8+F54*Inputs!$B$9*1.25</x:f>
        <x:v>26015.950545855758</x:v>
      </x:c>
      <x:c r="L54" s="35" t="n">
        <x:f>2*SQRT((Inputs!$B$12*IF(Inputs!$C$12="GPa",1E9,IF(Inputs!$C$12="MPa",1E6,IF(Inputs!$C$12="Pa",1,IF(Inputs!$C$12="Mpsi",6894757293.168,IF(Inputs!$C$12="psi",6894.757293168,NA()))))))*PI()/64*(Inputs!$B$9^4-Inputs!$B$10^4)*E54/MAX(B54,1))</x:f>
        <x:v>5224.495357305971</x:v>
      </x:c>
      <x:c r="M54" s="35" t="n">
        <x:f>4*SQRT((Inputs!$B$12*IF(Inputs!$C$12="GPa",1E9,IF(Inputs!$C$12="MPa",1E6,IF(Inputs!$C$12="Pa",1,IF(Inputs!$C$12="Mpsi",6894757293.168,IF(Inputs!$C$12="psi",6894.757293168,NA()))))))*PI()/64*(Inputs!$B$9^4-Inputs!$B$10^4)*E54/MAX(B54,1))</x:f>
        <x:v>10448.990714611942</x:v>
      </x:c>
      <x:c r="N54" s="35" t="str">
        <x:f>IF(H54&lt;-M54,"REVIEW","PASS")</x:f>
        <x:v>PASS</x:v>
      </x:c>
    </x:row>
    <x:row r="55">
      <x:c r="A55" s="35" t="n">
        <x:f>Survey!A55</x:f>
        <x:v>4156.8727632</x:v>
      </x:c>
      <x:c r="B55" s="35" t="n">
        <x:f>Survey!A55-Survey!A54</x:f>
        <x:v>75.69098399999984</x:v>
      </x:c>
      <x:c r="C55" s="35" t="n">
        <x:f>ACOS(COS(Survey!B54)*COS(Survey!B55)+SIN(Survey!B54)*SIN(Survey!B55)*COS(Survey!C55-Survey!C54))</x:f>
        <x:v>0.026017354156485015</x:v>
      </x:c>
      <x:c r="D55" s="35" t="n">
        <x:f>7850*9.80665*PI()/4*(Inputs!$B$9^2-Inputs!$B$10^2)*(1-Inputs!$B$5/7850)</x:f>
        <x:v>222.03697982472235</x:v>
      </x:c>
      <x:c r="E55" s="35" t="n">
        <x:f>D55*B55*ABS(C55)</x:f>
        <x:v>437.2527920514681</x:v>
      </x:c>
      <x:c r="F55" s="35" t="n">
        <x:f>E55*Inputs!$B$6</x:f>
        <x:v>104.94067009235233</x:v>
      </x:c>
      <x:c r="G55" s="35" t="n">
        <x:f>G54+D55*B55+F55</x:f>
        <x:v>1048939.150757369</x:v>
      </x:c>
      <x:c r="H55" s="35" t="n">
        <x:f>H54+D55*B55-F55</x:f>
        <x:v>1037019.7969557836</x:v>
      </x:c>
      <x:c r="I55" s="35" t="n">
        <x:f>Inputs!$B$8+F55*Inputs!$B$9/2</x:f>
        <x:v>26006.663732550864</x:v>
      </x:c>
      <x:c r="J55" s="35" t="n">
        <x:f>Inputs!$B$8+F55*Inputs!$B$9</x:f>
        <x:v>26013.327465101727</x:v>
      </x:c>
      <x:c r="K55" s="35" t="n">
        <x:f>Inputs!$B$8+F55*Inputs!$B$9*1.25</x:f>
        <x:v>26016.659331377163</x:v>
      </x:c>
      <x:c r="L55" s="35" t="n">
        <x:f>2*SQRT((Inputs!$B$12*IF(Inputs!$C$12="GPa",1E9,IF(Inputs!$C$12="MPa",1E6,IF(Inputs!$C$12="Pa",1,IF(Inputs!$C$12="Mpsi",6894757293.168,IF(Inputs!$C$12="psi",6894.757293168,NA()))))))*PI()/64*(Inputs!$B$9^4-Inputs!$B$10^4)*E55/MAX(B55,1))</x:f>
        <x:v>5329.133078724494</x:v>
      </x:c>
      <x:c r="M55" s="35" t="n">
        <x:f>4*SQRT((Inputs!$B$12*IF(Inputs!$C$12="GPa",1E9,IF(Inputs!$C$12="MPa",1E6,IF(Inputs!$C$12="Pa",1,IF(Inputs!$C$12="Mpsi",6894757293.168,IF(Inputs!$C$12="psi",6894.757293168,NA()))))))*PI()/64*(Inputs!$B$9^4-Inputs!$B$10^4)*E55/MAX(B55,1))</x:f>
        <x:v>10658.266157448988</x:v>
      </x:c>
      <x:c r="N55" s="35" t="str">
        <x:f>IF(H55&lt;-M55,"REVIEW","PASS")</x:f>
        <x:v>PASS</x:v>
      </x:c>
    </x:row>
    <x:row r="56">
      <x:c r="A56" s="35" t="n">
        <x:f>Survey!A56</x:f>
        <x:v>4233.1456104</x:v>
      </x:c>
      <x:c r="B56" s="35" t="n">
        <x:f>Survey!A56-Survey!A55</x:f>
        <x:v>76.27284719999989</x:v>
      </x:c>
      <x:c r="C56" s="35" t="n">
        <x:f>ACOS(COS(Survey!B55)*COS(Survey!B56)+SIN(Survey!B55)*SIN(Survey!B56)*COS(Survey!C56-Survey!C55))</x:f>
        <x:v>0.02674764563397173</x:v>
      </x:c>
      <x:c r="D56" s="35" t="n">
        <x:f>7850*9.80665*PI()/4*(Inputs!$B$9^2-Inputs!$B$10^2)*(1-Inputs!$B$5/7850)</x:f>
        <x:v>222.03697982472235</x:v>
      </x:c>
      <x:c r="E56" s="35" t="n">
        <x:f>D56*B56*ABS(C56)</x:f>
        <x:v>452.98188087102847</x:v>
      </x:c>
      <x:c r="F56" s="35" t="n">
        <x:f>E56*Inputs!$B$6</x:f>
        <x:v>108.71565140904683</x:v>
      </x:c>
      <x:c r="G56" s="35" t="n">
        <x:f>G55+D56*B56+F56</x:f>
        <x:v>1065983.2590436984</x:v>
      </x:c>
      <x:c r="H56" s="35" t="n">
        <x:f>H55+D56*B56-F56</x:f>
        <x:v>1053846.4739392952</x:v>
      </x:c>
      <x:c r="I56" s="35" t="n">
        <x:f>Inputs!$B$8+F56*Inputs!$B$9/2</x:f>
        <x:v>26006.903443864474</x:v>
      </x:c>
      <x:c r="J56" s="35" t="n">
        <x:f>Inputs!$B$8+F56*Inputs!$B$9</x:f>
        <x:v>26013.806887728948</x:v>
      </x:c>
      <x:c r="K56" s="35" t="n">
        <x:f>Inputs!$B$8+F56*Inputs!$B$9*1.25</x:f>
        <x:v>26017.258609661185</x:v>
      </x:c>
      <x:c r="L56" s="35" t="n">
        <x:f>2*SQRT((Inputs!$B$12*IF(Inputs!$C$12="GPa",1E9,IF(Inputs!$C$12="MPa",1E6,IF(Inputs!$C$12="Pa",1,IF(Inputs!$C$12="Mpsi",6894757293.168,IF(Inputs!$C$12="psi",6894.757293168,NA()))))))*PI()/64*(Inputs!$B$9^4-Inputs!$B$10^4)*E56/MAX(B56,1))</x:f>
        <x:v>5403.408250563843</x:v>
      </x:c>
      <x:c r="M56" s="35" t="n">
        <x:f>4*SQRT((Inputs!$B$12*IF(Inputs!$C$12="GPa",1E9,IF(Inputs!$C$12="MPa",1E6,IF(Inputs!$C$12="Pa",1,IF(Inputs!$C$12="Mpsi",6894757293.168,IF(Inputs!$C$12="psi",6894.757293168,NA()))))))*PI()/64*(Inputs!$B$9^4-Inputs!$B$10^4)*E56/MAX(B56,1))</x:f>
        <x:v>10806.816501127685</x:v>
      </x:c>
      <x:c r="N56" s="35" t="str">
        <x:f>IF(H56&lt;-M56,"REVIEW","PASS")</x:f>
        <x:v>PASS</x:v>
      </x:c>
    </x:row>
    <x:row r="57">
      <x:c r="A57" s="35" t="n">
        <x:f>Survey!A57</x:f>
        <x:v>4309.9975776</x:v>
      </x:c>
      <x:c r="B57" s="35" t="n">
        <x:f>Survey!A57-Survey!A56</x:f>
        <x:v>76.85196720000022</x:v>
      </x:c>
      <x:c r="C57" s="35" t="n">
        <x:f>ACOS(COS(Survey!B56)*COS(Survey!B57)+SIN(Survey!B56)*SIN(Survey!B57)*COS(Survey!C57-Survey!C56))</x:f>
        <x:v>0.027175266244962668</x:v>
      </x:c>
      <x:c r="D57" s="35" t="n">
        <x:f>7850*9.80665*PI()/4*(Inputs!$B$9^2-Inputs!$B$10^2)*(1-Inputs!$B$5/7850)</x:f>
        <x:v>222.03697982472235</x:v>
      </x:c>
      <x:c r="E57" s="35" t="n">
        <x:f>D57*B57*ABS(C57)</x:f>
        <x:v>463.718164117508</x:v>
      </x:c>
      <x:c r="F57" s="35" t="n">
        <x:f>E57*Inputs!$B$6</x:f>
        <x:v>111.29235938820192</x:v>
      </x:c>
      <x:c r="G57" s="35" t="n">
        <x:f>G56+D57*B57+F57</x:f>
        <x:v>1083158.5300937633</x:v>
      </x:c>
      <x:c r="H57" s="35" t="n">
        <x:f>H56+D57*B57-F57</x:f>
        <x:v>1070799.1602705836</x:v>
      </x:c>
      <x:c r="I57" s="35" t="n">
        <x:f>Inputs!$B$8+F57*Inputs!$B$9/2</x:f>
        <x:v>26007.067064821153</x:v>
      </x:c>
      <x:c r="J57" s="35" t="n">
        <x:f>Inputs!$B$8+F57*Inputs!$B$9</x:f>
        <x:v>26014.1341296423</x:v>
      </x:c>
      <x:c r="K57" s="35" t="n">
        <x:f>Inputs!$B$8+F57*Inputs!$B$9*1.25</x:f>
        <x:v>26017.667662052878</x:v>
      </x:c>
      <x:c r="L57" s="35" t="n">
        <x:f>2*SQRT((Inputs!$B$12*IF(Inputs!$C$12="GPa",1E9,IF(Inputs!$C$12="MPa",1E6,IF(Inputs!$C$12="Pa",1,IF(Inputs!$C$12="Mpsi",6894757293.168,IF(Inputs!$C$12="psi",6894.757293168,NA()))))))*PI()/64*(Inputs!$B$9^4-Inputs!$B$10^4)*E57/MAX(B57,1))</x:f>
        <x:v>5446.429733762008</x:v>
      </x:c>
      <x:c r="M57" s="35" t="n">
        <x:f>4*SQRT((Inputs!$B$12*IF(Inputs!$C$12="GPa",1E9,IF(Inputs!$C$12="MPa",1E6,IF(Inputs!$C$12="Pa",1,IF(Inputs!$C$12="Mpsi",6894757293.168,IF(Inputs!$C$12="psi",6894.757293168,NA()))))))*PI()/64*(Inputs!$B$9^4-Inputs!$B$10^4)*E57/MAX(B57,1))</x:f>
        <x:v>10892.859467524017</x:v>
      </x:c>
      <x:c r="N57" s="35" t="str">
        <x:f>IF(H57&lt;-M57,"REVIEW","PASS")</x:f>
        <x:v>PASS</x:v>
      </x:c>
    </x:row>
    <x:row r="58">
      <x:c r="A58" s="35" t="n">
        <x:f>Survey!A58</x:f>
        <x:v>4387.1302656</x:v>
      </x:c>
      <x:c r="B58" s="35" t="n">
        <x:f>Survey!A58-Survey!A57</x:f>
        <x:v>77.13268799999969</x:v>
      </x:c>
      <x:c r="C58" s="35" t="n">
        <x:f>ACOS(COS(Survey!B57)*COS(Survey!B58)+SIN(Survey!B57)*SIN(Survey!B58)*COS(Survey!C58-Survey!C57))</x:f>
        <x:v>0.027364159794392332</x:v>
      </x:c>
      <x:c r="D58" s="35" t="n">
        <x:f>7850*9.80665*PI()/4*(Inputs!$B$9^2-Inputs!$B$10^2)*(1-Inputs!$B$5/7850)</x:f>
        <x:v>222.03697982472235</x:v>
      </x:c>
      <x:c r="E58" s="35" t="n">
        <x:f>D58*B58*ABS(C58)</x:f>
        <x:v>468.6470586072811</x:v>
      </x:c>
      <x:c r="F58" s="35" t="n">
        <x:f>E58*Inputs!$B$6</x:f>
        <x:v>112.47529406574746</x:v>
      </x:c>
      <x:c r="G58" s="35" t="n">
        <x:f>G57+D58*B58+F58</x:f>
        <x:v>1100397.3144771114</x:v>
      </x:c>
      <x:c r="H58" s="35" t="n">
        <x:f>H57+D58*B58-F58</x:f>
        <x:v>1087812.9940658004</x:v>
      </x:c>
      <x:c r="I58" s="35" t="n">
        <x:f>Inputs!$B$8+F58*Inputs!$B$9/2</x:f>
        <x:v>26007.142181173174</x:v>
      </x:c>
      <x:c r="J58" s="35" t="n">
        <x:f>Inputs!$B$8+F58*Inputs!$B$9</x:f>
        <x:v>26014.28436234635</x:v>
      </x:c>
      <x:c r="K58" s="35" t="n">
        <x:f>Inputs!$B$8+F58*Inputs!$B$9*1.25</x:f>
        <x:v>26017.855452932938</x:v>
      </x:c>
      <x:c r="L58" s="35" t="n">
        <x:f>2*SQRT((Inputs!$B$12*IF(Inputs!$C$12="GPa",1E9,IF(Inputs!$C$12="MPa",1E6,IF(Inputs!$C$12="Pa",1,IF(Inputs!$C$12="Mpsi",6894757293.168,IF(Inputs!$C$12="psi",6894.757293168,NA()))))))*PI()/64*(Inputs!$B$9^4-Inputs!$B$10^4)*E58/MAX(B58,1))</x:f>
        <x:v>5465.325847757959</x:v>
      </x:c>
      <x:c r="M58" s="35" t="n">
        <x:f>4*SQRT((Inputs!$B$12*IF(Inputs!$C$12="GPa",1E9,IF(Inputs!$C$12="MPa",1E6,IF(Inputs!$C$12="Pa",1,IF(Inputs!$C$12="Mpsi",6894757293.168,IF(Inputs!$C$12="psi",6894.757293168,NA()))))))*PI()/64*(Inputs!$B$9^4-Inputs!$B$10^4)*E58/MAX(B58,1))</x:f>
        <x:v>10930.651695515919</x:v>
      </x:c>
      <x:c r="N58" s="35" t="str">
        <x:f>IF(H58&lt;-M58,"REVIEW","PASS")</x:f>
        <x:v>PASS</x:v>
      </x:c>
    </x:row>
    <x:row r="59">
      <x:c r="A59" s="35" t="n">
        <x:f>Survey!A59</x:f>
        <x:v>4464.1026288</x:v>
      </x:c>
      <x:c r="B59" s="35" t="n">
        <x:f>Survey!A59-Survey!A58</x:f>
        <x:v>76.97236320000047</x:v>
      </x:c>
      <x:c r="C59" s="35" t="n">
        <x:f>ACOS(COS(Survey!B58)*COS(Survey!B59)+SIN(Survey!B58)*SIN(Survey!B59)*COS(Survey!C59-Survey!C58))</x:f>
        <x:v>0.02733946077660499</x:v>
      </x:c>
      <x:c r="D59" s="35" t="n">
        <x:f>7850*9.80665*PI()/4*(Inputs!$B$9^2-Inputs!$B$10^2)*(1-Inputs!$B$5/7850)</x:f>
        <x:v>222.03697982472235</x:v>
      </x:c>
      <x:c r="E59" s="35" t="n">
        <x:f>D59*B59*ABS(C59)</x:f>
        <x:v>467.2508245297198</x:v>
      </x:c>
      <x:c r="F59" s="35" t="n">
        <x:f>E59*Inputs!$B$6</x:f>
        <x:v>112.14019788713274</x:v>
      </x:c>
      <x:c r="G59" s="35" t="n">
        <x:f>G58+D59*B59+F59</x:f>
        <x:v>1117600.1657298983</x:v>
      </x:c>
      <x:c r="H59" s="35" t="n">
        <x:f>H58+D59*B59-F59</x:f>
        <x:v>1104791.564922813</x:v>
      </x:c>
      <x:c r="I59" s="35" t="n">
        <x:f>Inputs!$B$8+F59*Inputs!$B$9/2</x:f>
        <x:v>26007.12090256583</x:v>
      </x:c>
      <x:c r="J59" s="35" t="n">
        <x:f>Inputs!$B$8+F59*Inputs!$B$9</x:f>
        <x:v>26014.241805131667</x:v>
      </x:c>
      <x:c r="K59" s="35" t="n">
        <x:f>Inputs!$B$8+F59*Inputs!$B$9*1.25</x:f>
        <x:v>26017.802256414583</x:v>
      </x:c>
      <x:c r="L59" s="35" t="n">
        <x:f>2*SQRT((Inputs!$B$12*IF(Inputs!$C$12="GPa",1E9,IF(Inputs!$C$12="MPa",1E6,IF(Inputs!$C$12="Pa",1,IF(Inputs!$C$12="Mpsi",6894757293.168,IF(Inputs!$C$12="psi",6894.757293168,NA()))))))*PI()/64*(Inputs!$B$9^4-Inputs!$B$10^4)*E59/MAX(B59,1))</x:f>
        <x:v>5462.8587766814835</x:v>
      </x:c>
      <x:c r="M59" s="35" t="n">
        <x:f>4*SQRT((Inputs!$B$12*IF(Inputs!$C$12="GPa",1E9,IF(Inputs!$C$12="MPa",1E6,IF(Inputs!$C$12="Pa",1,IF(Inputs!$C$12="Mpsi",6894757293.168,IF(Inputs!$C$12="psi",6894.757293168,NA()))))))*PI()/64*(Inputs!$B$9^4-Inputs!$B$10^4)*E59/MAX(B59,1))</x:f>
        <x:v>10925.717553362967</x:v>
      </x:c>
      <x:c r="N59" s="35" t="str">
        <x:f>IF(H59&lt;-M59,"REVIEW","PASS")</x:f>
        <x:v>PASS</x:v>
      </x:c>
    </x:row>
    <x:row r="60">
      <x:c r="A60" s="35" t="n">
        <x:f>Survey!A60</x:f>
        <x:v>4540.555308</x:v>
      </x:c>
      <x:c r="B60" s="35" t="n">
        <x:f>Survey!A60-Survey!A59</x:f>
        <x:v>76.4526791999997</x:v>
      </x:c>
      <x:c r="C60" s="35" t="n">
        <x:f>ACOS(COS(Survey!B59)*COS(Survey!B60)+SIN(Survey!B59)*SIN(Survey!B60)*COS(Survey!C60-Survey!C59))</x:f>
        <x:v>0.02717795057832324</x:v>
      </x:c>
      <x:c r="D60" s="35" t="n">
        <x:f>7850*9.80665*PI()/4*(Inputs!$B$9^2-Inputs!$B$10^2)*(1-Inputs!$B$5/7850)</x:f>
        <x:v>222.03697982472235</x:v>
      </x:c>
      <x:c r="E60" s="35" t="n">
        <x:f>D60*B60*ABS(C60)</x:f>
        <x:v>461.3544620702395</x:v>
      </x:c>
      <x:c r="F60" s="35" t="n">
        <x:f>E60*Inputs!$B$6</x:f>
        <x:v>110.72507089685747</x:v>
      </x:c>
      <x:c r="G60" s="35" t="n">
        <x:f>G59+D60*B60+F60</x:f>
        <x:v>1134686.2127898713</x:v>
      </x:c>
      <x:c r="H60" s="35" t="n">
        <x:f>H59+D60*B60-F60</x:f>
        <x:v>1121656.1618409925</x:v>
      </x:c>
      <x:c r="I60" s="35" t="n">
        <x:f>Inputs!$B$8+F60*Inputs!$B$9/2</x:f>
        <x:v>26007.03104200195</x:v>
      </x:c>
      <x:c r="J60" s="35" t="n">
        <x:f>Inputs!$B$8+F60*Inputs!$B$9</x:f>
        <x:v>26014.0620840039</x:v>
      </x:c>
      <x:c r="K60" s="35" t="n">
        <x:f>Inputs!$B$8+F60*Inputs!$B$9*1.25</x:f>
        <x:v>26017.577605004877</x:v>
      </x:c>
      <x:c r="L60" s="35" t="n">
        <x:f>2*SQRT((Inputs!$B$12*IF(Inputs!$C$12="GPa",1E9,IF(Inputs!$C$12="MPa",1E6,IF(Inputs!$C$12="Pa",1,IF(Inputs!$C$12="Mpsi",6894757293.168,IF(Inputs!$C$12="psi",6894.757293168,NA()))))))*PI()/64*(Inputs!$B$9^4-Inputs!$B$10^4)*E60/MAX(B60,1))</x:f>
        <x:v>5446.698722331982</x:v>
      </x:c>
      <x:c r="M60" s="35" t="n">
        <x:f>4*SQRT((Inputs!$B$12*IF(Inputs!$C$12="GPa",1E9,IF(Inputs!$C$12="MPa",1E6,IF(Inputs!$C$12="Pa",1,IF(Inputs!$C$12="Mpsi",6894757293.168,IF(Inputs!$C$12="psi",6894.757293168,NA()))))))*PI()/64*(Inputs!$B$9^4-Inputs!$B$10^4)*E60/MAX(B60,1))</x:f>
        <x:v>10893.397444663964</x:v>
      </x:c>
      <x:c r="N60" s="35" t="str">
        <x:f>IF(H60&lt;-M60,"REVIEW","PASS")</x:f>
        <x:v>PASS</x:v>
      </x:c>
    </x:row>
    <x:row r="61">
      <x:c r="A61" s="35" t="n">
        <x:f>Survey!A61</x:f>
        <x:v>4616.3935104</x:v>
      </x:c>
      <x:c r="B61" s="35" t="n">
        <x:f>Survey!A61-Survey!A60</x:f>
        <x:v>75.83820240000023</x:v>
      </x:c>
      <x:c r="C61" s="35" t="n">
        <x:f>ACOS(COS(Survey!B60)*COS(Survey!B61)+SIN(Survey!B60)*SIN(Survey!B61)*COS(Survey!C61-Survey!C60))</x:f>
        <x:v>0.026909526801202645</x:v>
      </x:c>
      <x:c r="D61" s="35" t="n">
        <x:f>7850*9.80665*PI()/4*(Inputs!$B$9^2-Inputs!$B$10^2)*(1-Inputs!$B$5/7850)</x:f>
        <x:v>222.03697982472235</x:v>
      </x:c>
      <x:c r="E61" s="35" t="n">
        <x:f>D61*B61*ABS(C61)</x:f>
        <x:v>453.126438410477</x:v>
      </x:c>
      <x:c r="F61" s="35" t="n">
        <x:f>E61*Inputs!$B$6</x:f>
        <x:v>108.75034521851448</x:v>
      </x:c>
      <x:c r="G61" s="35" t="n">
        <x:f>G60+D61*B61+F61</x:f>
        <x:v>1151633.8485513218</x:v>
      </x:c>
      <x:c r="H61" s="35" t="n">
        <x:f>H60+D61*B61-F61</x:f>
        <x:v>1138386.296912006</x:v>
      </x:c>
      <x:c r="I61" s="35" t="n">
        <x:f>Inputs!$B$8+F61*Inputs!$B$9/2</x:f>
        <x:v>26006.905646921376</x:v>
      </x:c>
      <x:c r="J61" s="35" t="n">
        <x:f>Inputs!$B$8+F61*Inputs!$B$9</x:f>
        <x:v>26013.81129384275</x:v>
      </x:c>
      <x:c r="K61" s="35" t="n">
        <x:f>Inputs!$B$8+F61*Inputs!$B$9*1.25</x:f>
        <x:v>26017.26411730344</x:v>
      </x:c>
      <x:c r="L61" s="35" t="n">
        <x:f>2*SQRT((Inputs!$B$12*IF(Inputs!$C$12="GPa",1E9,IF(Inputs!$C$12="MPa",1E6,IF(Inputs!$C$12="Pa",1,IF(Inputs!$C$12="Mpsi",6894757293.168,IF(Inputs!$C$12="psi",6894.757293168,NA()))))))*PI()/64*(Inputs!$B$9^4-Inputs!$B$10^4)*E61/MAX(B61,1))</x:f>
        <x:v>5419.734744567189</x:v>
      </x:c>
      <x:c r="M61" s="35" t="n">
        <x:f>4*SQRT((Inputs!$B$12*IF(Inputs!$C$12="GPa",1E9,IF(Inputs!$C$12="MPa",1E6,IF(Inputs!$C$12="Pa",1,IF(Inputs!$C$12="Mpsi",6894757293.168,IF(Inputs!$C$12="psi",6894.757293168,NA()))))))*PI()/64*(Inputs!$B$9^4-Inputs!$B$10^4)*E61/MAX(B61,1))</x:f>
        <x:v>10839.469489134379</x:v>
      </x:c>
      <x:c r="N61" s="35" t="str">
        <x:f>IF(H61&lt;-M61,"REVIEW","PASS")</x:f>
        <x:v>PASS</x:v>
      </x:c>
    </x:row>
    <x:row r="62">
      <x:c r="A62" s="35" t="n">
        <x:f>Survey!A62</x:f>
        <x:v>4691.8360824</x:v>
      </x:c>
      <x:c r="B62" s="35" t="n">
        <x:f>Survey!A62-Survey!A61</x:f>
        <x:v>75.44257199999993</x:v>
      </x:c>
      <x:c r="C62" s="35" t="n">
        <x:f>ACOS(COS(Survey!B61)*COS(Survey!B62)+SIN(Survey!B61)*SIN(Survey!B62)*COS(Survey!C62-Survey!C61))</x:f>
        <x:v>0.026606589441082552</x:v>
      </x:c>
      <x:c r="D62" s="35" t="n">
        <x:f>7850*9.80665*PI()/4*(Inputs!$B$9^2-Inputs!$B$10^2)*(1-Inputs!$B$5/7850)</x:f>
        <x:v>222.03697982472235</x:v>
      </x:c>
      <x:c r="E62" s="35" t="n">
        <x:f>D62*B62*ABS(C62)</x:f>
        <x:v>445.6880662632387</x:v>
      </x:c>
      <x:c r="F62" s="35" t="n">
        <x:f>E62*Inputs!$B$6</x:f>
        <x:v>106.96513590317728</x:v>
      </x:c>
      <x:c r="G62" s="35" t="n">
        <x:f>G61+D62*B62+F62</x:f>
        <x:v>1168491.854524314</x:v>
      </x:c>
      <x:c r="H62" s="35" t="n">
        <x:f>H61+D62*B62-F62</x:f>
        <x:v>1155030.372613192</x:v>
      </x:c>
      <x:c r="I62" s="35" t="n">
        <x:f>Inputs!$B$8+F62*Inputs!$B$9/2</x:f>
        <x:v>26006.79228612985</x:v>
      </x:c>
      <x:c r="J62" s="35" t="n">
        <x:f>Inputs!$B$8+F62*Inputs!$B$9</x:f>
        <x:v>26013.584572259704</x:v>
      </x:c>
      <x:c r="K62" s="35" t="n">
        <x:f>Inputs!$B$8+F62*Inputs!$B$9*1.25</x:f>
        <x:v>26016.98071532463</x:v>
      </x:c>
      <x:c r="L62" s="35" t="n">
        <x:f>2*SQRT((Inputs!$B$12*IF(Inputs!$C$12="GPa",1E9,IF(Inputs!$C$12="MPa",1E6,IF(Inputs!$C$12="Pa",1,IF(Inputs!$C$12="Mpsi",6894757293.168,IF(Inputs!$C$12="psi",6894.757293168,NA()))))))*PI()/64*(Inputs!$B$9^4-Inputs!$B$10^4)*E62/MAX(B62,1))</x:f>
        <x:v>5389.141729174255</x:v>
      </x:c>
      <x:c r="M62" s="35" t="n">
        <x:f>4*SQRT((Inputs!$B$12*IF(Inputs!$C$12="GPa",1E9,IF(Inputs!$C$12="MPa",1E6,IF(Inputs!$C$12="Pa",1,IF(Inputs!$C$12="Mpsi",6894757293.168,IF(Inputs!$C$12="psi",6894.757293168,NA()))))))*PI()/64*(Inputs!$B$9^4-Inputs!$B$10^4)*E62/MAX(B62,1))</x:f>
        <x:v>10778.28345834851</x:v>
      </x:c>
      <x:c r="N62" s="35" t="str">
        <x:f>IF(H62&lt;-M62,"REVIEW","PASS")</x:f>
        <x:v>PASS</x:v>
      </x:c>
    </x:row>
    <x:row r="63">
      <x:c r="A63" s="35" t="n">
        <x:f>Survey!A63</x:f>
        <x:v>4767.3027336000005</x:v>
      </x:c>
      <x:c r="B63" s="35" t="n">
        <x:f>Survey!A63-Survey!A62</x:f>
        <x:v>75.46665120000034</x:v>
      </x:c>
      <x:c r="C63" s="35" t="n">
        <x:f>ACOS(COS(Survey!B62)*COS(Survey!B63)+SIN(Survey!B62)*SIN(Survey!B63)*COS(Survey!C63-Survey!C62))</x:f>
        <x:v>0.026341556756544933</x:v>
      </x:c>
      <x:c r="D63" s="35" t="n">
        <x:f>7850*9.80665*PI()/4*(Inputs!$B$9^2-Inputs!$B$10^2)*(1-Inputs!$B$5/7850)</x:f>
        <x:v>222.03697982472235</x:v>
      </x:c>
      <x:c r="E63" s="35" t="n">
        <x:f>D63*B63*ABS(C63)</x:f>
        <x:v>441.38932735927136</x:v>
      </x:c>
      <x:c r="F63" s="35" t="n">
        <x:f>E63*Inputs!$B$6</x:f>
        <x:v>105.93343856622512</x:v>
      </x:c>
      <x:c r="G63" s="35" t="n">
        <x:f>G62+D63*B63+F63</x:f>
        <x:v>1185354.175272814</x:v>
      </x:c>
      <x:c r="H63" s="35" t="n">
        <x:f>H62+D63*B63-F63</x:f>
        <x:v>1171680.8264845596</x:v>
      </x:c>
      <x:c r="I63" s="35" t="n">
        <x:f>Inputs!$B$8+F63*Inputs!$B$9/2</x:f>
        <x:v>26006.726773348957</x:v>
      </x:c>
      <x:c r="J63" s="35" t="n">
        <x:f>Inputs!$B$8+F63*Inputs!$B$9</x:f>
        <x:v>26013.45354669791</x:v>
      </x:c>
      <x:c r="K63" s="35" t="n">
        <x:f>Inputs!$B$8+F63*Inputs!$B$9*1.25</x:f>
        <x:v>26016.81693337239</x:v>
      </x:c>
      <x:c r="L63" s="35" t="n">
        <x:f>2*SQRT((Inputs!$B$12*IF(Inputs!$C$12="GPa",1E9,IF(Inputs!$C$12="MPa",1E6,IF(Inputs!$C$12="Pa",1,IF(Inputs!$C$12="Mpsi",6894757293.168,IF(Inputs!$C$12="psi",6894.757293168,NA()))))))*PI()/64*(Inputs!$B$9^4-Inputs!$B$10^4)*E63/MAX(B63,1))</x:f>
        <x:v>5362.233481314568</x:v>
      </x:c>
      <x:c r="M63" s="35" t="n">
        <x:f>4*SQRT((Inputs!$B$12*IF(Inputs!$C$12="GPa",1E9,IF(Inputs!$C$12="MPa",1E6,IF(Inputs!$C$12="Pa",1,IF(Inputs!$C$12="Mpsi",6894757293.168,IF(Inputs!$C$12="psi",6894.757293168,NA()))))))*PI()/64*(Inputs!$B$9^4-Inputs!$B$10^4)*E63/MAX(B63,1))</x:f>
        <x:v>10724.466962629136</x:v>
      </x:c>
      <x:c r="N63" s="35" t="str">
        <x:f>IF(H63&lt;-M63,"REVIEW","PASS")</x:f>
        <x:v>PASS</x:v>
      </x:c>
    </x:row>
    <x:row r="64">
      <x:c r="A64" s="35" t="n">
        <x:f>Survey!A64</x:f>
        <x:v>4843.2018960000005</x:v>
      </x:c>
      <x:c r="B64" s="35" t="n">
        <x:f>Survey!A64-Survey!A63</x:f>
        <x:v>75.89916240000002</x:v>
      </x:c>
      <x:c r="C64" s="35" t="n">
        <x:f>ACOS(COS(Survey!B63)*COS(Survey!B64)+SIN(Survey!B63)*SIN(Survey!B64)*COS(Survey!C64-Survey!C63))</x:f>
        <x:v>0.02619627614661322</x:v>
      </x:c>
      <x:c r="D64" s="35" t="n">
        <x:f>7850*9.80665*PI()/4*(Inputs!$B$9^2-Inputs!$B$10^2)*(1-Inputs!$B$5/7850)</x:f>
        <x:v>222.03697982472235</x:v>
      </x:c>
      <x:c r="E64" s="35" t="n">
        <x:f>D64*B64*ABS(C64)</x:f>
        <x:v>441.47066876744356</x:v>
      </x:c>
      <x:c r="F64" s="35" t="n">
        <x:f>E64*Inputs!$B$6</x:f>
        <x:v>105.95296050418645</x:v>
      </x:c>
      <x:c r="G64" s="35" t="n">
        <x:f>G63+D64*B64+F64</x:f>
        <x:v>1202312.5490238403</x:v>
      </x:c>
      <x:c r="H64" s="35" t="n">
        <x:f>H63+D64*B64-F64</x:f>
        <x:v>1188427.2943145775</x:v>
      </x:c>
      <x:c r="I64" s="35" t="n">
        <x:f>Inputs!$B$8+F64*Inputs!$B$9/2</x:f>
        <x:v>26006.728012992015</x:v>
      </x:c>
      <x:c r="J64" s="35" t="n">
        <x:f>Inputs!$B$8+F64*Inputs!$B$9</x:f>
        <x:v>26013.456025984033</x:v>
      </x:c>
      <x:c r="K64" s="35" t="n">
        <x:f>Inputs!$B$8+F64*Inputs!$B$9*1.25</x:f>
        <x:v>26016.82003248004</x:v>
      </x:c>
      <x:c r="L64" s="35" t="n">
        <x:f>2*SQRT((Inputs!$B$12*IF(Inputs!$C$12="GPa",1E9,IF(Inputs!$C$12="MPa",1E6,IF(Inputs!$C$12="Pa",1,IF(Inputs!$C$12="Mpsi",6894757293.168,IF(Inputs!$C$12="psi",6894.757293168,NA()))))))*PI()/64*(Inputs!$B$9^4-Inputs!$B$10^4)*E64/MAX(B64,1))</x:f>
        <x:v>5347.425972648599</x:v>
      </x:c>
      <x:c r="M64" s="35" t="n">
        <x:f>4*SQRT((Inputs!$B$12*IF(Inputs!$C$12="GPa",1E9,IF(Inputs!$C$12="MPa",1E6,IF(Inputs!$C$12="Pa",1,IF(Inputs!$C$12="Mpsi",6894757293.168,IF(Inputs!$C$12="psi",6894.757293168,NA()))))))*PI()/64*(Inputs!$B$9^4-Inputs!$B$10^4)*E64/MAX(B64,1))</x:f>
        <x:v>10694.851945297198</x:v>
      </x:c>
      <x:c r="N64" s="35" t="str">
        <x:f>IF(H64&lt;-M64,"REVIEW","PASS")</x:f>
        <x:v>PASS</x:v>
      </x:c>
    </x:row>
    <x:row r="65">
      <x:c r="A65" s="35" t="n">
        <x:f>Survey!A65</x:f>
        <x:v>4919.7207168</x:v>
      </x:c>
      <x:c r="B65" s="35" t="n">
        <x:f>Survey!A65-Survey!A64</x:f>
        <x:v>76.51882079999996</x:v>
      </x:c>
      <x:c r="C65" s="35" t="n">
        <x:f>ACOS(COS(Survey!B64)*COS(Survey!B65)+SIN(Survey!B64)*SIN(Survey!B65)*COS(Survey!C65-Survey!C64))</x:f>
        <x:v>0.026202825408378313</x:v>
      </x:c>
      <x:c r="D65" s="35" t="n">
        <x:f>7850*9.80665*PI()/4*(Inputs!$B$9^2-Inputs!$B$10^2)*(1-Inputs!$B$5/7850)</x:f>
        <x:v>222.03697982472235</x:v>
      </x:c>
      <x:c r="E65" s="35" t="n">
        <x:f>D65*B65*ABS(C65)</x:f>
        <x:v>445.18620990932976</x:v>
      </x:c>
      <x:c r="F65" s="35" t="n">
        <x:f>E65*Inputs!$B$6</x:f>
        <x:v>106.84469037823914</x:v>
      </x:c>
      <x:c r="G65" s="35" t="n">
        <x:f>G64+D65*B65+F65</x:f>
        <x:v>1219409.4015843999</x:v>
      </x:c>
      <x:c r="H65" s="35" t="n">
        <x:f>H64+D65*B65-F65</x:f>
        <x:v>1205310.4574943804</x:v>
      </x:c>
      <x:c r="I65" s="35" t="n">
        <x:f>Inputs!$B$8+F65*Inputs!$B$9/2</x:f>
        <x:v>26006.784637839017</x:v>
      </x:c>
      <x:c r="J65" s="35" t="n">
        <x:f>Inputs!$B$8+F65*Inputs!$B$9</x:f>
        <x:v>26013.569275678037</x:v>
      </x:c>
      <x:c r="K65" s="35" t="n">
        <x:f>Inputs!$B$8+F65*Inputs!$B$9*1.25</x:f>
        <x:v>26016.961594597546</x:v>
      </x:c>
      <x:c r="L65" s="35" t="n">
        <x:f>2*SQRT((Inputs!$B$12*IF(Inputs!$C$12="GPa",1E9,IF(Inputs!$C$12="MPa",1E6,IF(Inputs!$C$12="Pa",1,IF(Inputs!$C$12="Mpsi",6894757293.168,IF(Inputs!$C$12="psi",6894.757293168,NA()))))))*PI()/64*(Inputs!$B$9^4-Inputs!$B$10^4)*E65/MAX(B65,1))</x:f>
        <x:v>5348.094378791932</x:v>
      </x:c>
      <x:c r="M65" s="35" t="n">
        <x:f>4*SQRT((Inputs!$B$12*IF(Inputs!$C$12="GPa",1E9,IF(Inputs!$C$12="MPa",1E6,IF(Inputs!$C$12="Pa",1,IF(Inputs!$C$12="Mpsi",6894757293.168,IF(Inputs!$C$12="psi",6894.757293168,NA()))))))*PI()/64*(Inputs!$B$9^4-Inputs!$B$10^4)*E65/MAX(B65,1))</x:f>
        <x:v>10696.188757583865</x:v>
      </x:c>
      <x:c r="N65" s="35" t="str">
        <x:f>IF(H65&lt;-M65,"REVIEW","PASS")</x:f>
        <x:v>PASS</x:v>
      </x:c>
    </x:row>
  </x:sheetData>
  <x:mergeCells>
    <x:mergeCell ref="A1:N1"/>
    <x:mergeCell ref="A3:N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2" hidden="0" customWidth="1"/>
  </x:cols>
  <x:sheetData>
    <x:row r="1" ht="26" customHeight="1">
      <x:c r="A1" s="31" t="str">
        <x:v>WellForge | Exchange Map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9" t="str">
        <x:v>Declarative JSON exchange destinations — documentation only; automation reads this protected table</x:v>
      </x:c>
      <x:c r="B3" s="39" t="str">
        <x:v>Declarative JSON exchange destinations — documentation only; automation reads this protected table</x:v>
      </x:c>
      <x:c r="C3" s="39" t="str">
        <x:v>Declarative JSON exchange destinations — documentation only; automation reads this protected table</x:v>
      </x:c>
      <x:c r="D3" s="39" t="str">
        <x:v>Declarative JSON exchange destinations — documentation only; automation reads this protected table</x:v>
      </x:c>
      <x:c r="E3" s="39" t="str">
        <x:v>Declarative JSON exchange destinations — documentation only; automation reads this protected table</x:v>
      </x:c>
      <x:c r="F3" s="39" t="str">
        <x:v>Declarative JSON exchange destinations — documentation only; automation reads this protected table</x:v>
      </x:c>
      <x:c r="G3" s="39" t="str">
        <x:v>Declarative JSON exchange destinations — documentation only; automation reads this protected table</x:v>
      </x:c>
      <x:c r="H3" s="39" t="str">
        <x:v>Declarative JSON exchange destinations — documentation only; automation reads this protected table</x:v>
      </x:c>
      <x:c r="I3" s="39" t="str">
        <x:v>Declarative JSON exchange destinations — documentation only; automation reads this protected table</x:v>
      </x:c>
      <x:c r="J3" s="39" t="str">
        <x:v>Declarative JSON exchange destinations — documentation only; automation reads this protected table</x:v>
      </x:c>
      <x:c r="K3" s="39" t="str">
        <x:v>Declarative JSON exchange destinations — documentation only; automation reads this protected table</x:v>
      </x:c>
      <x:c r="L3" s="39" t="str">
        <x:v>Declarative JSON exchange destinations — documentation only; automation reads this protected table</x:v>
      </x:c>
      <x:c r="M3" s="39" t="str">
        <x:v>Declarative JSON exchange destinations — documentation only; automation reads this protected table</x:v>
      </x:c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40" t="str">
        <x:v>JSON Pointer</x:v>
      </x:c>
      <x:c r="B5" s="40" t="str">
        <x:v>Direction</x:v>
      </x:c>
      <x:c r="C5" s="40" t="str">
        <x:v>Sheet</x:v>
      </x:c>
      <x:c r="D5" s="40" t="str">
        <x:v>Address</x:v>
      </x:c>
      <x:c r="E5" s="40" t="str">
        <x:v>Shape</x:v>
      </x:c>
      <x:c r="F5" s="40" t="str">
        <x:v>Value column</x:v>
      </x:c>
      <x:c r="G5" s="40" t="str">
        <x:v>Stable ID column</x:v>
      </x:c>
      <x:c r="H5" s="40" t="str">
        <x:v>Row capacity</x:v>
      </x:c>
      <x:c r="I5" s="40" t="str">
        <x:v>Unit source</x:v>
      </x:c>
      <x:c r="J5" s="40" t="str">
        <x:v>Dimension</x:v>
      </x:c>
      <x:c r="K5" s="40" t="str">
        <x:v>Data type</x:v>
      </x:c>
      <x:c r="L5" s="40" t="str">
        <x:v>Required</x:v>
      </x:c>
      <x:c r="M5" s="40" t="str">
        <x:v>Writable</x:v>
      </x:c>
      <x:c r="N5" s="32"/>
    </x:row>
    <x:row r="6">
      <x:c r="A6" s="38" t="str">
        <x:v>/analyses/torqueDrag/inputs/fluidDensity</x:v>
      </x:c>
      <x:c r="B6" s="38" t="str">
        <x:v>Input</x:v>
      </x:c>
      <x:c r="C6" s="38" t="str">
        <x:v>Inputs</x:v>
      </x:c>
      <x:c r="D6" s="38" t="str">
        <x:v>B5</x:v>
      </x:c>
      <x:c r="E6" s="38" t="str">
        <x:v>Scalar</x:v>
      </x:c>
      <x:c r="F6" s="38" t="str"/>
      <x:c r="G6" s="38" t="str"/>
      <x:c r="H6" s="38" t="str"/>
      <x:c r="I6" s="38" t="str">
        <x:v>kg/m3</x:v>
      </x:c>
      <x:c r="J6" s="38" t="str">
        <x:v>density</x:v>
      </x:c>
      <x:c r="K6" s="38" t="str">
        <x:v>number</x:v>
      </x:c>
      <x:c r="L6" s="41" t="b">
        <x:v>1</x:v>
      </x:c>
      <x:c r="M6" s="41" t="b">
        <x:v>1</x:v>
      </x:c>
      <x:c r="N6" s="32"/>
    </x:row>
    <x:row r="7">
      <x:c r="A7" s="38" t="str">
        <x:v>/operatingPoint/frictionFactor</x:v>
      </x:c>
      <x:c r="B7" s="38" t="str">
        <x:v>Input</x:v>
      </x:c>
      <x:c r="C7" s="38" t="str">
        <x:v>Inputs</x:v>
      </x:c>
      <x:c r="D7" s="38" t="str">
        <x:v>B6</x:v>
      </x:c>
      <x:c r="E7" s="38" t="str">
        <x:v>Scalar</x:v>
      </x:c>
      <x:c r="F7" s="38" t="str"/>
      <x:c r="G7" s="38" t="str"/>
      <x:c r="H7" s="38" t="str"/>
      <x:c r="I7" s="38" t="str">
        <x:v>1</x:v>
      </x:c>
      <x:c r="J7" s="38" t="str">
        <x:v>unitless</x:v>
      </x:c>
      <x:c r="K7" s="38" t="str">
        <x:v>number</x:v>
      </x:c>
      <x:c r="L7" s="41" t="b">
        <x:v>1</x:v>
      </x:c>
      <x:c r="M7" s="41" t="b">
        <x:v>1</x:v>
      </x:c>
      <x:c r="N7" s="32"/>
    </x:row>
    <x:row r="8">
      <x:c r="A8" s="38" t="str">
        <x:v>/operatingPoint/wob</x:v>
      </x:c>
      <x:c r="B8" s="38" t="str">
        <x:v>Input</x:v>
      </x:c>
      <x:c r="C8" s="38" t="str">
        <x:v>Inputs</x:v>
      </x:c>
      <x:c r="D8" s="38" t="str">
        <x:v>B7</x:v>
      </x:c>
      <x:c r="E8" s="38" t="str">
        <x:v>Scalar</x:v>
      </x:c>
      <x:c r="F8" s="38" t="str"/>
      <x:c r="G8" s="38" t="str"/>
      <x:c r="H8" s="38" t="str"/>
      <x:c r="I8" s="38" t="str">
        <x:v>N</x:v>
      </x:c>
      <x:c r="J8" s="38" t="str">
        <x:v>force</x:v>
      </x:c>
      <x:c r="K8" s="38" t="str">
        <x:v>number</x:v>
      </x:c>
      <x:c r="L8" s="41" t="b">
        <x:v>1</x:v>
      </x:c>
      <x:c r="M8" s="41" t="b">
        <x:v>1</x:v>
      </x:c>
      <x:c r="N8" s="32"/>
    </x:row>
    <x:row r="9">
      <x:c r="A9" s="38" t="str">
        <x:v>/operatingPoint/surfaceTorque</x:v>
      </x:c>
      <x:c r="B9" s="38" t="str">
        <x:v>Input</x:v>
      </x:c>
      <x:c r="C9" s="38" t="str">
        <x:v>Inputs</x:v>
      </x:c>
      <x:c r="D9" s="38" t="str">
        <x:v>B8</x:v>
      </x:c>
      <x:c r="E9" s="38" t="str">
        <x:v>Scalar</x:v>
      </x:c>
      <x:c r="F9" s="38" t="str"/>
      <x:c r="G9" s="38" t="str"/>
      <x:c r="H9" s="38" t="str"/>
      <x:c r="I9" s="38" t="str">
        <x:v>N*m</x:v>
      </x:c>
      <x:c r="J9" s="38" t="str">
        <x:v>torque</x:v>
      </x:c>
      <x:c r="K9" s="38" t="str">
        <x:v>number</x:v>
      </x:c>
      <x:c r="L9" s="41" t="b">
        <x:v>1</x:v>
      </x:c>
      <x:c r="M9" s="41" t="b">
        <x:v>1</x:v>
      </x:c>
      <x:c r="N9" s="32"/>
    </x:row>
    <x:row r="10">
      <x:c r="A10" s="38" t="str">
        <x:v>/analyses/torqueDrag/inputs/outerDiameter</x:v>
      </x:c>
      <x:c r="B10" s="38" t="str">
        <x:v>Input</x:v>
      </x:c>
      <x:c r="C10" s="38" t="str">
        <x:v>Inputs</x:v>
      </x:c>
      <x:c r="D10" s="38" t="str">
        <x:v>B9</x:v>
      </x:c>
      <x:c r="E10" s="38" t="str">
        <x:v>Scalar</x:v>
      </x:c>
      <x:c r="F10" s="38" t="str"/>
      <x:c r="G10" s="38" t="str"/>
      <x:c r="H10" s="38" t="str"/>
      <x:c r="I10" s="38" t="str">
        <x:v>m</x:v>
      </x:c>
      <x:c r="J10" s="38" t="str">
        <x:v>diameter</x:v>
      </x:c>
      <x:c r="K10" s="38" t="str">
        <x:v>number</x:v>
      </x:c>
      <x:c r="L10" s="41" t="b">
        <x:v>1</x:v>
      </x:c>
      <x:c r="M10" s="41" t="b">
        <x:v>1</x:v>
      </x:c>
      <x:c r="N10" s="32"/>
    </x:row>
    <x:row r="11">
      <x:c r="A11" s="38" t="str">
        <x:v>/analyses/torqueDrag/inputs/innerDiameter</x:v>
      </x:c>
      <x:c r="B11" s="38" t="str">
        <x:v>Input</x:v>
      </x:c>
      <x:c r="C11" s="38" t="str">
        <x:v>Inputs</x:v>
      </x:c>
      <x:c r="D11" s="38" t="str">
        <x:v>B10</x:v>
      </x:c>
      <x:c r="E11" s="38" t="str">
        <x:v>Scalar</x:v>
      </x:c>
      <x:c r="F11" s="38" t="str"/>
      <x:c r="G11" s="38" t="str"/>
      <x:c r="H11" s="38" t="str"/>
      <x:c r="I11" s="38" t="str">
        <x:v>m</x:v>
      </x:c>
      <x:c r="J11" s="38" t="str">
        <x:v>diameter</x:v>
      </x:c>
      <x:c r="K11" s="38" t="str">
        <x:v>number</x:v>
      </x:c>
      <x:c r="L11" s="41" t="b">
        <x:v>1</x:v>
      </x:c>
      <x:c r="M11" s="41" t="b">
        <x:v>1</x:v>
      </x:c>
      <x:c r="N11" s="32"/>
    </x:row>
    <x:row r="12">
      <x:c r="A12" s="38" t="str">
        <x:v>/analyses/torqueDrag/inputs/materialDensity</x:v>
      </x:c>
      <x:c r="B12" s="38" t="str">
        <x:v>Input</x:v>
      </x:c>
      <x:c r="C12" s="38" t="str">
        <x:v>Inputs</x:v>
      </x:c>
      <x:c r="D12" s="38" t="str">
        <x:v>B11</x:v>
      </x:c>
      <x:c r="E12" s="38" t="str">
        <x:v>Scalar</x:v>
      </x:c>
      <x:c r="F12" s="38" t="str"/>
      <x:c r="G12" s="38" t="str"/>
      <x:c r="H12" s="38" t="str"/>
      <x:c r="I12" s="38" t="str">
        <x:v>kg/m3</x:v>
      </x:c>
      <x:c r="J12" s="38" t="str">
        <x:v>density</x:v>
      </x:c>
      <x:c r="K12" s="38" t="str">
        <x:v>number</x:v>
      </x:c>
      <x:c r="L12" s="41" t="b">
        <x:v>1</x:v>
      </x:c>
      <x:c r="M12" s="41" t="b">
        <x:v>1</x:v>
      </x:c>
      <x:c r="N12" s="32"/>
    </x:row>
    <x:row r="13">
      <x:c r="A13" s="38" t="str">
        <x:v>/analyses/torqueDrag/inputs/youngModulus</x:v>
      </x:c>
      <x:c r="B13" s="38" t="str">
        <x:v>Input</x:v>
      </x:c>
      <x:c r="C13" s="38" t="str">
        <x:v>Inputs</x:v>
      </x:c>
      <x:c r="D13" s="38" t="str">
        <x:v>B12</x:v>
      </x:c>
      <x:c r="E13" s="38" t="str">
        <x:v>Scalar</x:v>
      </x:c>
      <x:c r="F13" s="38" t="str"/>
      <x:c r="G13" s="38" t="str"/>
      <x:c r="H13" s="38" t="str"/>
      <x:c r="I13" s="38" t="str">
        <x:v>Inputs!C12</x:v>
      </x:c>
      <x:c r="J13" s="38" t="str">
        <x:v>pressure</x:v>
      </x:c>
      <x:c r="K13" s="38" t="str">
        <x:v>number</x:v>
      </x:c>
      <x:c r="L13" s="41" t="b">
        <x:v>1</x:v>
      </x:c>
      <x:c r="M13" s="41" t="b">
        <x:v>1</x:v>
      </x:c>
      <x:c r="N13" s="32"/>
    </x:row>
    <x:row r="14">
      <x:c r="A14" s="38" t="str">
        <x:v>/trajectory/survey/*/md</x:v>
      </x:c>
      <x:c r="B14" s="38" t="str">
        <x:v>Input</x:v>
      </x:c>
      <x:c r="C14" s="38" t="str">
        <x:v>Survey</x:v>
      </x:c>
      <x:c r="D14" s="38" t="str">
        <x:v>A6:A65</x:v>
      </x:c>
      <x:c r="E14" s="38" t="str">
        <x:v>Table</x:v>
      </x:c>
      <x:c r="F14" s="38" t="str">
        <x:v>A</x:v>
      </x:c>
      <x:c r="G14" s="38" t="str">
        <x:v>E</x:v>
      </x:c>
      <x:c r="H14" s="38" t="n">
        <x:v>60</x:v>
      </x:c>
      <x:c r="I14" s="38" t="str">
        <x:v>m</x:v>
      </x:c>
      <x:c r="J14" s="38" t="str">
        <x:v>length</x:v>
      </x:c>
      <x:c r="K14" s="38" t="str">
        <x:v>number</x:v>
      </x:c>
      <x:c r="L14" s="41" t="b">
        <x:v>1</x:v>
      </x:c>
      <x:c r="M14" s="41" t="b">
        <x:v>1</x:v>
      </x:c>
      <x:c r="N14" s="32"/>
    </x:row>
    <x:row r="15">
      <x:c r="A15" s="38" t="str">
        <x:v>/trajectory/survey/*/inclination</x:v>
      </x:c>
      <x:c r="B15" s="38" t="str">
        <x:v>Input</x:v>
      </x:c>
      <x:c r="C15" s="38" t="str">
        <x:v>Survey</x:v>
      </x:c>
      <x:c r="D15" s="38" t="str">
        <x:v>B6:B65</x:v>
      </x:c>
      <x:c r="E15" s="38" t="str">
        <x:v>Table</x:v>
      </x:c>
      <x:c r="F15" s="38" t="str">
        <x:v>B</x:v>
      </x:c>
      <x:c r="G15" s="38" t="str">
        <x:v>E</x:v>
      </x:c>
      <x:c r="H15" s="38" t="n">
        <x:v>60</x:v>
      </x:c>
      <x:c r="I15" s="38" t="str">
        <x:v>rad</x:v>
      </x:c>
      <x:c r="J15" s="38" t="str">
        <x:v>angle</x:v>
      </x:c>
      <x:c r="K15" s="38" t="str">
        <x:v>number</x:v>
      </x:c>
      <x:c r="L15" s="41" t="b">
        <x:v>1</x:v>
      </x:c>
      <x:c r="M15" s="41" t="b">
        <x:v>1</x:v>
      </x:c>
      <x:c r="N15" s="32"/>
    </x:row>
    <x:row r="16">
      <x:c r="A16" s="38" t="str">
        <x:v>/trajectory/survey/*/azimuth</x:v>
      </x:c>
      <x:c r="B16" s="38" t="str">
        <x:v>Input</x:v>
      </x:c>
      <x:c r="C16" s="38" t="str">
        <x:v>Survey</x:v>
      </x:c>
      <x:c r="D16" s="38" t="str">
        <x:v>C6:C65</x:v>
      </x:c>
      <x:c r="E16" s="38" t="str">
        <x:v>Table</x:v>
      </x:c>
      <x:c r="F16" s="38" t="str">
        <x:v>C</x:v>
      </x:c>
      <x:c r="G16" s="38" t="str">
        <x:v>E</x:v>
      </x:c>
      <x:c r="H16" s="38" t="n">
        <x:v>60</x:v>
      </x:c>
      <x:c r="I16" s="38" t="str">
        <x:v>rad</x:v>
      </x:c>
      <x:c r="J16" s="38" t="str">
        <x:v>angle</x:v>
      </x:c>
      <x:c r="K16" s="38" t="str">
        <x:v>number</x:v>
      </x:c>
      <x:c r="L16" s="41" t="b">
        <x:v>1</x:v>
      </x:c>
      <x:c r="M16" s="41" t="b">
        <x:v>1</x:v>
      </x:c>
      <x:c r="N16" s="32"/>
    </x:row>
    <x:row r="17">
      <x:c r="A17" s="38" t="str">
        <x:v>/trajectory/survey/*/holeDiameter</x:v>
      </x:c>
      <x:c r="B17" s="38" t="str">
        <x:v>Input</x:v>
      </x:c>
      <x:c r="C17" s="38" t="str">
        <x:v>Survey</x:v>
      </x:c>
      <x:c r="D17" s="38" t="str">
        <x:v>D6:D65</x:v>
      </x:c>
      <x:c r="E17" s="38" t="str">
        <x:v>Table</x:v>
      </x:c>
      <x:c r="F17" s="38" t="str">
        <x:v>D</x:v>
      </x:c>
      <x:c r="G17" s="38" t="str">
        <x:v>E</x:v>
      </x:c>
      <x:c r="H17" s="38" t="n">
        <x:v>60</x:v>
      </x:c>
      <x:c r="I17" s="38" t="str">
        <x:v>m</x:v>
      </x:c>
      <x:c r="J17" s="38" t="str">
        <x:v>diameter</x:v>
      </x:c>
      <x:c r="K17" s="38" t="str">
        <x:v>number</x:v>
      </x:c>
      <x:c r="L17" s="41" t="b">
        <x:v>1</x:v>
      </x:c>
      <x:c r="M17" s="41" t="b">
        <x:v>1</x:v>
      </x:c>
      <x:c r="N17" s="32"/>
    </x:row>
    <x:row r="18">
      <x:c r="A18" s="38" t="str">
        <x:v>/analyses/torqueDrag/results/*/md</x:v>
      </x:c>
      <x:c r="B18" s="38" t="str">
        <x:v>Output</x:v>
      </x:c>
      <x:c r="C18" s="38" t="str">
        <x:v>Results</x:v>
      </x:c>
      <x:c r="D18" s="38" t="str">
        <x:v>A6:A65</x:v>
      </x:c>
      <x:c r="E18" s="38" t="str">
        <x:v>Table</x:v>
      </x:c>
      <x:c r="F18" s="38" t="str">
        <x:v>A</x:v>
      </x:c>
      <x:c r="G18" s="38" t="str">
        <x:v>K</x:v>
      </x:c>
      <x:c r="H18" s="38" t="n">
        <x:v>60</x:v>
      </x:c>
      <x:c r="I18" s="38" t="str">
        <x:v>Results!A4</x:v>
      </x:c>
      <x:c r="J18" s="38" t="str">
        <x:v>length</x:v>
      </x:c>
      <x:c r="K18" s="38" t="str">
        <x:v>number</x:v>
      </x:c>
      <x:c r="L18" s="41" t="b">
        <x:v>0</x:v>
      </x:c>
      <x:c r="M18" s="41" t="b">
        <x:v>0</x:v>
      </x:c>
      <x:c r="N18" s="32"/>
    </x:row>
    <x:row r="19">
      <x:c r="A19" s="38" t="str">
        <x:v>/analyses/torqueDrag/results/*/poohHookload</x:v>
      </x:c>
      <x:c r="B19" s="38" t="str">
        <x:v>Output</x:v>
      </x:c>
      <x:c r="C19" s="38" t="str">
        <x:v>Results</x:v>
      </x:c>
      <x:c r="D19" s="38" t="str">
        <x:v>B6:B65</x:v>
      </x:c>
      <x:c r="E19" s="38" t="str">
        <x:v>Table</x:v>
      </x:c>
      <x:c r="F19" s="38" t="str">
        <x:v>B</x:v>
      </x:c>
      <x:c r="G19" s="38" t="str">
        <x:v>K</x:v>
      </x:c>
      <x:c r="H19" s="38" t="n">
        <x:v>60</x:v>
      </x:c>
      <x:c r="I19" s="38" t="str">
        <x:v>Results!B4</x:v>
      </x:c>
      <x:c r="J19" s="38" t="str">
        <x:v>force</x:v>
      </x:c>
      <x:c r="K19" s="38" t="str">
        <x:v>number</x:v>
      </x:c>
      <x:c r="L19" s="41" t="b">
        <x:v>0</x:v>
      </x:c>
      <x:c r="M19" s="41" t="b">
        <x:v>0</x:v>
      </x:c>
      <x:c r="N19" s="32"/>
    </x:row>
    <x:row r="20">
      <x:c r="A20" s="38" t="str">
        <x:v>/analyses/torqueDrag/results/*/rihAxialLoad</x:v>
      </x:c>
      <x:c r="B20" s="38" t="str">
        <x:v>Output</x:v>
      </x:c>
      <x:c r="C20" s="38" t="str">
        <x:v>Results</x:v>
      </x:c>
      <x:c r="D20" s="38" t="str">
        <x:v>C6:C65</x:v>
      </x:c>
      <x:c r="E20" s="38" t="str">
        <x:v>Table</x:v>
      </x:c>
      <x:c r="F20" s="38" t="str">
        <x:v>C</x:v>
      </x:c>
      <x:c r="G20" s="38" t="str">
        <x:v>K</x:v>
      </x:c>
      <x:c r="H20" s="38" t="n">
        <x:v>60</x:v>
      </x:c>
      <x:c r="I20" s="38" t="str">
        <x:v>Results!C4</x:v>
      </x:c>
      <x:c r="J20" s="38" t="str">
        <x:v>force</x:v>
      </x:c>
      <x:c r="K20" s="38" t="str">
        <x:v>number</x:v>
      </x:c>
      <x:c r="L20" s="41" t="b">
        <x:v>0</x:v>
      </x:c>
      <x:c r="M20" s="41" t="b">
        <x:v>0</x:v>
      </x:c>
      <x:c r="N20" s="32"/>
    </x:row>
    <x:row r="21">
      <x:c r="A21" s="38" t="str">
        <x:v>/analyses/torqueDrag/results/*/slideTorque</x:v>
      </x:c>
      <x:c r="B21" s="38" t="str">
        <x:v>Output</x:v>
      </x:c>
      <x:c r="C21" s="38" t="str">
        <x:v>Results</x:v>
      </x:c>
      <x:c r="D21" s="38" t="str">
        <x:v>D6:D65</x:v>
      </x:c>
      <x:c r="E21" s="38" t="str">
        <x:v>Table</x:v>
      </x:c>
      <x:c r="F21" s="38" t="str">
        <x:v>D</x:v>
      </x:c>
      <x:c r="G21" s="38" t="str">
        <x:v>K</x:v>
      </x:c>
      <x:c r="H21" s="38" t="n">
        <x:v>60</x:v>
      </x:c>
      <x:c r="I21" s="38" t="str">
        <x:v>Results!D4</x:v>
      </x:c>
      <x:c r="J21" s="38" t="str">
        <x:v>torque</x:v>
      </x:c>
      <x:c r="K21" s="38" t="str">
        <x:v>number</x:v>
      </x:c>
      <x:c r="L21" s="41" t="b">
        <x:v>0</x:v>
      </x:c>
      <x:c r="M21" s="41" t="b">
        <x:v>0</x:v>
      </x:c>
      <x:c r="N21" s="32"/>
    </x:row>
    <x:row r="22">
      <x:c r="A22" s="38" t="str">
        <x:v>/analyses/torqueDrag/results/*/rotateTorque</x:v>
      </x:c>
      <x:c r="B22" s="38" t="str">
        <x:v>Output</x:v>
      </x:c>
      <x:c r="C22" s="38" t="str">
        <x:v>Results</x:v>
      </x:c>
      <x:c r="D22" s="38" t="str">
        <x:v>E6:E65</x:v>
      </x:c>
      <x:c r="E22" s="38" t="str">
        <x:v>Table</x:v>
      </x:c>
      <x:c r="F22" s="38" t="str">
        <x:v>E</x:v>
      </x:c>
      <x:c r="G22" s="38" t="str">
        <x:v>K</x:v>
      </x:c>
      <x:c r="H22" s="38" t="n">
        <x:v>60</x:v>
      </x:c>
      <x:c r="I22" s="38" t="str">
        <x:v>Results!E4</x:v>
      </x:c>
      <x:c r="J22" s="38" t="str">
        <x:v>torque</x:v>
      </x:c>
      <x:c r="K22" s="38" t="str">
        <x:v>number</x:v>
      </x:c>
      <x:c r="L22" s="41" t="b">
        <x:v>0</x:v>
      </x:c>
      <x:c r="M22" s="41" t="b">
        <x:v>0</x:v>
      </x:c>
      <x:c r="N22" s="32"/>
    </x:row>
    <x:row r="23">
      <x:c r="A23" s="38" t="str">
        <x:v>/analyses/torqueDrag/results/*/backreamTorque</x:v>
      </x:c>
      <x:c r="B23" s="38" t="str">
        <x:v>Output</x:v>
      </x:c>
      <x:c r="C23" s="38" t="str">
        <x:v>Results</x:v>
      </x:c>
      <x:c r="D23" s="38" t="str">
        <x:v>F6:F65</x:v>
      </x:c>
      <x:c r="E23" s="38" t="str">
        <x:v>Table</x:v>
      </x:c>
      <x:c r="F23" s="38" t="str">
        <x:v>F</x:v>
      </x:c>
      <x:c r="G23" s="38" t="str">
        <x:v>K</x:v>
      </x:c>
      <x:c r="H23" s="38" t="n">
        <x:v>60</x:v>
      </x:c>
      <x:c r="I23" s="38" t="str">
        <x:v>Results!F4</x:v>
      </x:c>
      <x:c r="J23" s="38" t="str">
        <x:v>torque</x:v>
      </x:c>
      <x:c r="K23" s="38" t="str">
        <x:v>number</x:v>
      </x:c>
      <x:c r="L23" s="41" t="b">
        <x:v>0</x:v>
      </x:c>
      <x:c r="M23" s="41" t="b">
        <x:v>0</x:v>
      </x:c>
      <x:c r="N23" s="32"/>
    </x:row>
    <x:row r="24">
      <x:c r="A24" s="38" t="str">
        <x:v>/analyses/torqueDrag/results/*/sinusoidalLimit</x:v>
      </x:c>
      <x:c r="B24" s="38" t="str">
        <x:v>Output</x:v>
      </x:c>
      <x:c r="C24" s="38" t="str">
        <x:v>Results</x:v>
      </x:c>
      <x:c r="D24" s="38" t="str">
        <x:v>G6:G65</x:v>
      </x:c>
      <x:c r="E24" s="38" t="str">
        <x:v>Table</x:v>
      </x:c>
      <x:c r="F24" s="38" t="str">
        <x:v>G</x:v>
      </x:c>
      <x:c r="G24" s="38" t="str">
        <x:v>K</x:v>
      </x:c>
      <x:c r="H24" s="38" t="n">
        <x:v>60</x:v>
      </x:c>
      <x:c r="I24" s="38" t="str">
        <x:v>Results!G4</x:v>
      </x:c>
      <x:c r="J24" s="38" t="str">
        <x:v>force</x:v>
      </x:c>
      <x:c r="K24" s="38" t="str">
        <x:v>number</x:v>
      </x:c>
      <x:c r="L24" s="41" t="b">
        <x:v>0</x:v>
      </x:c>
      <x:c r="M24" s="41" t="b">
        <x:v>0</x:v>
      </x:c>
      <x:c r="N24" s="32"/>
    </x:row>
    <x:row r="25">
      <x:c r="A25" s="38" t="str">
        <x:v>/analyses/torqueDrag/results/*/helicalLimit</x:v>
      </x:c>
      <x:c r="B25" s="38" t="str">
        <x:v>Output</x:v>
      </x:c>
      <x:c r="C25" s="38" t="str">
        <x:v>Results</x:v>
      </x:c>
      <x:c r="D25" s="38" t="str">
        <x:v>H6:H65</x:v>
      </x:c>
      <x:c r="E25" s="38" t="str">
        <x:v>Table</x:v>
      </x:c>
      <x:c r="F25" s="38" t="str">
        <x:v>H</x:v>
      </x:c>
      <x:c r="G25" s="38" t="str">
        <x:v>K</x:v>
      </x:c>
      <x:c r="H25" s="38" t="n">
        <x:v>60</x:v>
      </x:c>
      <x:c r="I25" s="38" t="str">
        <x:v>Results!H4</x:v>
      </x:c>
      <x:c r="J25" s="38" t="str">
        <x:v>force</x:v>
      </x:c>
      <x:c r="K25" s="38" t="str">
        <x:v>number</x:v>
      </x:c>
      <x:c r="L25" s="41" t="b">
        <x:v>0</x:v>
      </x:c>
      <x:c r="M25" s="41" t="b">
        <x:v>0</x:v>
      </x:c>
      <x:c r="N25" s="32"/>
    </x:row>
    <x:row r="26">
      <x:c r="A26" s="38" t="str">
        <x:v>/analyses/torqueDrag/results/*/bucklingStatus</x:v>
      </x:c>
      <x:c r="B26" s="38" t="str">
        <x:v>Output</x:v>
      </x:c>
      <x:c r="C26" s="38" t="str">
        <x:v>Results</x:v>
      </x:c>
      <x:c r="D26" s="38" t="str">
        <x:v>I6:I65</x:v>
      </x:c>
      <x:c r="E26" s="38" t="str">
        <x:v>Table</x:v>
      </x:c>
      <x:c r="F26" s="38" t="str">
        <x:v>I</x:v>
      </x:c>
      <x:c r="G26" s="38" t="str">
        <x:v>K</x:v>
      </x:c>
      <x:c r="H26" s="38" t="n">
        <x:v>60</x:v>
      </x:c>
      <x:c r="I26" s="38" t="str">
        <x:v>text</x:v>
      </x:c>
      <x:c r="J26" s="38" t="str">
        <x:v>status</x:v>
      </x:c>
      <x:c r="K26" s="38" t="str">
        <x:v>status</x:v>
      </x:c>
      <x:c r="L26" s="41" t="b">
        <x:v>0</x:v>
      </x:c>
      <x:c r="M26" s="41" t="b">
        <x:v>0</x:v>
      </x:c>
      <x:c r="N26" s="32"/>
    </x:row>
    <x:row r="27">
      <x:c r="A27" s="38" t="str">
        <x:v>/analyses/torqueDrag/results/*/governing</x:v>
      </x:c>
      <x:c r="B27" s="38" t="str">
        <x:v>Output</x:v>
      </x:c>
      <x:c r="C27" s="38" t="str">
        <x:v>Results</x:v>
      </x:c>
      <x:c r="D27" s="38" t="str">
        <x:v>J6:J65</x:v>
      </x:c>
      <x:c r="E27" s="38" t="str">
        <x:v>Table</x:v>
      </x:c>
      <x:c r="F27" s="38" t="str">
        <x:v>J</x:v>
      </x:c>
      <x:c r="G27" s="38" t="str">
        <x:v>K</x:v>
      </x:c>
      <x:c r="H27" s="38" t="n">
        <x:v>60</x:v>
      </x:c>
      <x:c r="I27" s="38" t="str">
        <x:v>text</x:v>
      </x:c>
      <x:c r="J27" s="38" t="str">
        <x:v>status</x:v>
      </x:c>
      <x:c r="K27" s="38" t="str">
        <x:v>status</x:v>
      </x:c>
      <x:c r="L27" s="41" t="b">
        <x:v>0</x:v>
      </x:c>
      <x:c r="M27" s="41" t="b">
        <x:v>0</x:v>
      </x:c>
      <x:c r="N27" s="32"/>
    </x:row>
    <x:row r="28">
      <x:c r="A28" s="38" t="str">
        <x:v>/analyses/torqueDrag/summary/peakPoohHookload</x:v>
      </x:c>
      <x:c r="B28" s="38" t="str">
        <x:v>Output</x:v>
      </x:c>
      <x:c r="C28" s="38" t="str">
        <x:v>Summary</x:v>
      </x:c>
      <x:c r="D28" s="38" t="str">
        <x:v>B6</x:v>
      </x:c>
      <x:c r="E28" s="38" t="str">
        <x:v>Scalar</x:v>
      </x:c>
      <x:c r="F28" s="38" t="str"/>
      <x:c r="G28" s="38" t="str"/>
      <x:c r="H28" s="38" t="str"/>
      <x:c r="I28" s="38" t="str">
        <x:v>Results!B4</x:v>
      </x:c>
      <x:c r="J28" s="38" t="str">
        <x:v>force</x:v>
      </x:c>
      <x:c r="K28" s="38" t="str">
        <x:v>number</x:v>
      </x:c>
      <x:c r="L28" s="41" t="b">
        <x:v>0</x:v>
      </x:c>
      <x:c r="M28" s="41" t="b">
        <x:v>0</x:v>
      </x:c>
      <x:c r="N28" s="32"/>
    </x:row>
    <x:row r="29">
      <x:c r="A29" s="38" t="str">
        <x:v>/analyses/torqueDrag/summary/lowestRihAxialLoad</x:v>
      </x:c>
      <x:c r="B29" s="38" t="str">
        <x:v>Output</x:v>
      </x:c>
      <x:c r="C29" s="38" t="str">
        <x:v>Summary</x:v>
      </x:c>
      <x:c r="D29" s="38" t="str">
        <x:v>B7</x:v>
      </x:c>
      <x:c r="E29" s="38" t="str">
        <x:v>Scalar</x:v>
      </x:c>
      <x:c r="F29" s="38" t="str"/>
      <x:c r="G29" s="38" t="str"/>
      <x:c r="H29" s="38" t="str"/>
      <x:c r="I29" s="38" t="str">
        <x:v>Results!C4</x:v>
      </x:c>
      <x:c r="J29" s="38" t="str">
        <x:v>force</x:v>
      </x:c>
      <x:c r="K29" s="38" t="str">
        <x:v>number</x:v>
      </x:c>
      <x:c r="L29" s="41" t="b">
        <x:v>0</x:v>
      </x:c>
      <x:c r="M29" s="41" t="b">
        <x:v>0</x:v>
      </x:c>
      <x:c r="N29" s="32"/>
    </x:row>
    <x:row r="30">
      <x:c r="A30" s="38" t="str">
        <x:v>/analyses/torqueDrag/summary/governingDepth</x:v>
      </x:c>
      <x:c r="B30" s="38" t="str">
        <x:v>Output</x:v>
      </x:c>
      <x:c r="C30" s="38" t="str">
        <x:v>Summary</x:v>
      </x:c>
      <x:c r="D30" s="38" t="str">
        <x:v>B8</x:v>
      </x:c>
      <x:c r="E30" s="38" t="str">
        <x:v>Scalar</x:v>
      </x:c>
      <x:c r="F30" s="38" t="str"/>
      <x:c r="G30" s="38" t="str"/>
      <x:c r="H30" s="38" t="str"/>
      <x:c r="I30" s="38" t="str">
        <x:v>Results!A4</x:v>
      </x:c>
      <x:c r="J30" s="38" t="str">
        <x:v>length</x:v>
      </x:c>
      <x:c r="K30" s="38" t="str">
        <x:v>number</x:v>
      </x:c>
      <x:c r="L30" s="41" t="b">
        <x:v>0</x:v>
      </x:c>
      <x:c r="M30" s="41" t="b">
        <x:v>0</x:v>
      </x:c>
      <x:c r="N30" s="32"/>
    </x:row>
  </x:sheetData>
  <x:sheetProtection sheet="1" objects="1" scenarios="1"/>
  <x:protectedRanges>
    <x:protectedRange name="ExchangeMapDocumentation" sqref="A3:M3"/>
  </x:protectedRanges>
  <x:mergeCells>
    <x:mergeCell ref="A1:N1"/>
    <x:mergeCell ref="A3:M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Exchange State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Round-trip unit preservation state — managed by WellForge exchange automation</x:v>
      </x:c>
      <x:c r="B3" s="33" t="str">
        <x:v>Round-trip unit preservation state — managed by WellForge exchange automation</x:v>
      </x:c>
      <x:c r="C3" s="33" t="str">
        <x:v>Round-trip unit preservation state — managed by WellForge exchange automation</x:v>
      </x:c>
      <x:c r="D3" s="33" t="str">
        <x:v>Round-trip unit preservation state — managed by WellForge exchange automation</x:v>
      </x:c>
      <x:c r="E3" s="33" t="str">
        <x:v>Round-trip unit preservation state — managed by WellForge exchange automation</x:v>
      </x:c>
      <x:c r="F3" s="33" t="str">
        <x:v>Round-trip unit preservation state — managed by WellForge exchange automation</x:v>
      </x:c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40" t="str">
        <x:v>Pointer</x:v>
      </x:c>
      <x:c r="B5" s="40" t="str">
        <x:v>Original value</x:v>
      </x:c>
      <x:c r="C5" s="40" t="str">
        <x:v>Original unit</x:v>
      </x:c>
      <x:c r="D5" s="40" t="str">
        <x:v>Canonical value</x:v>
      </x:c>
      <x:c r="E5" s="40" t="str">
        <x:v>Destination</x:v>
      </x:c>
      <x:c r="F5" s="40" t="str">
        <x:v>Imported at</x:v>
      </x:c>
      <x:c r="G5" s="32"/>
      <x:c r="H5" s="32"/>
      <x:c r="I5" s="32"/>
      <x:c r="J5" s="32"/>
      <x:c r="K5" s="32"/>
      <x:c r="L5" s="32"/>
      <x:c r="M5" s="32"/>
      <x:c r="N5" s="32"/>
    </x:row>
  </x:sheetData>
  <x:sheetProtection sheet="1" objects="1" scenarios="1"/>
  <x:mergeCells>
    <x:mergeCell ref="A1:N1"/>
    <x:mergeCell ref="A3:F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Exchange Buffer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Office Script and desktop JSON exchange buffer</x:v>
      </x:c>
      <x:c r="B3" s="33" t="str">
        <x:v>Office Script and desktop JSON exchange buffer</x:v>
      </x:c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 ht="96" customHeight="1">
      <x:c r="A5" s="40" t="str">
        <x:v>Payload</x:v>
      </x:c>
      <x:c r="B5" s="42" t="str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40" t="str">
        <x:v>Action</x:v>
      </x:c>
      <x:c r="B6" s="43" t="str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40" t="str">
        <x:v>Status</x:v>
      </x:c>
      <x:c r="B7" s="44" t="str">
        <x:v>Ready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40" t="str">
        <x:v>Diagnostics</x:v>
      </x:c>
      <x:c r="B8" s="45" t="str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</x:sheetData>
  <x:mergeCells>
    <x:mergeCell ref="A1:N1"/>
    <x:mergeCell ref="A3:B3"/>
  </x:mergeCells>
  <x:pageMargins left="0.7" right="0.7" top="0.75" bottom="0.75" header="0.3" footer="0.3"/>
</x:worksheet>
</file>