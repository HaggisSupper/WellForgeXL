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drawings/charts/chart12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Id5"/>
    <x:sheet xmlns:r="http://schemas.openxmlformats.org/officeDocument/2006/relationships" name="Inputs" sheetId="2" r:id="rId16"/>
    <x:sheet xmlns:r="http://schemas.openxmlformats.org/officeDocument/2006/relationships" name="Survey" sheetId="3" r:id="rId19"/>
    <x:sheet xmlns:r="http://schemas.openxmlformats.org/officeDocument/2006/relationships" name="Results" sheetId="4" r:id="rId20"/>
    <x:sheet xmlns:r="http://schemas.openxmlformats.org/officeDocument/2006/relationships" name="Graphs" sheetId="5" r:id="rId21"/>
    <x:sheet xmlns:r="http://schemas.openxmlformats.org/officeDocument/2006/relationships" name="BHA Assembly" sheetId="6" r:id="rId22"/>
    <x:sheet xmlns:r="http://schemas.openxmlformats.org/officeDocument/2006/relationships" name="Vibration Modes" sheetId="7" r:id="rId23"/>
    <x:sheet xmlns:r="http://schemas.openxmlformats.org/officeDocument/2006/relationships" name="Bending Response" sheetId="8" r:id="rId24"/>
    <x:sheet xmlns:r="http://schemas.openxmlformats.org/officeDocument/2006/relationships" name="BHA Geometry View" sheetId="9" r:id="rId25"/>
    <x:sheet xmlns:r="http://schemas.openxmlformats.org/officeDocument/2006/relationships" name="Tendency Matrix" sheetId="10" r:id="rId6"/>
    <x:sheet xmlns:r="http://schemas.openxmlformats.org/officeDocument/2006/relationships" name="Polar Plot" sheetId="11" r:id="rId7"/>
    <x:sheet xmlns:r="http://schemas.openxmlformats.org/officeDocument/2006/relationships" name="Rust Engine" sheetId="12" r:id="rId8"/>
    <x:sheet xmlns:r="http://schemas.openxmlformats.org/officeDocument/2006/relationships" name="Rust Engine Results" sheetId="13" r:id="rId9"/>
    <x:sheet xmlns:r="http://schemas.openxmlformats.org/officeDocument/2006/relationships" name="Rust Calc" sheetId="14" r:id="rId10"/>
    <x:sheet xmlns:r="http://schemas.openxmlformats.org/officeDocument/2006/relationships" name="Chart Settings" sheetId="15" r:id="rId11"/>
    <x:sheet xmlns:r="http://schemas.openxmlformats.org/officeDocument/2006/relationships" name="Unit Map" sheetId="16" r:id="rId12"/>
    <x:sheet xmlns:r="http://schemas.openxmlformats.org/officeDocument/2006/relationships" name="Checks" sheetId="17" r:id="rId13"/>
    <x:sheet xmlns:r="http://schemas.openxmlformats.org/officeDocument/2006/relationships" name="Calc" sheetId="18" r:id="rId14" state="hidden"/>
    <x:sheet xmlns:r="http://schemas.openxmlformats.org/officeDocument/2006/relationships" name="Exchange Map" sheetId="19" r:id="rId15"/>
    <x:sheet xmlns:r="http://schemas.openxmlformats.org/officeDocument/2006/relationships" name="Exchange State" sheetId="20" r:id="rId17" state="hidden"/>
    <x:sheet xmlns:r="http://schemas.openxmlformats.org/officeDocument/2006/relationships" name="Exchange Buffer" sheetId="21" r:id="rI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000"/>
    <x:numFmt numFmtId="202" formatCode="0.000"/>
    <x:numFmt numFmtId="203" formatCode="#,##0.00;[Red]-#,##0.00"/>
  </x:numFmts>
  <x:fonts count="6">
    <x:font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i/>
      <x:sz val="11"/>
      <x:color rgb="FF1F2933"/>
      <x:name val="Carlito"/>
    </x:font>
    <x:font>
      <x:i/>
      <x:sz val="11"/>
      <x:color rgb="FF7C2D12"/>
      <x:name val="Carlito"/>
    </x:font>
    <x:font>
      <x:b/>
      <x:sz val="11"/>
      <x:color rgb="FF7C2D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CCFBF1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  <x:fill>
      <x:patternFill patternType="solid">
        <x:fgColor rgb="FFFFF4D6"/>
      </x:patternFill>
    </x:fill>
  </x:fills>
  <x:borders count="5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2" borderId="1" xfId="0" applyNumberFormat="1" applyFont="1" applyFill="1" applyBorder="1"/>
    <x:xf numFmtId="200" fontId="0" fillId="0" borderId="1" xfId="0" applyNumberFormat="1" applyFont="1" applyFill="1" applyBorder="1"/>
    <x:xf numFmtId="201" fontId="0" fillId="4" borderId="1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4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203" fontId="1" fillId="2" borderId="0" xfId="0" applyNumberFormat="1" applyFont="1" applyFill="1" applyBorder="1" applyAlignment="1">
      <x:alignment horizontal="left" vertical="center"/>
    </x:xf>
    <x:xf numFmtId="203" fontId="0" fillId="0" borderId="0" xfId="0" applyNumberFormat="1" applyFont="1" applyFill="1" applyBorder="1"/>
    <x:xf numFmtId="203" fontId="2" fillId="2" borderId="0" xfId="0" applyNumberFormat="1" applyFont="1" applyFill="1" applyBorder="1" applyAlignment="1">
      <x:alignment horizontal="left" vertical="center"/>
    </x:xf>
    <x:xf numFmtId="203" fontId="2" fillId="2" borderId="1" xfId="0" applyNumberFormat="1" applyFont="1" applyFill="1" applyBorder="1"/>
    <x:xf numFmtId="203" fontId="0" fillId="5" borderId="1" xfId="0" applyNumberFormat="1" applyFont="1" applyFill="1" applyBorder="1"/>
    <x:xf numFmtId="203" fontId="0" fillId="4" borderId="1" xfId="0" applyNumberFormat="1" applyFont="1" applyFill="1" applyBorder="1"/>
    <x:xf numFmtId="203" fontId="4" fillId="6" borderId="0" xfId="0" applyNumberFormat="1" applyFont="1" applyFill="1" applyBorder="1" applyAlignment="1">
      <x:alignment wrapText="1"/>
    </x:xf>
    <x:xf numFmtId="203" fontId="5" fillId="6" borderId="0" xfId="0" applyNumberFormat="1" applyFont="1" applyFill="1" applyBorder="1" applyAlignment="1">
      <x:alignment wrapText="1"/>
    </x:xf>
    <x:xf numFmtId="203" fontId="3" fillId="3" borderId="0" xfId="0" applyNumberFormat="1" applyFont="1" applyFill="1" applyBorder="1"/>
    <x:xf numFmtId="203" fontId="0" fillId="0" borderId="1" xfId="0" applyNumberFormat="1" applyFont="1" applyFill="1" applyBorder="1"/>
    <x:xf numFmtId="203" fontId="2" fillId="2" borderId="0" xfId="0" applyNumberFormat="1" applyFont="1" applyFill="1" applyBorder="1" applyAlignment="1">
      <x:alignment horizontal="left" vertical="center" wrapText="1"/>
    </x:xf>
    <x:xf numFmtId="203" fontId="2" fillId="2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4" borderId="2" xfId="0" applyNumberFormat="1" applyFont="1" applyFill="1" applyBorder="1" applyAlignment="1">
      <x:alignment wrapText="1"/>
    </x:xf>
    <x:xf numFmtId="203" fontId="0" fillId="4" borderId="4" xfId="0" applyNumberFormat="1" applyFont="1" applyFill="1" applyBorder="1" applyAlignment="1">
      <x:alignment wrapText="1"/>
    </x:xf>
    <x:xf numFmtId="203" fontId="0" fillId="5" borderId="2" xfId="0" applyNumberFormat="1" applyFont="1" applyFill="1" applyBorder="1" applyAlignment="1">
      <x:alignment wrapText="1"/>
    </x:xf>
    <x:xf numFmtId="203" fontId="0" fillId="5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microsoft.com/office/2022/11/relationships/FeaturePropertyBag" Target="/xl/featurePropertyBag/featurePropertyBag.xml" Id="rId1" /><Relationship Type="http://schemas.openxmlformats.org/officeDocument/2006/relationships/sharedStrings" Target="/xl/sharedStrings.xml" Id="rId2" /><Relationship Type="http://schemas.openxmlformats.org/officeDocument/2006/relationships/styles" Target="/xl/styles.xml" Id="rId3" /><Relationship Type="http://schemas.openxmlformats.org/officeDocument/2006/relationships/theme" Target="/xl/theme/theme1.xml" Id="rId4" /><Relationship Type="http://schemas.openxmlformats.org/officeDocument/2006/relationships/worksheet" Target="/xl/worksheets/sheet1.xml" Id="rId5" /><Relationship Type="http://schemas.openxmlformats.org/officeDocument/2006/relationships/worksheet" Target="/xl/worksheets/sheet10.xml" Id="rId6" /><Relationship Type="http://schemas.openxmlformats.org/officeDocument/2006/relationships/worksheet" Target="/xl/worksheets/sheet11.xml" Id="rId7" /><Relationship Type="http://schemas.openxmlformats.org/officeDocument/2006/relationships/worksheet" Target="/xl/worksheets/sheet12.xml" Id="rId8" /><Relationship Type="http://schemas.openxmlformats.org/officeDocument/2006/relationships/worksheet" Target="/xl/worksheets/sheet13.xml" Id="rId9" /><Relationship Type="http://schemas.openxmlformats.org/officeDocument/2006/relationships/worksheet" Target="/xl/worksheets/sheet14.xml" Id="rId10" /><Relationship Type="http://schemas.openxmlformats.org/officeDocument/2006/relationships/worksheet" Target="/xl/worksheets/sheet15.xml" Id="rId11" /><Relationship Type="http://schemas.openxmlformats.org/officeDocument/2006/relationships/worksheet" Target="/xl/worksheets/sheet16.xml" Id="rId12" /><Relationship Type="http://schemas.openxmlformats.org/officeDocument/2006/relationships/worksheet" Target="/xl/worksheets/sheet17.xml" Id="rId13" /><Relationship Type="http://schemas.openxmlformats.org/officeDocument/2006/relationships/worksheet" Target="/xl/worksheets/sheet18.xml" Id="rId14" /><Relationship Type="http://schemas.openxmlformats.org/officeDocument/2006/relationships/worksheet" Target="/xl/worksheets/sheet19.xml" Id="rId15" /><Relationship Type="http://schemas.openxmlformats.org/officeDocument/2006/relationships/worksheet" Target="/xl/worksheets/sheet2.xml" Id="rId16" /><Relationship Type="http://schemas.openxmlformats.org/officeDocument/2006/relationships/worksheet" Target="/xl/worksheets/sheet20.xml" Id="rId17" /><Relationship Type="http://schemas.openxmlformats.org/officeDocument/2006/relationships/worksheet" Target="/xl/worksheets/sheet21.xml" Id="rId18" /><Relationship Type="http://schemas.openxmlformats.org/officeDocument/2006/relationships/worksheet" Target="/xl/worksheets/sheet3.xml" Id="rId19" /><Relationship Type="http://schemas.openxmlformats.org/officeDocument/2006/relationships/worksheet" Target="/xl/worksheets/sheet4.xml" Id="rId20" /><Relationship Type="http://schemas.openxmlformats.org/officeDocument/2006/relationships/worksheet" Target="/xl/worksheets/sheet5.xml" Id="rId21" /><Relationship Type="http://schemas.openxmlformats.org/officeDocument/2006/relationships/worksheet" Target="/xl/worksheets/sheet6.xml" Id="rId22" /><Relationship Type="http://schemas.openxmlformats.org/officeDocument/2006/relationships/worksheet" Target="/xl/worksheets/sheet7.xml" Id="rId23" /><Relationship Type="http://schemas.openxmlformats.org/officeDocument/2006/relationships/worksheet" Target="/xl/worksheets/sheet8.xml" Id="rId24" /><Relationship Type="http://schemas.openxmlformats.org/officeDocument/2006/relationships/worksheet" Target="/xl/worksheets/sheet9.xml" Id="rId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Id1" /><Relationship Type="http://schemas.openxmlformats.org/officeDocument/2006/relationships/chart" Target="/xl/drawings/charts/chart2.xml" Id="rId2" /><Relationship Type="http://schemas.openxmlformats.org/officeDocument/2006/relationships/chart" Target="/xl/drawings/charts/chart3.xml" Id="rId3" /><Relationship Type="http://schemas.openxmlformats.org/officeDocument/2006/relationships/chart" Target="/xl/drawings/charts/chart4.xml" Id="rId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Id1" /><Relationship Type="http://schemas.openxmlformats.org/officeDocument/2006/relationships/chart" Target="/xl/drawings/charts/chart6.xml" Id="rId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Id1" /><Relationship Type="http://schemas.openxmlformats.org/officeDocument/2006/relationships/chart" Target="/xl/drawings/charts/chart7.xml" Id="rId2" /><Relationship Type="http://schemas.openxmlformats.org/officeDocument/2006/relationships/chart" Target="/xl/drawings/charts/chart8.xml" Id="rId3" /><Relationship Type="http://schemas.openxmlformats.org/officeDocument/2006/relationships/chart" Target="/xl/drawings/charts/chart9.xml" Id="rId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2.xml" Id="rId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Id1" /><Relationship Type="http://schemas.openxmlformats.org/officeDocument/2006/relationships/chart" Target="/xl/drawings/charts/chart14.xml" Id="rId2" /><Relationship Type="http://schemas.openxmlformats.org/officeDocument/2006/relationships/chart" Target="/xl/drawings/charts/chart15.xml" Id="rI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BHA first mode versus distance from bit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First mode Hz</c:v>
          </c:tx>
          <c:xVal>
            <c:numRef>
              <c:f>='Graphs'!$A$4:$A$9</c:f>
              <c:numCache>
                <c:formatCode>General</c:formatCode>
                <c:ptCount val="0"/>
              </c:numCache>
            </c:numRef>
          </c:xVal>
          <c:yVal>
            <c:numRef>
              <c:f>='Graphs'!$B$4:$B$9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Natural frequency (Hz)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Distance from bit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BHA bending stress versus distance from bit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Bending stress Pa</c:v>
          </c:tx>
          <c:xVal>
            <c:numRef>
              <c:f>='Graphs'!$D$4:$D$9</c:f>
              <c:numCache>
                <c:formatCode>General</c:formatCode>
                <c:ptCount val="0"/>
              </c:numCache>
            </c:numRef>
          </c:xVal>
          <c:yVal>
            <c:numRef>
              <c:f>='Graphs'!$E$4:$E$9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Bending stress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Distance from bit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Polar grid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Ring 25%</c:v>
          </c:tx>
          <c:cat>
            <c:strRef>
              <c:f>'Graphs'!$H$66:$H$77</c:f>
              <c:strCache>
                <c:ptCount val="0"/>
              </c:strCache>
            </c:strRef>
          </c:cat>
          <c:val>
            <c:numRef>
              <c:f>'Graphs'!$I$66:$I$77</c:f>
              <c:numCache>
                <c:formatCode>#,##0.00;[Red]-#,##0.00</c:formatCode>
                <c:ptCount val="0"/>
              </c:numCache>
            </c:numRef>
          </c:val>
        </c:ser>
        <c:ser>
          <c:idx val="1"/>
          <c:order val="1"/>
          <c:tx>
            <c:v>Ring 50%</c:v>
          </c:tx>
          <c:cat>
            <c:strRef>
              <c:f>'Graphs'!$H$66:$H$77</c:f>
              <c:strCache>
                <c:ptCount val="0"/>
              </c:strCache>
            </c:strRef>
          </c:cat>
          <c:val>
            <c:numRef>
              <c:f>'Graphs'!$J$66:$J$77</c:f>
              <c:numCache>
                <c:formatCode>#,##0.00;[Red]-#,##0.00</c:formatCode>
                <c:ptCount val="0"/>
              </c:numCache>
            </c:numRef>
          </c:val>
        </c:ser>
        <c:ser>
          <c:idx val="2"/>
          <c:order val="2"/>
          <c:tx>
            <c:v>Ring 75%</c:v>
          </c:tx>
          <c:cat>
            <c:strRef>
              <c:f>'Graphs'!$H$66:$H$77</c:f>
              <c:strCache>
                <c:ptCount val="0"/>
              </c:strCache>
            </c:strRef>
          </c:cat>
          <c:val>
            <c:numRef>
              <c:f>'Graphs'!$K$66:$K$77</c:f>
              <c:numCache>
                <c:formatCode>#,##0.00;[Red]-#,##0.00</c:formatCode>
                <c:ptCount val="0"/>
              </c:numCache>
            </c:numRef>
          </c:val>
        </c:ser>
        <c:ser>
          <c:idx val="3"/>
          <c:order val="3"/>
          <c:tx>
            <c:v>Ring 100%</c:v>
          </c:tx>
          <c:cat>
            <c:strRef>
              <c:f>'Graphs'!$H$66:$H$77</c:f>
              <c:strCache>
                <c:ptCount val="0"/>
              </c:strCache>
            </c:strRef>
          </c:cat>
          <c:val>
            <c:numRef>
              <c:f>'Graphs'!$L$66:$L$77</c:f>
              <c:numCache>
                <c:formatCode>#,##0.00;[Red]-#,##0.00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Toolface / WOB rose plot — true XY polar overlay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WOB 1</c:v>
          </c:tx>
          <c:spPr>
            <a:ln xmlns:a="http://schemas.openxmlformats.org/drawingml/2006/main">
              <a:solidFill>
                <a:srgbClr val="0F766E">
                  <a:alpha val="65000"/>
                </a:srgbClr>
              </a:solidFill>
            </a:ln>
          </c:spPr>
          <c:xVal>
            <c:numRef>
              <c:f>='Graphs'!$A$21:$A$33</c:f>
              <c:numCache>
                <c:formatCode>General</c:formatCode>
                <c:ptCount val="0"/>
              </c:numCache>
            </c:numRef>
          </c:xVal>
          <c:yVal>
            <c:numRef>
              <c:f>='Graphs'!$B$21:$B$33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WOB 2</c:v>
          </c:tx>
          <c:spPr>
            <a:ln xmlns:a="http://schemas.openxmlformats.org/drawingml/2006/main">
              <a:solidFill>
                <a:srgbClr val="D97706">
                  <a:alpha val="65000"/>
                </a:srgbClr>
              </a:solidFill>
            </a:ln>
          </c:spPr>
          <c:xVal>
            <c:numRef>
              <c:f>='Graphs'!$C$21:$C$33</c:f>
              <c:numCache>
                <c:formatCode>General</c:formatCode>
                <c:ptCount val="0"/>
              </c:numCache>
            </c:numRef>
          </c:xVal>
          <c:yVal>
            <c:numRef>
              <c:f>='Graphs'!$D$21:$D$33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North component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East component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Screening Campbell diagram — operational low-frequency modes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1× rotary</c:v>
          </c:tx>
          <c:spPr>
            <a:ln xmlns:a="http://schemas.openxmlformats.org/drawingml/2006/main">
              <a:solidFill>
                <a:srgbClr val="2563EB"/>
              </a:solidFill>
            </a:ln>
          </c:spPr>
          <c:xVal>
            <c:numRef>
              <c:f>='Vibration Modes'!$M$6:$M$15</c:f>
              <c:numCache>
                <c:formatCode>General</c:formatCode>
                <c:ptCount val="0"/>
              </c:numCache>
            </c:numRef>
          </c:xVal>
          <c:yVal>
            <c:numRef>
              <c:f>='Vibration Modes'!$N$6:$N$15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3× rotary</c:v>
          </c:tx>
          <c:spPr>
            <a:ln xmlns:a="http://schemas.openxmlformats.org/drawingml/2006/main">
              <a:solidFill>
                <a:srgbClr val="D97706"/>
              </a:solidFill>
            </a:ln>
          </c:spPr>
          <c:xVal>
            <c:numRef>
              <c:f>='Vibration Modes'!$M$6:$M$15</c:f>
              <c:numCache>
                <c:formatCode>General</c:formatCode>
                <c:ptCount val="0"/>
              </c:numCache>
            </c:numRef>
          </c:xVal>
          <c:yVal>
            <c:numRef>
              <c:f>='Vibration Modes'!$O$6:$O$15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5× rotary</c:v>
          </c:tx>
          <c:spPr>
            <a:ln xmlns:a="http://schemas.openxmlformats.org/drawingml/2006/main">
              <a:solidFill>
                <a:srgbClr val="DC2626"/>
              </a:solidFill>
            </a:ln>
          </c:spPr>
          <c:xVal>
            <c:numRef>
              <c:f>='Vibration Modes'!$M$6:$M$15</c:f>
              <c:numCache>
                <c:formatCode>General</c:formatCode>
                <c:ptCount val="0"/>
              </c:numCache>
            </c:numRef>
          </c:xVal>
          <c:yVal>
            <c:numRef>
              <c:f>='Vibration Modes'!$P$6:$P$15</c:f>
              <c:numCache>
                <c:formatCode>#,##0.00;[Red]-#,##0.00</c:formatCode>
                <c:ptCount val="0"/>
              </c:numCache>
            </c:numRef>
          </c:yVal>
        </c:ser>
        <c:ser>
          <c:idx val="3"/>
          <c:order val="3"/>
          <c:tx>
            <c:v>Motor / RSS first mode</c:v>
          </c:tx>
          <c:spPr>
            <a:ln xmlns:a="http://schemas.openxmlformats.org/drawingml/2006/main">
              <a:solidFill>
                <a:srgbClr val="0F766E"/>
              </a:solidFill>
            </a:ln>
          </c:spPr>
          <c:xVal>
            <c:numRef>
              <c:f>='Vibration Modes'!$M$6:$M$15</c:f>
              <c:numCache>
                <c:formatCode>General</c:formatCode>
                <c:ptCount val="0"/>
              </c:numCache>
            </c:numRef>
          </c:xVal>
          <c:yVal>
            <c:numRef>
              <c:f>='Vibration Modes'!$S$6:$S$15</c:f>
              <c:numCache>
                <c:formatCode>#,##0.00;[Red]-#,##0.00</c:formatCode>
                <c:ptCount val="0"/>
              </c:numCache>
            </c:numRef>
          </c:yVal>
        </c:ser>
        <c:ser>
          <c:idx val="4"/>
          <c:order val="4"/>
          <c:tx>
            <c:v>MWD / LWD first mode</c:v>
          </c:tx>
          <c:spPr>
            <a:ln xmlns:a="http://schemas.openxmlformats.org/drawingml/2006/main">
              <a:solidFill>
                <a:srgbClr val="7C3AED"/>
              </a:solidFill>
            </a:ln>
          </c:spPr>
          <c:xVal>
            <c:numRef>
              <c:f>='Vibration Modes'!$M$6:$M$15</c:f>
              <c:numCache>
                <c:formatCode>General</c:formatCode>
                <c:ptCount val="0"/>
              </c:numCache>
            </c:numRef>
          </c:xVal>
          <c:yVal>
            <c:numRef>
              <c:f>='Vibration Modes'!$T$6:$T$15</c:f>
              <c:numCache>
                <c:formatCode>#,##0.00;[Red]-#,##0.00</c:formatCode>
                <c:ptCount val="0"/>
              </c:numCache>
            </c:numRef>
          </c:yVal>
        </c:ser>
        <c:ser>
          <c:idx val="5"/>
          <c:order val="5"/>
          <c:tx>
            <c:v>Drill collar first mode</c:v>
          </c:tx>
          <c:spPr>
            <a:ln xmlns:a="http://schemas.openxmlformats.org/drawingml/2006/main">
              <a:solidFill>
                <a:srgbClr val="64748B"/>
              </a:solidFill>
            </a:ln>
          </c:spPr>
          <c:xVal>
            <c:numRef>
              <c:f>='Vibration Modes'!$M$6:$M$15</c:f>
              <c:numCache>
                <c:formatCode>General</c:formatCode>
                <c:ptCount val="0"/>
              </c:numCache>
            </c:numRef>
          </c:xVal>
          <c:yVal>
            <c:numRef>
              <c:f>='Vibration Modes'!$U$6:$U$15</c:f>
              <c:numCache>
                <c:formatCode>#,##0.00;[Red]-#,##0.00</c:formatCode>
                <c:ptCount val="0"/>
              </c:numCache>
            </c:numRef>
          </c:yVal>
        </c:ser>
        <c:ser>
          <c:idx val="6"/>
          <c:order val="6"/>
          <c:tx>
            <c:v>HWDP transition first mode</c:v>
          </c:tx>
          <c:spPr>
            <a:ln xmlns:a="http://schemas.openxmlformats.org/drawingml/2006/main">
              <a:solidFill>
                <a:srgbClr val="0891B2"/>
              </a:solidFill>
            </a:ln>
          </c:spPr>
          <c:xVal>
            <c:numRef>
              <c:f>='Vibration Modes'!$M$6:$M$15</c:f>
              <c:numCache>
                <c:formatCode>General</c:formatCode>
                <c:ptCount val="0"/>
              </c:numCache>
            </c:numRef>
          </c:xVal>
          <c:yVal>
            <c:numRef>
              <c:f>='Vibration Modes'!$V$6:$V$15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Frequency (Hz)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Rotary speed (RPM)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Component modal frequencies — low-frequency distance screening view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Mode 1</c:v>
          </c:tx>
          <c:spPr>
            <a:ln xmlns:a="http://schemas.openxmlformats.org/drawingml/2006/main">
              <a:solidFill>
                <a:srgbClr val="2563EB"/>
              </a:solidFill>
            </a:ln>
          </c:spPr>
          <c:xVal>
            <c:numRef>
              <c:f>='Vibration Modes'!$X$8:$X$11</c:f>
              <c:numCache>
                <c:formatCode>General</c:formatCode>
                <c:ptCount val="0"/>
              </c:numCache>
            </c:numRef>
          </c:xVal>
          <c:yVal>
            <c:numRef>
              <c:f>='Vibration Modes'!$Y$8:$Y$11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Mode 2</c:v>
          </c:tx>
          <c:spPr>
            <a:ln xmlns:a="http://schemas.openxmlformats.org/drawingml/2006/main">
              <a:solidFill>
                <a:srgbClr val="D97706"/>
              </a:solidFill>
            </a:ln>
          </c:spPr>
          <c:xVal>
            <c:numRef>
              <c:f>='Vibration Modes'!$X$8:$X$11</c:f>
              <c:numCache>
                <c:formatCode>General</c:formatCode>
                <c:ptCount val="0"/>
              </c:numCache>
            </c:numRef>
          </c:xVal>
          <c:yVal>
            <c:numRef>
              <c:f>='Vibration Modes'!$Z$8:$Z$11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Mode 3</c:v>
          </c:tx>
          <c:spPr>
            <a:ln xmlns:a="http://schemas.openxmlformats.org/drawingml/2006/main">
              <a:solidFill>
                <a:srgbClr val="0F766E"/>
              </a:solidFill>
            </a:ln>
          </c:spPr>
          <c:xVal>
            <c:numRef>
              <c:f>='Vibration Modes'!$X$8:$X$11</c:f>
              <c:numCache>
                <c:formatCode>General</c:formatCode>
                <c:ptCount val="0"/>
              </c:numCache>
            </c:numRef>
          </c:xVal>
          <c:yVal>
            <c:numRef>
              <c:f>='Vibration Modes'!$AA$8:$AA$11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Frequency (Hz)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Distance from bit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BHA geometry projection — hole, OD and ID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Hole high wall</c:v>
          </c:tx>
          <c:spPr>
            <a:ln xmlns:a="http://schemas.openxmlformats.org/drawingml/2006/main">
              <a:solidFill>
                <a:srgbClr val="334155"/>
              </a:solidFill>
            </a:ln>
          </c:spPr>
          <c:xVal>
            <c:numRef>
              <c:f>='Calc'!$Q$6:$Q$35</c:f>
              <c:numCache>
                <c:formatCode>General</c:formatCode>
                <c:ptCount val="0"/>
              </c:numCache>
            </c:numRef>
          </c:xVal>
          <c:yVal>
            <c:numRef>
              <c:f>='Calc'!$V$6:$V$35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Hole low wall</c:v>
          </c:tx>
          <c:spPr>
            <a:ln xmlns:a="http://schemas.openxmlformats.org/drawingml/2006/main">
              <a:solidFill>
                <a:srgbClr val="334155"/>
              </a:solidFill>
            </a:ln>
          </c:spPr>
          <c:xVal>
            <c:numRef>
              <c:f>='Calc'!$Q$6:$Q$35</c:f>
              <c:numCache>
                <c:formatCode>General</c:formatCode>
                <c:ptCount val="0"/>
              </c:numCache>
            </c:numRef>
          </c:xVal>
          <c:yVal>
            <c:numRef>
              <c:f>='Calc'!$W$6:$W$35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BHA OD high</c:v>
          </c:tx>
          <c:spPr>
            <a:ln xmlns:a="http://schemas.openxmlformats.org/drawingml/2006/main">
              <a:solidFill>
                <a:srgbClr val="D97706"/>
              </a:solidFill>
            </a:ln>
          </c:spPr>
          <c:xVal>
            <c:numRef>
              <c:f>='Calc'!$Q$6:$Q$35</c:f>
              <c:numCache>
                <c:formatCode>General</c:formatCode>
                <c:ptCount val="0"/>
              </c:numCache>
            </c:numRef>
          </c:xVal>
          <c:yVal>
            <c:numRef>
              <c:f>='Calc'!$X$6:$X$35</c:f>
              <c:numCache>
                <c:formatCode>#,##0.00;[Red]-#,##0.00</c:formatCode>
                <c:ptCount val="0"/>
              </c:numCache>
            </c:numRef>
          </c:yVal>
        </c:ser>
        <c:ser>
          <c:idx val="3"/>
          <c:order val="3"/>
          <c:tx>
            <c:v>BHA OD low</c:v>
          </c:tx>
          <c:spPr>
            <a:ln xmlns:a="http://schemas.openxmlformats.org/drawingml/2006/main">
              <a:solidFill>
                <a:srgbClr val="D97706"/>
              </a:solidFill>
            </a:ln>
          </c:spPr>
          <c:xVal>
            <c:numRef>
              <c:f>='Calc'!$Q$6:$Q$35</c:f>
              <c:numCache>
                <c:formatCode>General</c:formatCode>
                <c:ptCount val="0"/>
              </c:numCache>
            </c:numRef>
          </c:xVal>
          <c:yVal>
            <c:numRef>
              <c:f>='Calc'!$Y$6:$Y$35</c:f>
              <c:numCache>
                <c:formatCode>#,##0.00;[Red]-#,##0.00</c:formatCode>
                <c:ptCount val="0"/>
              </c:numCache>
            </c:numRef>
          </c:yVal>
        </c:ser>
        <c:ser>
          <c:idx val="4"/>
          <c:order val="4"/>
          <c:tx>
            <c:v>BHA ID high</c:v>
          </c:tx>
          <c:spPr>
            <a:ln xmlns:a="http://schemas.openxmlformats.org/drawingml/2006/main">
              <a:solidFill>
                <a:srgbClr val="0F766E"/>
              </a:solidFill>
            </a:ln>
          </c:spPr>
          <c:xVal>
            <c:numRef>
              <c:f>='Calc'!$Q$6:$Q$35</c:f>
              <c:numCache>
                <c:formatCode>General</c:formatCode>
                <c:ptCount val="0"/>
              </c:numCache>
            </c:numRef>
          </c:xVal>
          <c:yVal>
            <c:numRef>
              <c:f>='Calc'!$Z$6:$Z$35</c:f>
              <c:numCache>
                <c:formatCode>#,##0.00;[Red]-#,##0.00</c:formatCode>
                <c:ptCount val="0"/>
              </c:numCache>
            </c:numRef>
          </c:yVal>
        </c:ser>
        <c:ser>
          <c:idx val="5"/>
          <c:order val="5"/>
          <c:tx>
            <c:v>BHA ID low</c:v>
          </c:tx>
          <c:spPr>
            <a:ln xmlns:a="http://schemas.openxmlformats.org/drawingml/2006/main">
              <a:solidFill>
                <a:srgbClr val="0F766E"/>
              </a:solidFill>
            </a:ln>
          </c:spPr>
          <c:xVal>
            <c:numRef>
              <c:f>='Calc'!$Q$6:$Q$35</c:f>
              <c:numCache>
                <c:formatCode>General</c:formatCode>
                <c:ptCount val="0"/>
              </c:numCache>
            </c:numRef>
          </c:xVal>
          <c:yVal>
            <c:numRef>
              <c:f>='Calc'!$AA$6:$AA$35</c:f>
              <c:numCache>
                <c:formatCode>#,##0.00;[Red]-#,##0.00</c:formatCode>
                <c:ptCount val="0"/>
              </c:numCache>
            </c:numRef>
          </c:yVal>
        </c:ser>
        <c:ser>
          <c:idx val="6"/>
          <c:order val="6"/>
          <c:tx>
            <c:v>Estimated centreline</c:v>
          </c:tx>
          <c:spPr>
            <a:ln xmlns:a="http://schemas.openxmlformats.org/drawingml/2006/main">
              <a:solidFill>
                <a:srgbClr val="2563EB"/>
              </a:solidFill>
            </a:ln>
          </c:spPr>
          <c:xVal>
            <c:numRef>
              <c:f>='Calc'!$Q$6:$Q$35</c:f>
              <c:numCache>
                <c:formatCode>General</c:formatCode>
                <c:ptCount val="0"/>
              </c:numCache>
            </c:numRef>
          </c:xVal>
          <c:yVal>
            <c:numRef>
              <c:f>='Calc'!$U$6:$U$35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Projected lateral position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Distance from bit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Projected radial clearance — indication only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Projected radial clearance</c:v>
          </c:tx>
          <c:spPr>
            <a:ln xmlns:a="http://schemas.openxmlformats.org/drawingml/2006/main">
              <a:solidFill>
                <a:srgbClr val="0F766E"/>
              </a:solidFill>
            </a:ln>
          </c:spPr>
          <c:xVal>
            <c:numRef>
              <c:f>='Calc'!$Q$6:$Q$35</c:f>
              <c:numCache>
                <c:formatCode>General</c:formatCode>
                <c:ptCount val="0"/>
              </c:numCache>
            </c:numRef>
          </c:xVal>
          <c:yVal>
            <c:numRef>
              <c:f>='Calc'!$AB$6:$AB$35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Zero clearance</c:v>
          </c:tx>
          <c:spPr>
            <a:ln xmlns:a="http://schemas.openxmlformats.org/drawingml/2006/main">
              <a:solidFill>
                <a:srgbClr val="DC2626"/>
              </a:solidFill>
            </a:ln>
          </c:spPr>
          <c:xVal>
            <c:numRef>
              <c:f>='Calc'!$Q$6:$Q$35</c:f>
              <c:numCache>
                <c:formatCode>General</c:formatCode>
                <c:ptCount val="0"/>
              </c:numCache>
            </c:numRef>
          </c:xVal>
          <c:yVal>
            <c:numRef>
              <c:f>='Calc'!$AC$6:$AC$35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Radial clearance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Distance from bit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Bending moment versus distance from bit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Bending moment</c:v>
          </c:tx>
          <c:spPr>
            <a:ln xmlns:a="http://schemas.openxmlformats.org/drawingml/2006/main">
              <a:solidFill>
                <a:srgbClr val="D97706"/>
              </a:solidFill>
            </a:ln>
          </c:spPr>
          <c:xVal>
            <c:numRef>
              <c:f>='Calc'!$AE$6:$AE$35</c:f>
              <c:numCache>
                <c:formatCode>General</c:formatCode>
                <c:ptCount val="0"/>
              </c:numCache>
            </c:numRef>
          </c:xVal>
          <c:yVal>
            <c:numRef>
              <c:f>='Calc'!$AF$6:$AF$35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Bending moment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Distance from bit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Bending stress versus distance from bit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Bending stress</c:v>
          </c:tx>
          <c:spPr>
            <a:ln xmlns:a="http://schemas.openxmlformats.org/drawingml/2006/main">
              <a:solidFill>
                <a:srgbClr val="2563EB"/>
              </a:solidFill>
            </a:ln>
          </c:spPr>
          <c:xVal>
            <c:numRef>
              <c:f>='Calc'!$AE$6:$AE$35</c:f>
              <c:numCache>
                <c:formatCode>General</c:formatCode>
                <c:ptCount val="0"/>
              </c:numCache>
            </c:numRef>
          </c:xVal>
          <c:yVal>
            <c:numRef>
              <c:f>='Calc'!$AG$6:$AG$35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Screening limit</c:v>
          </c:tx>
          <c:spPr>
            <a:ln xmlns:a="http://schemas.openxmlformats.org/drawingml/2006/main">
              <a:solidFill>
                <a:srgbClr val="DC2626"/>
              </a:solidFill>
            </a:ln>
          </c:spPr>
          <c:xVal>
            <c:numRef>
              <c:f>='Calc'!$AE$6:$AE$35</c:f>
              <c:numCache>
                <c:formatCode>General</c:formatCode>
                <c:ptCount val="0"/>
              </c:numCache>
            </c:numRef>
          </c:xVal>
          <c:yVal>
            <c:numRef>
              <c:f>='Calc'!$AH$6:$AH$35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Bending stress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Distance from bit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WOB/toolface polar response</a:t>
            </a:r>
          </a:p>
        </c:rich>
      </c:tx>
      <c:overlay val="0"/>
    </c:title>
    <c:plotArea>
      <c:radarChart>
        <c:radarStyle val="standard"/>
        <c:ser>
          <c:idx val="0"/>
          <c:order val="0"/>
          <c:tx>
            <c:v>Ring 25%</c:v>
          </c:tx>
          <c:cat>
            <c:strRef>
              <c:f>'Polar Plot'!$H$6:$H$17</c:f>
              <c:strCache>
                <c:ptCount val="0"/>
              </c:strCache>
            </c:strRef>
          </c:cat>
          <c:val>
            <c:numRef>
              <c:f>'Polar Plot'!$I$6:$I$17</c:f>
              <c:numCache>
                <c:formatCode>#,##0.00;[Red]-#,##0.00</c:formatCode>
                <c:ptCount val="0"/>
              </c:numCache>
            </c:numRef>
          </c:val>
        </c:ser>
        <c:ser>
          <c:idx val="1"/>
          <c:order val="1"/>
          <c:tx>
            <c:v>Ring 50%</c:v>
          </c:tx>
          <c:cat>
            <c:strRef>
              <c:f>'Polar Plot'!$H$6:$H$17</c:f>
              <c:strCache>
                <c:ptCount val="0"/>
              </c:strCache>
            </c:strRef>
          </c:cat>
          <c:val>
            <c:numRef>
              <c:f>'Polar Plot'!$J$6:$J$17</c:f>
              <c:numCache>
                <c:formatCode>#,##0.00;[Red]-#,##0.00</c:formatCode>
                <c:ptCount val="0"/>
              </c:numCache>
            </c:numRef>
          </c:val>
        </c:ser>
        <c:ser>
          <c:idx val="2"/>
          <c:order val="2"/>
          <c:tx>
            <c:v>Ring 75%</c:v>
          </c:tx>
          <c:cat>
            <c:strRef>
              <c:f>'Polar Plot'!$H$6:$H$17</c:f>
              <c:strCache>
                <c:ptCount val="0"/>
              </c:strCache>
            </c:strRef>
          </c:cat>
          <c:val>
            <c:numRef>
              <c:f>'Polar Plot'!$K$6:$K$17</c:f>
              <c:numCache>
                <c:formatCode>#,##0.00;[Red]-#,##0.00</c:formatCode>
                <c:ptCount val="0"/>
              </c:numCache>
            </c:numRef>
          </c:val>
        </c:ser>
        <c:ser>
          <c:idx val="3"/>
          <c:order val="3"/>
          <c:tx>
            <c:v>Ring 100%</c:v>
          </c:tx>
          <c:cat>
            <c:strRef>
              <c:f>'Polar Plot'!$H$6:$H$17</c:f>
              <c:strCache>
                <c:ptCount val="0"/>
              </c:strCache>
            </c:strRef>
          </c:cat>
          <c:val>
            <c:numRef>
              <c:f>'Polar Plot'!$L$6:$L$17</c:f>
              <c:numCache>
                <c:formatCode>#,##0.00;[Red]-#,##0.00</c:formatCode>
                <c:ptCount val="0"/>
              </c:numCache>
            </c:numRef>
          </c:val>
        </c:ser>
        <c:axId val="148650112"/>
        <c:axId val="148672768"/>
      </c:radarChart>
      <c:scatterChart>
        <c:scatterStyle val="lineMarker"/>
        <c:ser>
          <c:idx val="0"/>
          <c:order val="0"/>
          <c:tx>
            <c:v>WOB 1</c:v>
          </c:tx>
          <c:spPr>
            <a:ln xmlns:a="http://schemas.openxmlformats.org/drawingml/2006/main">
              <a:solidFill>
                <a:srgbClr val="0F766E">
                  <a:alpha val="65000"/>
                </a:srgbClr>
              </a:solidFill>
            </a:ln>
          </c:spPr>
          <c:xVal>
            <c:numRef>
              <c:f>='Polar Plot'!$B$6:$B$18</c:f>
              <c:numCache>
                <c:formatCode>General</c:formatCode>
                <c:ptCount val="0"/>
              </c:numCache>
            </c:numRef>
          </c:xVal>
          <c:yVal>
            <c:numRef>
              <c:f>='Polar Plot'!$C$6:$C$18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WOB 2</c:v>
          </c:tx>
          <c:spPr>
            <a:ln xmlns:a="http://schemas.openxmlformats.org/drawingml/2006/main">
              <a:solidFill>
                <a:srgbClr val="D97706">
                  <a:alpha val="65000"/>
                </a:srgbClr>
              </a:solidFill>
            </a:ln>
          </c:spPr>
          <c:xVal>
            <c:numRef>
              <c:f>='Polar Plot'!$D$6:$D$18</c:f>
              <c:numCache>
                <c:formatCode>General</c:formatCode>
                <c:ptCount val="0"/>
              </c:numCache>
            </c:numRef>
          </c:xVal>
          <c:yVal>
            <c:numRef>
              <c:f>='Polar Plot'!$E$6:$E$18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North component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East component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  <c:catAx>
        <c:axId val="1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tickLblPos val="nextTo"/>
        <c:crossAx val="148672768"/>
      </c:catAx>
      <c:valAx>
        <c:axId val="1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;[Red]-#,##0.00" sourceLinked="0"/>
        <c:majorTickMark val="none"/>
        <c:minorTickMark val="none"/>
        <c:crossAx val="1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Rust static centreline and hole radius</a:t>
            </a:r>
          </a:p>
        </c:rich>
      </c:tx>
      <c:overlay val="0"/>
    </c:title>
    <c:plotArea>
      <c:scatterChart>
        <c:scatterStyle val="lineMarker"/>
        <c:ser>
          <c:idx val="0"/>
          <c:order val="0"/>
          <c:tx>
            <c:v>Hole high</c:v>
          </c:tx>
          <c:spPr>
            <a:ln xmlns:a="http://schemas.openxmlformats.org/drawingml/2006/main">
              <a:solidFill>
                <a:srgbClr val="334155"/>
              </a:solidFill>
            </a:ln>
          </c:spPr>
          <c:xVal>
            <c:numRef>
              <c:f>='Rust Calc'!$A$6:$A$30</c:f>
              <c:numCache>
                <c:formatCode>General</c:formatCode>
                <c:ptCount val="0"/>
              </c:numCache>
            </c:numRef>
          </c:xVal>
          <c:yVal>
            <c:numRef>
              <c:f>='Rust Calc'!$F$6:$F$30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Hole low</c:v>
          </c:tx>
          <c:spPr>
            <a:ln xmlns:a="http://schemas.openxmlformats.org/drawingml/2006/main">
              <a:solidFill>
                <a:srgbClr val="334155"/>
              </a:solidFill>
            </a:ln>
          </c:spPr>
          <c:xVal>
            <c:numRef>
              <c:f>='Rust Calc'!$A$6:$A$30</c:f>
              <c:numCache>
                <c:formatCode>General</c:formatCode>
                <c:ptCount val="0"/>
              </c:numCache>
            </c:numRef>
          </c:xVal>
          <c:yVal>
            <c:numRef>
              <c:f>='Rust Calc'!$K$6:$K$30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Centreline</c:v>
          </c:tx>
          <c:spPr>
            <a:ln xmlns:a="http://schemas.openxmlformats.org/drawingml/2006/main">
              <a:solidFill>
                <a:srgbClr val="2563EB"/>
              </a:solidFill>
            </a:ln>
          </c:spPr>
          <c:xVal>
            <c:numRef>
              <c:f>='Rust Calc'!$A$6:$A$30</c:f>
              <c:numCache>
                <c:formatCode>General</c:formatCode>
                <c:ptCount val="0"/>
              </c:numCache>
            </c:numRef>
          </c:xVal>
          <c:yVal>
            <c:numRef>
              <c:f>='Rust Calc'!$B$6:$B$30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axMin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Lateral position / radius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t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Rust lateral mode shapes — MD increases downward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Mode 1</c:v>
          </c:tx>
          <c:spPr>
            <a:ln xmlns:a="http://schemas.openxmlformats.org/drawingml/2006/main">
              <a:solidFill>
                <a:srgbClr val="2563EB"/>
              </a:solidFill>
            </a:ln>
          </c:spPr>
          <c:xVal>
            <c:numRef>
              <c:f>='Rust Calc'!$M$251:$M$275</c:f>
              <c:numCache>
                <c:formatCode>General</c:formatCode>
                <c:ptCount val="0"/>
              </c:numCache>
            </c:numRef>
          </c:xVal>
          <c:yVal>
            <c:numRef>
              <c:f>='Rust Calc'!$L$251:$L$275</c:f>
              <c:numCache>
                <c:formatCode>#,##0.00;[Red]-#,##0.00</c:formatCode>
                <c:ptCount val="0"/>
              </c:numCache>
            </c:numRef>
          </c:yVal>
        </c:ser>
        <c:ser>
          <c:idx val="1"/>
          <c:order val="1"/>
          <c:tx>
            <c:v>Mode 2</c:v>
          </c:tx>
          <c:spPr>
            <a:ln xmlns:a="http://schemas.openxmlformats.org/drawingml/2006/main">
              <a:solidFill>
                <a:srgbClr val="D97706"/>
              </a:solidFill>
            </a:ln>
          </c:spPr>
          <c:xVal>
            <c:numRef>
              <c:f>='Rust Calc'!$N$251:$N$275</c:f>
              <c:numCache>
                <c:formatCode>General</c:formatCode>
                <c:ptCount val="0"/>
              </c:numCache>
            </c:numRef>
          </c:xVal>
          <c:yVal>
            <c:numRef>
              <c:f>='Rust Calc'!$L$251:$L$275</c:f>
              <c:numCache>
                <c:formatCode>#,##0.00;[Red]-#,##0.00</c:formatCode>
                <c:ptCount val="0"/>
              </c:numCache>
            </c:numRef>
          </c:yVal>
        </c:ser>
        <c:ser>
          <c:idx val="2"/>
          <c:order val="2"/>
          <c:tx>
            <c:v>Mode 3</c:v>
          </c:tx>
          <c:spPr>
            <a:ln xmlns:a="http://schemas.openxmlformats.org/drawingml/2006/main">
              <a:solidFill>
                <a:srgbClr val="0F766E"/>
              </a:solidFill>
            </a:ln>
          </c:spPr>
          <c:xVal>
            <c:numRef>
              <c:f>='Rust Calc'!$O$251:$O$275</c:f>
              <c:numCache>
                <c:formatCode>General</c:formatCode>
                <c:ptCount val="0"/>
              </c:numCache>
            </c:numRef>
          </c:xVal>
          <c:yVal>
            <c:numRef>
              <c:f>='Rust Calc'!$L$251:$L$275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MD (m)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Normalized lateral amplitude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Direct frequency response — unit lateral force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Receptance</c:v>
          </c:tx>
          <c:spPr>
            <a:ln xmlns:a="http://schemas.openxmlformats.org/drawingml/2006/main">
              <a:solidFill>
                <a:srgbClr val="7C3AED"/>
              </a:solidFill>
            </a:ln>
          </c:spPr>
          <c:xVal>
            <c:numRef>
              <c:f>='Rust Calc'!$A$41:$A$200</c:f>
              <c:numCache>
                <c:formatCode>General</c:formatCode>
                <c:ptCount val="0"/>
              </c:numCache>
            </c:numRef>
          </c:xVal>
          <c:yVal>
            <c:numRef>
              <c:f>='Rust Calc'!$B$41:$B$200</c:f>
              <c:numCache>
                <c:formatCode>#,##0.00;[Red]-#,##0.00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Receptance (m/N)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Frequency (Hz)</a:t>
                </a:r>
              </a:p>
            </c:rich>
          </c:tx>
          <c:overlay val="0"/>
        </c:title>
        <c:numFmt formatCode="#,##0.00;[Red]-#,##0.00" sourceLinked="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  <xdr:twoCellAnchor>
    <xdr:from>
      <xdr:col>4</xdr:col>
      <xdr:colOff>0</xdr:colOff>
      <xdr:row>34</xdr:row>
      <xdr:rowOff>0</xdr:rowOff>
    </xdr:from>
    <xdr:to>
      <xdr:col>14</xdr:col>
      <xdr:colOff>0</xdr:colOff>
      <xdr:row>53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3"/>
        </a:graphicData>
      </a:graphic>
    </xdr:graphicFrame>
    <xdr:clientData/>
  </xdr:twoCellAnchor>
  <xdr:twoCellAnchor>
    <xdr:from>
      <xdr:col>4</xdr:col>
      <xdr:colOff>0</xdr:colOff>
      <xdr:row>34</xdr:row>
      <xdr:rowOff>0</xdr:rowOff>
    </xdr:from>
    <xdr:to>
      <xdr:col>14</xdr:col>
      <xdr:colOff>0</xdr:colOff>
      <xdr:row>53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17</xdr:row>
      <xdr:rowOff>0</xdr:rowOff>
    </xdr:from>
    <xdr:to>
      <xdr:col>22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23</xdr:col>
      <xdr:colOff>0</xdr:colOff>
      <xdr:row>17</xdr:row>
      <xdr:rowOff>0</xdr:rowOff>
    </xdr:from>
    <xdr:to>
      <xdr:col>33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3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4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6</xdr:col>
      <xdr:colOff>0</xdr:colOff>
      <xdr:row>19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5</xdr:col>
      <xdr:colOff>0</xdr:colOff>
      <xdr:row>40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Id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BHA Vibration, Bending and Drill-Ahead Tendency — SI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 t="str">
        <x:v>BHA decision summary</x:v>
      </x:c>
      <x:c r="B3" s="41" t="str">
        <x:v>BHA decision summary</x:v>
      </x:c>
      <x:c r="C3" s="41" t="str">
        <x:v>BHA decision summary</x:v>
      </x:c>
      <x:c r="D3" s="41" t="str">
        <x:v>BHA decision summary</x:v>
      </x:c>
      <x:c r="E3" s="41" t="str">
        <x:v>BHA decision summary</x:v>
      </x:c>
      <x:c r="F3" s="40"/>
      <x:c r="G3" s="40"/>
      <x:c r="H3" s="40"/>
      <x:c r="I3" s="40"/>
      <x:c r="J3" s="40"/>
      <x:c r="K3" s="40"/>
      <x:c r="L3" s="40"/>
      <x:c r="M3" s="40"/>
      <x:c r="N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42" t="str">
        <x:v>Metric</x:v>
      </x:c>
      <x:c r="B5" s="42" t="str">
        <x:v>Result</x:v>
      </x:c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</x:row>
    <x:row r="6">
      <x:c r="A6" s="43" t="str">
        <x:v>Lowest first mode Hz</x:v>
      </x:c>
      <x:c r="B6" s="43" t="n">
        <x:f>MIN(Results!B6:B11)</x:f>
        <x:v>0.023988077904446573</x:v>
      </x:c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>
      <x:c r="A7" s="43" t="str">
        <x:v>Peak bending stress Pa</x:v>
      </x:c>
      <x:c r="B7" s="43" t="n">
        <x:f>MAX(Results!C6:C11)</x:f>
        <x:v>2078499354.9197993</x:v>
      </x:c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>
      <x:c r="A8" s="43" t="str">
        <x:v>Vibration screening</x:v>
      </x:c>
      <x:c r="B8" s="43" t="str">
        <x:f>IF(COUNTIF(Calc!N6:N11,"REVIEW")&gt;0,"REVIEW","CLEAR")</x:f>
        <x:v>REVIEW</x:v>
      </x:c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</x:row>
  </x:sheetData>
  <x:mergeCells>
    <x:mergeCell ref="A1:N1"/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Inputs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 t="str">
        <x:v>SI BHA, operating and WOB/toolface-case inputs</x:v>
      </x:c>
      <x:c r="B3" s="41" t="str">
        <x:v>SI BHA, operating and WOB/toolface-case inputs</x:v>
      </x:c>
      <x:c r="C3" s="41" t="str">
        <x:v>SI BHA, operating and WOB/toolface-case inputs</x:v>
      </x:c>
      <x:c r="D3" s="41" t="str">
        <x:v>SI BHA, operating and WOB/toolface-case inputs</x:v>
      </x:c>
      <x:c r="E3" s="41" t="str">
        <x:v>SI BHA, operating and WOB/toolface-case inputs</x:v>
      </x:c>
      <x:c r="F3" s="41" t="str">
        <x:v>SI BHA, operating and WOB/toolface-case inputs</x:v>
      </x:c>
      <x:c r="G3" s="41" t="str">
        <x:v>SI BHA, operating and WOB/toolface-case inputs</x:v>
      </x:c>
      <x:c r="H3" s="41" t="str">
        <x:v>SI BHA, operating and WOB/toolface-case inputs</x:v>
      </x:c>
      <x:c r="I3" s="40"/>
      <x:c r="J3" s="40"/>
      <x:c r="K3" s="40"/>
      <x:c r="L3" s="40"/>
      <x:c r="M3" s="40"/>
      <x:c r="N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40" t="str">
        <x:v>RPM</x:v>
      </x:c>
      <x:c r="B5" s="44" t="n">
        <x:v>120</x:v>
      </x:c>
      <x:c r="C5" s="40"/>
      <x:c r="D5" s="42" t="str">
        <x:v>BHA component</x:v>
      </x:c>
      <x:c r="E5" s="42" t="str">
        <x:v>Length m</x:v>
      </x:c>
      <x:c r="F5" s="42" t="str">
        <x:v>OD m</x:v>
      </x:c>
      <x:c r="G5" s="42" t="str">
        <x:v>ID m</x:v>
      </x:c>
      <x:c r="H5" s="42" t="str">
        <x:v>Support factor</x:v>
      </x:c>
      <x:c r="I5" s="40" t="str">
        <x:v>Exchange record ID</x:v>
      </x:c>
      <x:c r="J5" s="40"/>
      <x:c r="K5" s="40"/>
      <x:c r="L5" s="40"/>
      <x:c r="M5" s="40"/>
      <x:c r="N5" s="40"/>
    </x:row>
    <x:row r="6">
      <x:c r="A6" s="40" t="str">
        <x:v>Flow rate m3/s</x:v>
      </x:c>
      <x:c r="B6" s="44" t="n">
        <x:v>0.044</x:v>
      </x:c>
      <x:c r="C6" s="40"/>
      <x:c r="D6" s="44" t="str">
        <x:v>Bit</x:v>
      </x:c>
      <x:c r="E6" s="44" t="n">
        <x:v>0.3</x:v>
      </x:c>
      <x:c r="F6" s="44" t="n">
        <x:v>0.216</x:v>
      </x:c>
      <x:c r="G6" s="44" t="n">
        <x:v>0.05</x:v>
      </x:c>
      <x:c r="H6" s="44" t="n">
        <x:v>1</x:v>
      </x:c>
      <x:c r="I6" s="40" t="str">
        <x:v>bha-bit</x:v>
      </x:c>
      <x:c r="J6" s="40"/>
      <x:c r="K6" s="40"/>
      <x:c r="L6" s="40"/>
      <x:c r="M6" s="40"/>
      <x:c r="N6" s="40"/>
    </x:row>
    <x:row r="7">
      <x:c r="A7" s="40" t="str">
        <x:v>Young modulus</x:v>
      </x:c>
      <x:c r="B7" s="44" t="n">
        <x:v>206.84271879504</x:v>
      </x:c>
      <x:c r="C7" s="44" t="str">
        <x:v>GPa</x:v>
      </x:c>
      <x:c r="D7" s="44" t="str">
        <x:v>Near-bit stabilizer</x:v>
      </x:c>
      <x:c r="E7" s="44" t="n">
        <x:v>1.5</x:v>
      </x:c>
      <x:c r="F7" s="44" t="n">
        <x:v>0.203</x:v>
      </x:c>
      <x:c r="G7" s="44" t="n">
        <x:v>0.07</x:v>
      </x:c>
      <x:c r="H7" s="44" t="n">
        <x:v>0.85</x:v>
      </x:c>
      <x:c r="I7" s="40" t="str">
        <x:v>bha-near-bit-stabilizer</x:v>
      </x:c>
      <x:c r="J7" s="40"/>
      <x:c r="K7" s="40"/>
      <x:c r="L7" s="40"/>
      <x:c r="M7" s="40"/>
      <x:c r="N7" s="40"/>
    </x:row>
    <x:row r="8">
      <x:c r="A8" s="40" t="str">
        <x:v>Steel density kg/m3</x:v>
      </x:c>
      <x:c r="B8" s="44" t="n">
        <x:v>7850</x:v>
      </x:c>
      <x:c r="C8" s="40"/>
      <x:c r="D8" s="44" t="str">
        <x:v>Motor / RSS</x:v>
      </x:c>
      <x:c r="E8" s="44" t="n">
        <x:v>8</x:v>
      </x:c>
      <x:c r="F8" s="44" t="n">
        <x:v>0.171</x:v>
      </x:c>
      <x:c r="G8" s="44" t="n">
        <x:v>0.057</x:v>
      </x:c>
      <x:c r="H8" s="44" t="n">
        <x:v>0.7</x:v>
      </x:c>
      <x:c r="I8" s="40" t="str">
        <x:v>bha-motor-rss</x:v>
      </x:c>
      <x:c r="J8" s="40"/>
      <x:c r="K8" s="40"/>
      <x:c r="L8" s="40"/>
      <x:c r="M8" s="40"/>
      <x:c r="N8" s="40"/>
    </x:row>
    <x:row r="9">
      <x:c r="A9" s="40" t="str">
        <x:v>WOB case 1 N</x:v>
      </x:c>
      <x:c r="B9" s="44" t="n">
        <x:v>80000</x:v>
      </x:c>
      <x:c r="C9" s="40"/>
      <x:c r="D9" s="44" t="str">
        <x:v>MWD / LWD</x:v>
      </x:c>
      <x:c r="E9" s="44" t="n">
        <x:v>12</x:v>
      </x:c>
      <x:c r="F9" s="44" t="n">
        <x:v>0.171</x:v>
      </x:c>
      <x:c r="G9" s="44" t="n">
        <x:v>0.057</x:v>
      </x:c>
      <x:c r="H9" s="44" t="n">
        <x:v>0.65</x:v>
      </x:c>
      <x:c r="I9" s="40" t="str">
        <x:v>bha-mwd-lwd</x:v>
      </x:c>
      <x:c r="J9" s="40"/>
      <x:c r="K9" s="40"/>
      <x:c r="L9" s="40"/>
      <x:c r="M9" s="40"/>
      <x:c r="N9" s="40"/>
    </x:row>
    <x:row r="10">
      <x:c r="A10" s="40" t="str">
        <x:v>WOB case 2 N</x:v>
      </x:c>
      <x:c r="B10" s="44" t="n">
        <x:v>120000</x:v>
      </x:c>
      <x:c r="C10" s="40"/>
      <x:c r="D10" s="44" t="str">
        <x:v>Drill collar</x:v>
      </x:c>
      <x:c r="E10" s="44" t="n">
        <x:v>90</x:v>
      </x:c>
      <x:c r="F10" s="44" t="n">
        <x:v>0.171</x:v>
      </x:c>
      <x:c r="G10" s="44" t="n">
        <x:v>0.071</x:v>
      </x:c>
      <x:c r="H10" s="44" t="n">
        <x:v>0.55</x:v>
      </x:c>
      <x:c r="I10" s="40" t="str">
        <x:v>bha-drill-collar</x:v>
      </x:c>
      <x:c r="J10" s="40"/>
      <x:c r="K10" s="40"/>
      <x:c r="L10" s="40"/>
      <x:c r="M10" s="40"/>
      <x:c r="N10" s="40"/>
    </x:row>
    <x:row r="11">
      <x:c r="A11" s="40" t="str">
        <x:v>Hole diameter m</x:v>
      </x:c>
      <x:c r="B11" s="44" t="n">
        <x:v>0.216</x:v>
      </x:c>
      <x:c r="C11" s="40" t="str">
        <x:v>Canonical SI</x:v>
      </x:c>
      <x:c r="D11" s="44" t="str">
        <x:v>HWDP transition</x:v>
      </x:c>
      <x:c r="E11" s="44" t="n">
        <x:v>60</x:v>
      </x:c>
      <x:c r="F11" s="44" t="n">
        <x:v>0.14</x:v>
      </x:c>
      <x:c r="G11" s="44" t="n">
        <x:v>0.076</x:v>
      </x:c>
      <x:c r="H11" s="44" t="n">
        <x:v>0.4</x:v>
      </x:c>
      <x:c r="I11" s="40" t="str">
        <x:v>bha-hwdp-transition</x:v>
      </x:c>
      <x:c r="J11" s="40"/>
      <x:c r="K11" s="40"/>
      <x:c r="L11" s="40"/>
      <x:c r="M11" s="40"/>
      <x:c r="N11" s="40"/>
    </x:row>
    <x:row r="12">
      <x:c r="A12" s="40" t="str">
        <x:v>Projection plane</x:v>
      </x:c>
      <x:c r="B12" s="44" t="str">
        <x:v>Highside</x:v>
      </x:c>
      <x:c r="C12" s="40" t="str">
        <x:v>Display sign</x:v>
      </x:c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</x:row>
    <x:row r="13">
      <x:c r="A13" s="40" t="str">
        <x:v>Deflection display scale</x:v>
      </x:c>
      <x:c r="B13" s="19" t="n">
        <x:v>0.001</x:v>
      </x:c>
      <x:c r="C13" s="40" t="str">
        <x:v>Dimensionless</x:v>
      </x:c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</x:row>
    <x:row r="14">
      <x:c r="A14" s="40" t="str">
        <x:v>Fluid density kg/m3</x:v>
      </x:c>
      <x:c r="B14" s="44" t="n">
        <x:v>1200</x:v>
      </x:c>
      <x:c r="C14" s="40" t="str">
        <x:v>Canonical SI</x:v>
      </x:c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</x:row>
    <x:row r="15">
      <x:c r="A15" s="40" t="str">
        <x:v>BHA inclination deg</x:v>
      </x:c>
      <x:c r="B15" s="44" t="n">
        <x:v>88.8</x:v>
      </x:c>
      <x:c r="C15" s="40" t="str">
        <x:v>WITSML trajectory projection</x:v>
      </x:c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</x:row>
  </x:sheetData>
  <x:mergeCells>
    <x:mergeCell ref="A1:N1"/>
    <x:mergeCell ref="A3:H3"/>
  </x:mergeCells>
  <x:dataValidations count="2">
    <x:dataValidation type="list" sqref="C7">
      <x:formula1>"GPa,MPa,Pa,Mpsi,psi"</x:formula1>
    </x:dataValidation>
    <x:dataValidation type="list" sqref="B12">
      <x:formula1>"Highside,Lowside"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Survey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Results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 t="str">
        <x:v>BHA response and toolface/WOB rose data</x:v>
      </x:c>
      <x:c r="B3" s="41" t="str">
        <x:v>BHA response and toolface/WOB rose data</x:v>
      </x:c>
      <x:c r="C3" s="41" t="str">
        <x:v>BHA response and toolface/WOB rose data</x:v>
      </x:c>
      <x:c r="D3" s="41" t="str">
        <x:v>BHA response and toolface/WOB rose data</x:v>
      </x:c>
      <x:c r="E3" s="41" t="str">
        <x:v>BHA response and toolface/WOB rose data</x:v>
      </x:c>
      <x:c r="F3" s="41" t="str">
        <x:v>BHA response and toolface/WOB rose data</x:v>
      </x:c>
      <x:c r="G3" s="41" t="str">
        <x:v>BHA response and toolface/WOB rose data</x:v>
      </x:c>
      <x:c r="H3" s="41" t="str">
        <x:v>BHA response and toolface/WOB rose data</x:v>
      </x:c>
      <x:c r="I3" s="41" t="str">
        <x:v>BHA response and toolface/WOB rose data</x:v>
      </x:c>
      <x:c r="J3" s="40"/>
      <x:c r="K3" s="40"/>
      <x:c r="L3" s="40"/>
      <x:c r="M3" s="40"/>
      <x:c r="N3" s="40"/>
    </x:row>
    <x:row r="4">
      <x:c r="A4" s="40"/>
      <x:c r="B4" s="40"/>
      <x:c r="C4" s="40" t="str">
        <x:f>'Unit Map'!$H$17</x:f>
        <x:v>Pa</x:v>
      </x:c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42" t="str">
        <x:v>Component</x:v>
      </x:c>
      <x:c r="B5" s="42" t="str">
        <x:v>First mode Hz</x:v>
      </x:c>
      <x:c r="C5" s="42" t="str">
        <x:v>Bending stress Pa</x:v>
      </x:c>
      <x:c r="D5" s="42" t="str">
        <x:v>WOB 1 tendency</x:v>
      </x:c>
      <x:c r="E5" s="42" t="str">
        <x:v>WOB 2 tendency</x:v>
      </x:c>
      <x:c r="F5" s="40" t="str">
        <x:v>Exchange record ID</x:v>
      </x:c>
      <x:c r="G5" s="42" t="str">
        <x:f>"Toolface "&amp;'Unit Map'!$H$18</x:f>
        <x:v>Toolface rad</x:v>
      </x:c>
      <x:c r="H5" s="42" t="str">
        <x:v>WOB 1 magnitude</x:v>
      </x:c>
      <x:c r="I5" s="42" t="str">
        <x:v>WOB 1 X</x:v>
      </x:c>
      <x:c r="J5" s="42" t="str">
        <x:v>WOB 1 Y</x:v>
      </x:c>
      <x:c r="K5" s="42" t="str">
        <x:v>WOB 2 magnitude</x:v>
      </x:c>
      <x:c r="L5" s="42" t="str">
        <x:v>WOB 2 X</x:v>
      </x:c>
      <x:c r="M5" s="42" t="str">
        <x:v>WOB 2 Y</x:v>
      </x:c>
      <x:c r="N5" s="40" t="str">
        <x:v>Exchange record ID</x:v>
      </x:c>
    </x:row>
    <x:row r="6">
      <x:c r="A6" s="43" t="str">
        <x:f>Calc!A6</x:f>
        <x:v>Bit</x:v>
      </x:c>
      <x:c r="B6" s="43" t="n">
        <x:f>Calc!I6</x:f>
        <x:v>3485.874984661293</x:v>
      </x:c>
      <x:c r="C6" s="43" t="n">
        <x:f>Calc!K6*'Unit Map'!$I$17</x:f>
        <x:v>6081894.004003528</x:v>
      </x:c>
      <x:c r="D6" s="43" t="n">
        <x:f>Calc!L6</x:f>
        <x:v>2.0419077487399114e-10</x:v>
      </x:c>
      <x:c r="E6" s="43" t="n">
        <x:f>Calc!M6</x:f>
        <x:v>3.062861623109867e-10</x:v>
      </x:c>
      <x:c r="F6" s="40" t="str">
        <x:f>Inputs!I6</x:f>
        <x:v>bha-bit</x:v>
      </x:c>
      <x:c r="G6" s="43" t="n">
        <x:f>0*'Unit Map'!$I$18</x:f>
        <x:v>0</x:v>
      </x:c>
      <x:c r="H6" s="43" t="n">
        <x:f>AVERAGE($D$6:$D$11)*(1+0.35*COS(G6/'Unit Map'!$I$18))</x:f>
        <x:v>0.01160090746249233</x:v>
      </x:c>
      <x:c r="I6" s="43" t="n">
        <x:f>H6*COS(G6/'Unit Map'!$I$18)</x:f>
        <x:v>0.01160090746249233</x:v>
      </x:c>
      <x:c r="J6" s="43" t="n">
        <x:f>H6*SIN(G6/'Unit Map'!$I$18)</x:f>
        <x:v>0</x:v>
      </x:c>
      <x:c r="K6" s="43" t="n">
        <x:f>AVERAGE($E$6:$E$11)*(1+0.35*COS(G6/'Unit Map'!$I$18))</x:f>
        <x:v>0.017401361193738495</x:v>
      </x:c>
      <x:c r="L6" s="43" t="n">
        <x:f>K6*COS(G6/'Unit Map'!$I$18)</x:f>
        <x:v>0.017401361193738495</x:v>
      </x:c>
      <x:c r="M6" s="43" t="n">
        <x:f>K6*SIN(G6/'Unit Map'!$I$18)</x:f>
        <x:v>0</x:v>
      </x:c>
      <x:c r="N6" s="40" t="str">
        <x:v>toolface-000deg</x:v>
      </x:c>
    </x:row>
    <x:row r="7">
      <x:c r="A7" s="43" t="str">
        <x:f>Calc!A7</x:f>
        <x:v>Near-bit stabilizer</x:v>
      </x:c>
      <x:c r="B7" s="43" t="n">
        <x:f>Calc!I7</x:f>
        <x:v>124.50472859284133</x:v>
      </x:c>
      <x:c r="C7" s="43" t="n">
        <x:f>Calc!K7*'Unit Map'!$I$17</x:f>
        <x:v>31494617.084358953</x:v>
      </x:c>
      <x:c r="D7" s="43" t="n">
        <x:f>Calc!L7</x:f>
        <x:v>3.8930813000450505e-8</x:v>
      </x:c>
      <x:c r="E7" s="43" t="n">
        <x:f>Calc!M7</x:f>
        <x:v>5.839621950067576e-8</x:v>
      </x:c>
      <x:c r="F7" s="40" t="str">
        <x:f>Inputs!I7</x:f>
        <x:v>bha-near-bit-stabilizer</x:v>
      </x:c>
      <x:c r="G7" s="43" t="n">
        <x:f>0.5235987755982988*'Unit Map'!$I$18</x:f>
        <x:v>0.5235987755982988</x:v>
      </x:c>
      <x:c r="H7" s="43" t="n">
        <x:f>AVERAGE($D$6:$D$11)*(1+0.35*COS(G7/'Unit Map'!$I$18))</x:f>
        <x:v>0.011197959749486756</x:v>
      </x:c>
      <x:c r="I7" s="43" t="n">
        <x:f>H7*COS(G7/'Unit Map'!$I$18)</x:f>
        <x:v>0.00969771761361116</x:v>
      </x:c>
      <x:c r="J7" s="43" t="n">
        <x:f>H7*SIN(G7/'Unit Map'!$I$18)</x:f>
        <x:v>0.005598979874743377</x:v>
      </x:c>
      <x:c r="K7" s="43" t="n">
        <x:f>AVERAGE($E$6:$E$11)*(1+0.35*COS(G7/'Unit Map'!$I$18))</x:f>
        <x:v>0.016796939624230133</x:v>
      </x:c>
      <x:c r="L7" s="43" t="n">
        <x:f>K7*COS(G7/'Unit Map'!$I$18)</x:f>
        <x:v>0.01454657642041674</x:v>
      </x:c>
      <x:c r="M7" s="43" t="n">
        <x:f>K7*SIN(G7/'Unit Map'!$I$18)</x:f>
        <x:v>0.008398469812115065</x:v>
      </x:c>
      <x:c r="N7" s="40" t="str">
        <x:v>toolface-030deg</x:v>
      </x:c>
    </x:row>
    <x:row r="8">
      <x:c r="A8" s="43" t="str">
        <x:f>Calc!A8</x:f>
        <x:v>Motor / RSS</x:v>
      </x:c>
      <x:c r="B8" s="43" t="n">
        <x:f>Calc!I8</x:f>
        <x:v>3.3343405276111335</x:v>
      </x:c>
      <x:c r="C8" s="43" t="n">
        <x:f>Calc!K8*'Unit Map'!$I$17</x:f>
        <x:v>231006834.5083316</x:v>
      </x:c>
      <x:c r="D8" s="43" t="n">
        <x:f>Calc!L8</x:f>
        <x:v>0.000014217430847937623</x:v>
      </x:c>
      <x:c r="E8" s="43" t="n">
        <x:f>Calc!M8</x:f>
        <x:v>0.000021326146271906438</x:v>
      </x:c>
      <x:c r="F8" s="40" t="str">
        <x:f>Inputs!I8</x:f>
        <x:v>bha-motor-rss</x:v>
      </x:c>
      <x:c r="G8" s="43" t="n">
        <x:f>1.0471975511965976*'Unit Map'!$I$18</x:f>
        <x:v>1.0471975511965976</x:v>
      </x:c>
      <x:c r="H8" s="43" t="n">
        <x:f>AVERAGE($D$6:$D$11)*(1+0.35*COS(G8/'Unit Map'!$I$18))</x:f>
        <x:v>0.010097086124761841</x:v>
      </x:c>
      <x:c r="I8" s="43" t="n">
        <x:f>H8*COS(G8/'Unit Map'!$I$18)</x:f>
        <x:v>0.0050485430623809216</x:v>
      </x:c>
      <x:c r="J8" s="43" t="n">
        <x:f>H8*SIN(G8/'Unit Map'!$I$18)</x:f>
        <x:v>0.008744333088243126</x:v>
      </x:c>
      <x:c r="K8" s="43" t="n">
        <x:f>AVERAGE($E$6:$E$11)*(1+0.35*COS(G8/'Unit Map'!$I$18))</x:f>
        <x:v>0.015145629187142764</x:v>
      </x:c>
      <x:c r="L8" s="43" t="n">
        <x:f>K8*COS(G8/'Unit Map'!$I$18)</x:f>
        <x:v>0.007572814593571384</x:v>
      </x:c>
      <x:c r="M8" s="43" t="n">
        <x:f>K8*SIN(G8/'Unit Map'!$I$18)</x:f>
        <x:v>0.01311649963236469</x:v>
      </x:c>
      <x:c r="N8" s="40" t="str">
        <x:v>toolface-060deg</x:v>
      </x:c>
    </x:row>
    <x:row r="9">
      <x:c r="A9" s="43" t="str">
        <x:f>Calc!A9</x:f>
        <x:v>MWD / LWD</x:v>
      </x:c>
      <x:c r="B9" s="43" t="n">
        <x:f>Calc!I9</x:f>
        <x:v>1.4280226350619194</x:v>
      </x:c>
      <x:c r="C9" s="43" t="n">
        <x:f>Calc!K9*'Unit Map'!$I$17</x:f>
        <x:v>321759519.49374765</x:v>
      </x:c>
      <x:c r="D9" s="43" t="n">
        <x:f>Calc!L9</x:f>
        <x:v>0.00005167489288961944</x:v>
      </x:c>
      <x:c r="E9" s="43" t="n">
        <x:f>Calc!M9</x:f>
        <x:v>0.00007751233933442917</x:v>
      </x:c>
      <x:c r="F9" s="40" t="str">
        <x:f>Inputs!I9</x:f>
        <x:v>bha-mwd-lwd</x:v>
      </x:c>
      <x:c r="G9" s="43" t="n">
        <x:f>1.5707963267948966*'Unit Map'!$I$18</x:f>
        <x:v>1.5707963267948966</x:v>
      </x:c>
      <x:c r="H9" s="43" t="n">
        <x:f>AVERAGE($D$6:$D$11)*(1+0.35*COS(G9/'Unit Map'!$I$18))</x:f>
        <x:v>0.008593264787031355</x:v>
      </x:c>
      <x:c r="I9" s="43" t="n">
        <x:f>H9*COS(G9/'Unit Map'!$I$18)</x:f>
        <x:v>5.261857107831805e-19</x:v>
      </x:c>
      <x:c r="J9" s="43" t="n">
        <x:f>H9*SIN(G9/'Unit Map'!$I$18)</x:f>
        <x:v>0.008593264787031355</x:v>
      </x:c>
      <x:c r="K9" s="43" t="n">
        <x:f>AVERAGE($E$6:$E$11)*(1+0.35*COS(G9/'Unit Map'!$I$18))</x:f>
        <x:v>0.012889897180547033</x:v>
      </x:c>
      <x:c r="L9" s="43" t="n">
        <x:f>K9*COS(G9/'Unit Map'!$I$18)</x:f>
        <x:v>7.892785661747708e-19</x:v>
      </x:c>
      <x:c r="M9" s="43" t="n">
        <x:f>K9*SIN(G9/'Unit Map'!$I$18)</x:f>
        <x:v>0.012889897180547033</x:v>
      </x:c>
      <x:c r="N9" s="40" t="str">
        <x:v>toolface-090deg</x:v>
      </x:c>
    </x:row>
    <x:row r="10">
      <x:c r="A10" s="43" t="str">
        <x:f>Calc!A10</x:f>
        <x:v>Drill collar</x:v>
      </x:c>
      <x:c r="B10" s="43" t="n">
        <x:f>Calc!I10</x:f>
        <x:v>0.023988077904446573</x:v>
      </x:c>
      <x:c r="C10" s="43" t="n">
        <x:f>Calc!K10*'Unit Map'!$I$17</x:f>
        <x:v>2078499354.9197993</x:v>
      </x:c>
      <x:c r="D10" s="43" t="n">
        <x:f>Calc!L10</x:f>
        <x:v>0.026225388804809274</x:v>
      </x:c>
      <x:c r="E10" s="43" t="n">
        <x:f>Calc!M10</x:f>
        <x:v>0.039338083207213916</x:v>
      </x:c>
      <x:c r="F10" s="40" t="str">
        <x:f>Inputs!I10</x:f>
        <x:v>bha-drill-collar</x:v>
      </x:c>
      <x:c r="G10" s="43" t="n">
        <x:f>2.0943951023931953*'Unit Map'!$I$18</x:f>
        <x:v>2.0943951023931953</x:v>
      </x:c>
      <x:c r="H10" s="43" t="n">
        <x:f>AVERAGE($D$6:$D$11)*(1+0.35*COS(G10/'Unit Map'!$I$18))</x:f>
        <x:v>0.007089443449300868</x:v>
      </x:c>
      <x:c r="I10" s="43" t="n">
        <x:f>H10*COS(G10/'Unit Map'!$I$18)</x:f>
        <x:v>-0.0035447217246504324</x:v>
      </x:c>
      <x:c r="J10" s="43" t="n">
        <x:f>H10*SIN(G10/'Unit Map'!$I$18)</x:f>
        <x:v>0.0061396381257877285</x:v>
      </x:c>
      <x:c r="K10" s="43" t="n">
        <x:f>AVERAGE($E$6:$E$11)*(1+0.35*COS(G10/'Unit Map'!$I$18))</x:f>
        <x:v>0.010634165173951302</x:v>
      </x:c>
      <x:c r="L10" s="43" t="n">
        <x:f>K10*COS(G10/'Unit Map'!$I$18)</x:f>
        <x:v>-0.0053170825869756485</x:v>
      </x:c>
      <x:c r="M10" s="43" t="n">
        <x:f>K10*SIN(G10/'Unit Map'!$I$18)</x:f>
        <x:v>0.009209457188681592</x:v>
      </x:c>
      <x:c r="N10" s="40" t="str">
        <x:v>toolface-120deg</x:v>
      </x:c>
    </x:row>
    <x:row r="11">
      <x:c r="A11" s="43" t="str">
        <x:f>Calc!A11</x:f>
        <x:v>HWDP transition</x:v>
      </x:c>
      <x:c r="B11" s="43" t="n">
        <x:f>Calc!I11</x:f>
        <x:v>0.03960090647511852</x:v>
      </x:c>
      <x:c r="C11" s="43" t="n">
        <x:f>Calc!K11*'Unit Map'!$I$17</x:f>
        <x:v>1951248076.2982817</x:v>
      </x:c>
      <x:c r="D11" s="43" t="n">
        <x:f>Calc!L11</x:f>
        <x:v>0.025268268458637527</x:v>
      </x:c>
      <x:c r="E11" s="43" t="n">
        <x:f>Calc!M11</x:f>
        <x:v>0.03790240268795629</x:v>
      </x:c>
      <x:c r="F11" s="40" t="str">
        <x:f>Inputs!I11</x:f>
        <x:v>bha-hwdp-transition</x:v>
      </x:c>
      <x:c r="G11" s="43" t="n">
        <x:f>2.6179938779914944*'Unit Map'!$I$18</x:f>
        <x:v>2.6179938779914944</x:v>
      </x:c>
      <x:c r="H11" s="43" t="n">
        <x:f>AVERAGE($D$6:$D$11)*(1+0.35*COS(G11/'Unit Map'!$I$18))</x:f>
        <x:v>0.005988569824575955</x:v>
      </x:c>
      <x:c r="I11" s="43" t="n">
        <x:f>H11*COS(G11/'Unit Map'!$I$18)</x:f>
        <x:v>-0.005186253600419697</x:v>
      </x:c>
      <x:c r="J11" s="43" t="n">
        <x:f>H11*SIN(G11/'Unit Map'!$I$18)</x:f>
        <x:v>0.002994284912287977</x:v>
      </x:c>
      <x:c r="K11" s="43" t="n">
        <x:f>AVERAGE($E$6:$E$11)*(1+0.35*COS(G11/'Unit Map'!$I$18))</x:f>
        <x:v>0.008982854736863933</x:v>
      </x:c>
      <x:c r="L11" s="43" t="n">
        <x:f>K11*COS(G11/'Unit Map'!$I$18)</x:f>
        <x:v>-0.007779380400629546</x:v>
      </x:c>
      <x:c r="M11" s="43" t="n">
        <x:f>K11*SIN(G11/'Unit Map'!$I$18)</x:f>
        <x:v>0.004491427368431966</x:v>
      </x:c>
      <x:c r="N11" s="40" t="str">
        <x:v>toolface-150deg</x:v>
      </x:c>
    </x:row>
    <x:row r="12">
      <x:c r="A12" s="40"/>
      <x:c r="B12" s="40"/>
      <x:c r="C12" s="40"/>
      <x:c r="D12" s="40"/>
      <x:c r="E12" s="40"/>
      <x:c r="F12" s="40"/>
      <x:c r="G12" s="43" t="n">
        <x:f>3.141592653589793*'Unit Map'!$I$18</x:f>
        <x:v>3.141592653589793</x:v>
      </x:c>
      <x:c r="H12" s="43" t="n">
        <x:f>AVERAGE($D$6:$D$11)*(1+0.35*COS(G12/'Unit Map'!$I$18))</x:f>
        <x:v>0.005585622111570381</x:v>
      </x:c>
      <x:c r="I12" s="43" t="n">
        <x:f>H12*COS(G12/'Unit Map'!$I$18)</x:f>
        <x:v>-0.005585622111570381</x:v>
      </x:c>
      <x:c r="J12" s="43" t="n">
        <x:f>H12*SIN(G12/'Unit Map'!$I$18)</x:f>
        <x:v>6.840414240181346e-19</x:v>
      </x:c>
      <x:c r="K12" s="43" t="n">
        <x:f>AVERAGE($E$6:$E$11)*(1+0.35*COS(G12/'Unit Map'!$I$18))</x:f>
        <x:v>0.008378433167355571</x:v>
      </x:c>
      <x:c r="L12" s="43" t="n">
        <x:f>K12*COS(G12/'Unit Map'!$I$18)</x:f>
        <x:v>-0.008378433167355571</x:v>
      </x:c>
      <x:c r="M12" s="43" t="n">
        <x:f>K12*SIN(G12/'Unit Map'!$I$18)</x:f>
        <x:v>1.026062136027202e-18</x:v>
      </x:c>
      <x:c r="N12" s="40" t="str">
        <x:v>toolface-180deg</x:v>
      </x:c>
    </x:row>
    <x:row r="13">
      <x:c r="A13" s="40"/>
      <x:c r="B13" s="40"/>
      <x:c r="C13" s="40"/>
      <x:c r="D13" s="40"/>
      <x:c r="E13" s="40"/>
      <x:c r="F13" s="40"/>
      <x:c r="G13" s="43" t="n">
        <x:f>3.665191429188092*'Unit Map'!$I$18</x:f>
        <x:v>3.665191429188092</x:v>
      </x:c>
      <x:c r="H13" s="43" t="n">
        <x:f>AVERAGE($D$6:$D$11)*(1+0.35*COS(G13/'Unit Map'!$I$18))</x:f>
        <x:v>0.005988569824575955</x:v>
      </x:c>
      <x:c r="I13" s="43" t="n">
        <x:f>H13*COS(G13/'Unit Map'!$I$18)</x:f>
        <x:v>-0.0051862536004196975</x:v>
      </x:c>
      <x:c r="J13" s="43" t="n">
        <x:f>H13*SIN(G13/'Unit Map'!$I$18)</x:f>
        <x:v>-0.002994284912287976</x:v>
      </x:c>
      <x:c r="K13" s="43" t="n">
        <x:f>AVERAGE($E$6:$E$11)*(1+0.35*COS(G13/'Unit Map'!$I$18))</x:f>
        <x:v>0.008982854736863933</x:v>
      </x:c>
      <x:c r="L13" s="43" t="n">
        <x:f>K13*COS(G13/'Unit Map'!$I$18)</x:f>
        <x:v>-0.007779380400629547</x:v>
      </x:c>
      <x:c r="M13" s="43" t="n">
        <x:f>K13*SIN(G13/'Unit Map'!$I$18)</x:f>
        <x:v>-0.004491427368431964</x:v>
      </x:c>
      <x:c r="N13" s="40" t="str">
        <x:v>toolface-210deg</x:v>
      </x:c>
    </x:row>
    <x:row r="14">
      <x:c r="A14" s="40"/>
      <x:c r="B14" s="40"/>
      <x:c r="C14" s="40"/>
      <x:c r="D14" s="40"/>
      <x:c r="E14" s="40"/>
      <x:c r="F14" s="40"/>
      <x:c r="G14" s="43" t="n">
        <x:f>4.1887902047863905*'Unit Map'!$I$18</x:f>
        <x:v>4.1887902047863905</x:v>
      </x:c>
      <x:c r="H14" s="43" t="n">
        <x:f>AVERAGE($D$6:$D$11)*(1+0.35*COS(G14/'Unit Map'!$I$18))</x:f>
        <x:v>0.0070894434493008664</x:v>
      </x:c>
      <x:c r="I14" s="43" t="n">
        <x:f>H14*COS(G14/'Unit Map'!$I$18)</x:f>
        <x:v>-0.0035447217246504363</x:v>
      </x:c>
      <x:c r="J14" s="43" t="n">
        <x:f>H14*SIN(G14/'Unit Map'!$I$18)</x:f>
        <x:v>-0.006139638125787725</x:v>
      </x:c>
      <x:c r="K14" s="43" t="n">
        <x:f>AVERAGE($E$6:$E$11)*(1+0.35*COS(G14/'Unit Map'!$I$18))</x:f>
        <x:v>0.0106341651739513</x:v>
      </x:c>
      <x:c r="L14" s="43" t="n">
        <x:f>K14*COS(G14/'Unit Map'!$I$18)</x:f>
        <x:v>-0.005317082586975655</x:v>
      </x:c>
      <x:c r="M14" s="43" t="n">
        <x:f>K14*SIN(G14/'Unit Map'!$I$18)</x:f>
        <x:v>-0.009209457188681588</x:v>
      </x:c>
      <x:c r="N14" s="40" t="str">
        <x:v>toolface-240deg</x:v>
      </x:c>
    </x:row>
    <x:row r="15">
      <x:c r="A15" s="40"/>
      <x:c r="B15" s="40"/>
      <x:c r="C15" s="40"/>
      <x:c r="D15" s="40"/>
      <x:c r="E15" s="40"/>
      <x:c r="F15" s="40"/>
      <x:c r="G15" s="43" t="n">
        <x:f>4.71238898038469*'Unit Map'!$I$18</x:f>
        <x:v>4.71238898038469</x:v>
      </x:c>
      <x:c r="H15" s="43" t="n">
        <x:f>AVERAGE($D$6:$D$11)*(1+0.35*COS(G15/'Unit Map'!$I$18))</x:f>
        <x:v>0.008593264787031353</x:v>
      </x:c>
      <x:c r="I15" s="43" t="n">
        <x:f>H15*COS(G15/'Unit Map'!$I$18)</x:f>
        <x:v>-1.5785571323495412e-18</x:v>
      </x:c>
      <x:c r="J15" s="43" t="n">
        <x:f>H15*SIN(G15/'Unit Map'!$I$18)</x:f>
        <x:v>-0.008593264787031353</x:v>
      </x:c>
      <x:c r="K15" s="43" t="n">
        <x:f>AVERAGE($E$6:$E$11)*(1+0.35*COS(G15/'Unit Map'!$I$18))</x:f>
        <x:v>0.012889897180547031</x:v>
      </x:c>
      <x:c r="L15" s="43" t="n">
        <x:f>K15*COS(G15/'Unit Map'!$I$18)</x:f>
        <x:v>-2.367835698524312e-18</x:v>
      </x:c>
      <x:c r="M15" s="43" t="n">
        <x:f>K15*SIN(G15/'Unit Map'!$I$18)</x:f>
        <x:v>-0.012889897180547031</x:v>
      </x:c>
      <x:c r="N15" s="40" t="str">
        <x:v>toolface-270deg</x:v>
      </x:c>
    </x:row>
    <x:row r="16">
      <x:c r="A16" s="40"/>
      <x:c r="B16" s="40"/>
      <x:c r="C16" s="40"/>
      <x:c r="D16" s="40"/>
      <x:c r="E16" s="40"/>
      <x:c r="F16" s="40"/>
      <x:c r="G16" s="43" t="n">
        <x:f>5.235987755982989*'Unit Map'!$I$18</x:f>
        <x:v>5.235987755982989</x:v>
      </x:c>
      <x:c r="H16" s="43" t="n">
        <x:f>AVERAGE($D$6:$D$11)*(1+0.35*COS(G16/'Unit Map'!$I$18))</x:f>
        <x:v>0.010097086124761841</x:v>
      </x:c>
      <x:c r="I16" s="43" t="n">
        <x:f>H16*COS(G16/'Unit Map'!$I$18)</x:f>
        <x:v>0.0050485430623809216</x:v>
      </x:c>
      <x:c r="J16" s="43" t="n">
        <x:f>H16*SIN(G16/'Unit Map'!$I$18)</x:f>
        <x:v>-0.008744333088243126</x:v>
      </x:c>
      <x:c r="K16" s="43" t="n">
        <x:f>AVERAGE($E$6:$E$11)*(1+0.35*COS(G16/'Unit Map'!$I$18))</x:f>
        <x:v>0.015145629187142764</x:v>
      </x:c>
      <x:c r="L16" s="43" t="n">
        <x:f>K16*COS(G16/'Unit Map'!$I$18)</x:f>
        <x:v>0.007572814593571384</x:v>
      </x:c>
      <x:c r="M16" s="43" t="n">
        <x:f>K16*SIN(G16/'Unit Map'!$I$18)</x:f>
        <x:v>-0.01311649963236469</x:v>
      </x:c>
      <x:c r="N16" s="40" t="str">
        <x:v>toolface-300deg</x:v>
      </x:c>
    </x:row>
    <x:row r="17">
      <x:c r="A17" s="40"/>
      <x:c r="B17" s="40"/>
      <x:c r="C17" s="40"/>
      <x:c r="D17" s="40"/>
      <x:c r="E17" s="40"/>
      <x:c r="F17" s="40"/>
      <x:c r="G17" s="43" t="n">
        <x:f>5.759586531581287*'Unit Map'!$I$18</x:f>
        <x:v>5.759586531581287</x:v>
      </x:c>
      <x:c r="H17" s="43" t="n">
        <x:f>AVERAGE($D$6:$D$11)*(1+0.35*COS(G17/'Unit Map'!$I$18))</x:f>
        <x:v>0.011197959749486754</x:v>
      </x:c>
      <x:c r="I17" s="43" t="n">
        <x:f>H17*COS(G17/'Unit Map'!$I$18)</x:f>
        <x:v>0.009697717613611155</x:v>
      </x:c>
      <x:c r="J17" s="43" t="n">
        <x:f>H17*SIN(G17/'Unit Map'!$I$18)</x:f>
        <x:v>-0.005598979874743382</x:v>
      </x:c>
      <x:c r="K17" s="43" t="n">
        <x:f>AVERAGE($E$6:$E$11)*(1+0.35*COS(G17/'Unit Map'!$I$18))</x:f>
        <x:v>0.01679693962423013</x:v>
      </x:c>
      <x:c r="L17" s="43" t="n">
        <x:f>K17*COS(G17/'Unit Map'!$I$18)</x:f>
        <x:v>0.014546576420416731</x:v>
      </x:c>
      <x:c r="M17" s="43" t="n">
        <x:f>K17*SIN(G17/'Unit Map'!$I$18)</x:f>
        <x:v>-0.008398469812115072</x:v>
      </x:c>
      <x:c r="N17" s="40" t="str">
        <x:v>toolface-330deg</x:v>
      </x:c>
    </x:row>
  </x:sheetData>
  <x:mergeCells>
    <x:mergeCell ref="A1:N1"/>
    <x:mergeCell ref="A3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4" hidden="0" customWidth="1"/>
    <x:col min="5" max="5" width="2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Graphs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0" t="str">
        <x:f>"Distance from bit "&amp;'Unit Map'!$H$8</x:f>
        <x:v>Distance from bit m</x:v>
      </x:c>
      <x:c r="B3" s="40" t="str">
        <x:v>First mode Hz</x:v>
      </x:c>
      <x:c r="C3" s="40" t="str">
        <x:f>"Bending stress "&amp;'Unit Map'!$H$17</x:f>
        <x:v>Bending stress Pa</x:v>
      </x:c>
      <x:c r="D3" s="40" t="str">
        <x:f>"Distance from bit "&amp;'Unit Map'!$H$8</x:f>
        <x:v>Distance from bit m</x:v>
      </x:c>
      <x:c r="E3" s="40" t="str">
        <x:f>"Bending stress "&amp;'Unit Map'!$H$17</x:f>
        <x:v>Bending stress Pa</x:v>
      </x:c>
      <x:c r="F3" s="40"/>
      <x:c r="G3" s="40"/>
      <x:c r="H3" s="40"/>
      <x:c r="I3" s="40"/>
      <x:c r="J3" s="40"/>
      <x:c r="K3" s="40"/>
      <x:c r="L3" s="40"/>
      <x:c r="M3" s="40"/>
      <x:c r="N3" s="40"/>
    </x:row>
    <x:row r="4">
      <x:c r="A4" s="40" t="n">
        <x:f>('BHA Assembly'!C6+'BHA Assembly'!D6)/2</x:f>
        <x:v>0.15</x:v>
      </x:c>
      <x:c r="B4" s="40" t="n">
        <x:f>Results!B6</x:f>
        <x:v>3485.874984661293</x:v>
      </x:c>
      <x:c r="C4" s="40" t="n">
        <x:f>Calc!K6*'Unit Map'!$I$17</x:f>
        <x:v>6081894.004003528</x:v>
      </x:c>
      <x:c r="D4" s="40" t="n">
        <x:f>('BHA Assembly'!C6+'BHA Assembly'!D6)/2</x:f>
        <x:v>0.15</x:v>
      </x:c>
      <x:c r="E4" s="40" t="n">
        <x:f>Calc!K6*'Unit Map'!$I$17</x:f>
        <x:v>6081894.004003528</x:v>
      </x:c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40" t="n">
        <x:f>('BHA Assembly'!C7+'BHA Assembly'!D7)/2</x:f>
        <x:v>1.05</x:v>
      </x:c>
      <x:c r="B5" s="40" t="n">
        <x:f>Results!B7</x:f>
        <x:v>124.50472859284133</x:v>
      </x:c>
      <x:c r="C5" s="40" t="n">
        <x:f>Calc!K7*'Unit Map'!$I$17</x:f>
        <x:v>31494617.084358953</x:v>
      </x:c>
      <x:c r="D5" s="40" t="n">
        <x:f>('BHA Assembly'!C7+'BHA Assembly'!D7)/2</x:f>
        <x:v>1.05</x:v>
      </x:c>
      <x:c r="E5" s="40" t="n">
        <x:f>Calc!K7*'Unit Map'!$I$17</x:f>
        <x:v>31494617.084358953</x:v>
      </x:c>
      <x:c r="F5" s="40"/>
      <x:c r="G5" s="40"/>
      <x:c r="H5" s="40"/>
      <x:c r="I5" s="40"/>
      <x:c r="J5" s="40"/>
      <x:c r="K5" s="40"/>
      <x:c r="L5" s="40"/>
      <x:c r="M5" s="40"/>
      <x:c r="N5" s="40"/>
    </x:row>
    <x:row r="6">
      <x:c r="A6" s="40" t="n">
        <x:f>('BHA Assembly'!C8+'BHA Assembly'!D8)/2</x:f>
        <x:v>5.800000000000001</x:v>
      </x:c>
      <x:c r="B6" s="40" t="n">
        <x:f>Results!B8</x:f>
        <x:v>3.3343405276111335</x:v>
      </x:c>
      <x:c r="C6" s="40" t="n">
        <x:f>Calc!K8*'Unit Map'!$I$17</x:f>
        <x:v>231006834.5083316</x:v>
      </x:c>
      <x:c r="D6" s="40" t="n">
        <x:f>('BHA Assembly'!C8+'BHA Assembly'!D8)/2</x:f>
        <x:v>5.800000000000001</x:v>
      </x:c>
      <x:c r="E6" s="40" t="n">
        <x:f>Calc!K8*'Unit Map'!$I$17</x:f>
        <x:v>231006834.5083316</x:v>
      </x:c>
      <x:c r="F6" s="40"/>
      <x:c r="G6" s="40"/>
      <x:c r="H6" s="40"/>
      <x:c r="I6" s="40"/>
      <x:c r="J6" s="40"/>
      <x:c r="K6" s="40"/>
      <x:c r="L6" s="40"/>
      <x:c r="M6" s="40"/>
      <x:c r="N6" s="40"/>
    </x:row>
    <x:row r="7">
      <x:c r="A7" s="40" t="n">
        <x:f>('BHA Assembly'!C9+'BHA Assembly'!D9)/2</x:f>
        <x:v>15.8</x:v>
      </x:c>
      <x:c r="B7" s="40" t="n">
        <x:f>Results!B9</x:f>
        <x:v>1.4280226350619194</x:v>
      </x:c>
      <x:c r="C7" s="40" t="n">
        <x:f>Calc!K9*'Unit Map'!$I$17</x:f>
        <x:v>321759519.49374765</x:v>
      </x:c>
      <x:c r="D7" s="40" t="n">
        <x:f>('BHA Assembly'!C9+'BHA Assembly'!D9)/2</x:f>
        <x:v>15.8</x:v>
      </x:c>
      <x:c r="E7" s="40" t="n">
        <x:f>Calc!K9*'Unit Map'!$I$17</x:f>
        <x:v>321759519.49374765</x:v>
      </x:c>
      <x:c r="F7" s="40"/>
      <x:c r="G7" s="40"/>
      <x:c r="H7" s="40"/>
      <x:c r="I7" s="40"/>
      <x:c r="J7" s="40"/>
      <x:c r="K7" s="40"/>
      <x:c r="L7" s="40"/>
      <x:c r="M7" s="40"/>
      <x:c r="N7" s="40"/>
    </x:row>
    <x:row r="8">
      <x:c r="A8" s="40" t="n">
        <x:f>('BHA Assembly'!C10+'BHA Assembly'!D10)/2</x:f>
        <x:v>66.8</x:v>
      </x:c>
      <x:c r="B8" s="40" t="n">
        <x:f>Results!B10</x:f>
        <x:v>0.023988077904446573</x:v>
      </x:c>
      <x:c r="C8" s="40" t="n">
        <x:f>Calc!K10*'Unit Map'!$I$17</x:f>
        <x:v>2078499354.9197993</x:v>
      </x:c>
      <x:c r="D8" s="40" t="n">
        <x:f>('BHA Assembly'!C10+'BHA Assembly'!D10)/2</x:f>
        <x:v>66.8</x:v>
      </x:c>
      <x:c r="E8" s="40" t="n">
        <x:f>Calc!K10*'Unit Map'!$I$17</x:f>
        <x:v>2078499354.9197993</x:v>
      </x:c>
      <x:c r="F8" s="40"/>
      <x:c r="G8" s="40"/>
      <x:c r="H8" s="40"/>
      <x:c r="I8" s="40"/>
      <x:c r="J8" s="40"/>
      <x:c r="K8" s="40"/>
      <x:c r="L8" s="40"/>
      <x:c r="M8" s="40"/>
      <x:c r="N8" s="40"/>
    </x:row>
    <x:row r="9">
      <x:c r="A9" s="40" t="n">
        <x:f>('BHA Assembly'!C11+'BHA Assembly'!D11)/2</x:f>
        <x:v>141.8</x:v>
      </x:c>
      <x:c r="B9" s="40" t="n">
        <x:f>Results!B11</x:f>
        <x:v>0.03960090647511852</x:v>
      </x:c>
      <x:c r="C9" s="40" t="n">
        <x:f>Calc!K11*'Unit Map'!$I$17</x:f>
        <x:v>1951248076.2982817</x:v>
      </x:c>
      <x:c r="D9" s="40" t="n">
        <x:f>('BHA Assembly'!C11+'BHA Assembly'!D11)/2</x:f>
        <x:v>141.8</x:v>
      </x:c>
      <x:c r="E9" s="40" t="n">
        <x:f>Calc!K11*'Unit Map'!$I$17</x:f>
        <x:v>1951248076.2982817</x:v>
      </x:c>
      <x:c r="F9" s="40"/>
      <x:c r="G9" s="40"/>
      <x:c r="H9" s="40"/>
      <x:c r="I9" s="40"/>
      <x:c r="J9" s="40"/>
      <x:c r="K9" s="40"/>
      <x:c r="L9" s="40"/>
      <x:c r="M9" s="40"/>
      <x:c r="N9" s="40"/>
    </x:row>
    <x:row r="10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</x:row>
    <x:row r="12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</x:row>
    <x:row r="20">
      <x:c r="A20" s="40" t="str">
        <x:v>WOB 1 X</x:v>
      </x:c>
      <x:c r="B20" s="40" t="str">
        <x:v>WOB 1 Y</x:v>
      </x:c>
      <x:c r="C20" s="40" t="str">
        <x:v>WOB 2 X</x:v>
      </x:c>
      <x:c r="D20" s="40" t="str">
        <x:v>WOB 2 Y</x:v>
      </x:c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</x:row>
    <x:row r="21">
      <x:c r="A21" s="40" t="n">
        <x:f>Results!I6</x:f>
        <x:v>0.01160090746249233</x:v>
      </x:c>
      <x:c r="B21" s="40" t="n">
        <x:f>Results!J6</x:f>
        <x:v>0</x:v>
      </x:c>
      <x:c r="C21" s="40" t="n">
        <x:f>Results!L6</x:f>
        <x:v>0.017401361193738495</x:v>
      </x:c>
      <x:c r="D21" s="40" t="n">
        <x:f>Results!M6</x:f>
        <x:v>0</x:v>
      </x:c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</x:row>
    <x:row r="22">
      <x:c r="A22" s="40" t="n">
        <x:f>Results!I7</x:f>
        <x:v>0.00969771761361116</x:v>
      </x:c>
      <x:c r="B22" s="40" t="n">
        <x:f>Results!J7</x:f>
        <x:v>0.005598979874743377</x:v>
      </x:c>
      <x:c r="C22" s="40" t="n">
        <x:f>Results!L7</x:f>
        <x:v>0.01454657642041674</x:v>
      </x:c>
      <x:c r="D22" s="40" t="n">
        <x:f>Results!M7</x:f>
        <x:v>0.008398469812115065</x:v>
      </x:c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</x:row>
    <x:row r="23">
      <x:c r="A23" s="40" t="n">
        <x:f>Results!I8</x:f>
        <x:v>0.0050485430623809216</x:v>
      </x:c>
      <x:c r="B23" s="40" t="n">
        <x:f>Results!J8</x:f>
        <x:v>0.008744333088243126</x:v>
      </x:c>
      <x:c r="C23" s="40" t="n">
        <x:f>Results!L8</x:f>
        <x:v>0.007572814593571384</x:v>
      </x:c>
      <x:c r="D23" s="40" t="n">
        <x:f>Results!M8</x:f>
        <x:v>0.01311649963236469</x:v>
      </x:c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</x:row>
    <x:row r="24">
      <x:c r="A24" s="40" t="n">
        <x:f>Results!I9</x:f>
        <x:v>5.261857107831805e-19</x:v>
      </x:c>
      <x:c r="B24" s="40" t="n">
        <x:f>Results!J9</x:f>
        <x:v>0.008593264787031355</x:v>
      </x:c>
      <x:c r="C24" s="40" t="n">
        <x:f>Results!L9</x:f>
        <x:v>7.892785661747708e-19</x:v>
      </x:c>
      <x:c r="D24" s="40" t="n">
        <x:f>Results!M9</x:f>
        <x:v>0.012889897180547033</x:v>
      </x:c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</x:row>
    <x:row r="25">
      <x:c r="A25" s="40" t="n">
        <x:f>Results!I10</x:f>
        <x:v>-0.0035447217246504324</x:v>
      </x:c>
      <x:c r="B25" s="40" t="n">
        <x:f>Results!J10</x:f>
        <x:v>0.0061396381257877285</x:v>
      </x:c>
      <x:c r="C25" s="40" t="n">
        <x:f>Results!L10</x:f>
        <x:v>-0.0053170825869756485</x:v>
      </x:c>
      <x:c r="D25" s="40" t="n">
        <x:f>Results!M10</x:f>
        <x:v>0.009209457188681592</x:v>
      </x:c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</x:row>
    <x:row r="26">
      <x:c r="A26" s="40" t="n">
        <x:f>Results!I11</x:f>
        <x:v>-0.005186253600419697</x:v>
      </x:c>
      <x:c r="B26" s="40" t="n">
        <x:f>Results!J11</x:f>
        <x:v>0.002994284912287977</x:v>
      </x:c>
      <x:c r="C26" s="40" t="n">
        <x:f>Results!L11</x:f>
        <x:v>-0.007779380400629546</x:v>
      </x:c>
      <x:c r="D26" s="40" t="n">
        <x:f>Results!M11</x:f>
        <x:v>0.004491427368431966</x:v>
      </x:c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</x:row>
    <x:row r="27">
      <x:c r="A27" s="40" t="n">
        <x:f>Results!I12</x:f>
        <x:v>-0.005585622111570381</x:v>
      </x:c>
      <x:c r="B27" s="40" t="n">
        <x:f>Results!J12</x:f>
        <x:v>6.840414240181346e-19</x:v>
      </x:c>
      <x:c r="C27" s="40" t="n">
        <x:f>Results!L12</x:f>
        <x:v>-0.008378433167355571</x:v>
      </x:c>
      <x:c r="D27" s="40" t="n">
        <x:f>Results!M12</x:f>
        <x:v>1.026062136027202e-18</x:v>
      </x:c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</x:row>
    <x:row r="28">
      <x:c r="A28" s="40" t="n">
        <x:f>Results!I13</x:f>
        <x:v>-0.0051862536004196975</x:v>
      </x:c>
      <x:c r="B28" s="40" t="n">
        <x:f>Results!J13</x:f>
        <x:v>-0.002994284912287976</x:v>
      </x:c>
      <x:c r="C28" s="40" t="n">
        <x:f>Results!L13</x:f>
        <x:v>-0.007779380400629547</x:v>
      </x:c>
      <x:c r="D28" s="40" t="n">
        <x:f>Results!M13</x:f>
        <x:v>-0.004491427368431964</x:v>
      </x:c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</x:row>
    <x:row r="29">
      <x:c r="A29" s="40" t="n">
        <x:f>Results!I14</x:f>
        <x:v>-0.0035447217246504363</x:v>
      </x:c>
      <x:c r="B29" s="40" t="n">
        <x:f>Results!J14</x:f>
        <x:v>-0.006139638125787725</x:v>
      </x:c>
      <x:c r="C29" s="40" t="n">
        <x:f>Results!L14</x:f>
        <x:v>-0.005317082586975655</x:v>
      </x:c>
      <x:c r="D29" s="40" t="n">
        <x:f>Results!M14</x:f>
        <x:v>-0.009209457188681588</x:v>
      </x:c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</x:row>
    <x:row r="30">
      <x:c r="A30" s="40" t="n">
        <x:f>Results!I15</x:f>
        <x:v>-1.5785571323495412e-18</x:v>
      </x:c>
      <x:c r="B30" s="40" t="n">
        <x:f>Results!J15</x:f>
        <x:v>-0.008593264787031353</x:v>
      </x:c>
      <x:c r="C30" s="40" t="n">
        <x:f>Results!L15</x:f>
        <x:v>-2.367835698524312e-18</x:v>
      </x:c>
      <x:c r="D30" s="40" t="n">
        <x:f>Results!M15</x:f>
        <x:v>-0.012889897180547031</x:v>
      </x:c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</x:row>
    <x:row r="31">
      <x:c r="A31" s="40" t="n">
        <x:f>Results!I16</x:f>
        <x:v>0.0050485430623809216</x:v>
      </x:c>
      <x:c r="B31" s="40" t="n">
        <x:f>Results!J16</x:f>
        <x:v>-0.008744333088243126</x:v>
      </x:c>
      <x:c r="C31" s="40" t="n">
        <x:f>Results!L16</x:f>
        <x:v>0.007572814593571384</x:v>
      </x:c>
      <x:c r="D31" s="40" t="n">
        <x:f>Results!M16</x:f>
        <x:v>-0.01311649963236469</x:v>
      </x:c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</x:row>
    <x:row r="32">
      <x:c r="A32" s="40" t="n">
        <x:f>Results!I17</x:f>
        <x:v>0.009697717613611155</x:v>
      </x:c>
      <x:c r="B32" s="40" t="n">
        <x:f>Results!J17</x:f>
        <x:v>-0.005598979874743382</x:v>
      </x:c>
      <x:c r="C32" s="40" t="n">
        <x:f>Results!L17</x:f>
        <x:v>0.014546576420416731</x:v>
      </x:c>
      <x:c r="D32" s="40" t="n">
        <x:f>Results!M17</x:f>
        <x:v>-0.008398469812115072</x:v>
      </x:c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</x:row>
    <x:row r="33">
      <x:c r="A33" s="40" t="n">
        <x:f>Results!I6</x:f>
        <x:v>0.01160090746249233</x:v>
      </x:c>
      <x:c r="B33" s="40" t="n">
        <x:f>Results!J6</x:f>
        <x:v>0</x:v>
      </x:c>
      <x:c r="C33" s="40" t="n">
        <x:f>Results!L6</x:f>
        <x:v>0.017401361193738495</x:v>
      </x:c>
      <x:c r="D33" s="40" t="n">
        <x:f>Results!M6</x:f>
        <x:v>0</x:v>
      </x:c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</x:row>
    <x:row r="35">
      <x:c r="A35" s="40"/>
      <x:c r="B35" s="40"/>
      <x:c r="C35" s="40"/>
      <x:c r="D35" s="40"/>
      <x:c r="E35" s="40"/>
      <x:c r="F35" s="40"/>
      <x:c r="G35" s="40"/>
      <x:c r="H35" s="40" t="str">
        <x:f>"Toolface "&amp;'Unit Map'!$H$18</x:f>
        <x:v>Toolface rad</x:v>
      </x:c>
      <x:c r="I35" s="40" t="str">
        <x:v>WOB 1 magnitude</x:v>
      </x:c>
      <x:c r="J35" s="40" t="str">
        <x:v>WOB 2 magnitude</x:v>
      </x:c>
      <x:c r="K35" s="40"/>
      <x:c r="L35" s="40"/>
      <x:c r="M35" s="40"/>
      <x:c r="N35" s="40"/>
    </x:row>
    <x:row r="36">
      <x:c r="A36" s="40"/>
      <x:c r="B36" s="40"/>
      <x:c r="C36" s="40"/>
      <x:c r="D36" s="40"/>
      <x:c r="E36" s="40"/>
      <x:c r="F36" s="40"/>
      <x:c r="G36" s="40"/>
      <x:c r="H36" s="40" t="n">
        <x:f>Results!G6</x:f>
        <x:v>0</x:v>
      </x:c>
      <x:c r="I36" s="40" t="n">
        <x:f>Results!H6</x:f>
        <x:v>0.01160090746249233</x:v>
      </x:c>
      <x:c r="J36" s="40" t="n">
        <x:f>Results!K6</x:f>
        <x:v>0.017401361193738495</x:v>
      </x:c>
      <x:c r="K36" s="40"/>
      <x:c r="L36" s="40"/>
      <x:c r="M36" s="40"/>
      <x:c r="N36" s="40"/>
    </x:row>
    <x:row r="37">
      <x:c r="A37" s="40"/>
      <x:c r="B37" s="40"/>
      <x:c r="C37" s="40"/>
      <x:c r="D37" s="40"/>
      <x:c r="E37" s="40"/>
      <x:c r="F37" s="40"/>
      <x:c r="G37" s="40"/>
      <x:c r="H37" s="40" t="n">
        <x:f>Results!G7</x:f>
        <x:v>0.5235987755982988</x:v>
      </x:c>
      <x:c r="I37" s="40" t="n">
        <x:f>Results!H7</x:f>
        <x:v>0.011197959749486756</x:v>
      </x:c>
      <x:c r="J37" s="40" t="n">
        <x:f>Results!K7</x:f>
        <x:v>0.016796939624230133</x:v>
      </x:c>
      <x:c r="K37" s="40"/>
      <x:c r="L37" s="40"/>
      <x:c r="M37" s="40"/>
      <x:c r="N37" s="40"/>
    </x:row>
    <x:row r="38">
      <x:c r="A38" s="40"/>
      <x:c r="B38" s="40"/>
      <x:c r="C38" s="40"/>
      <x:c r="D38" s="40"/>
      <x:c r="E38" s="40"/>
      <x:c r="F38" s="40"/>
      <x:c r="G38" s="40"/>
      <x:c r="H38" s="40" t="n">
        <x:f>Results!G8</x:f>
        <x:v>1.0471975511965976</x:v>
      </x:c>
      <x:c r="I38" s="40" t="n">
        <x:f>Results!H8</x:f>
        <x:v>0.010097086124761841</x:v>
      </x:c>
      <x:c r="J38" s="40" t="n">
        <x:f>Results!K8</x:f>
        <x:v>0.015145629187142764</x:v>
      </x:c>
      <x:c r="K38" s="40"/>
      <x:c r="L38" s="40"/>
      <x:c r="M38" s="40"/>
      <x:c r="N38" s="40"/>
    </x:row>
    <x:row r="39">
      <x:c r="A39" s="40"/>
      <x:c r="B39" s="40"/>
      <x:c r="C39" s="40"/>
      <x:c r="D39" s="40"/>
      <x:c r="E39" s="40"/>
      <x:c r="F39" s="40"/>
      <x:c r="G39" s="40"/>
      <x:c r="H39" s="40" t="n">
        <x:f>Results!G9</x:f>
        <x:v>1.5707963267948966</x:v>
      </x:c>
      <x:c r="I39" s="40" t="n">
        <x:f>Results!H9</x:f>
        <x:v>0.008593264787031355</x:v>
      </x:c>
      <x:c r="J39" s="40" t="n">
        <x:f>Results!K9</x:f>
        <x:v>0.012889897180547033</x:v>
      </x:c>
      <x:c r="K39" s="40"/>
      <x:c r="L39" s="40"/>
      <x:c r="M39" s="40"/>
      <x:c r="N39" s="40"/>
    </x:row>
    <x:row r="40">
      <x:c r="A40" s="40"/>
      <x:c r="B40" s="40"/>
      <x:c r="C40" s="40"/>
      <x:c r="D40" s="40"/>
      <x:c r="E40" s="40"/>
      <x:c r="F40" s="40"/>
      <x:c r="G40" s="40"/>
      <x:c r="H40" s="40" t="n">
        <x:f>Results!G10</x:f>
        <x:v>2.0943951023931953</x:v>
      </x:c>
      <x:c r="I40" s="40" t="n">
        <x:f>Results!H10</x:f>
        <x:v>0.007089443449300868</x:v>
      </x:c>
      <x:c r="J40" s="40" t="n">
        <x:f>Results!K10</x:f>
        <x:v>0.010634165173951302</x:v>
      </x:c>
      <x:c r="K40" s="40"/>
      <x:c r="L40" s="40"/>
      <x:c r="M40" s="40"/>
      <x:c r="N40" s="40"/>
    </x:row>
    <x:row r="41">
      <x:c r="A41" s="40"/>
      <x:c r="B41" s="40"/>
      <x:c r="C41" s="40"/>
      <x:c r="D41" s="40"/>
      <x:c r="E41" s="40"/>
      <x:c r="F41" s="40"/>
      <x:c r="G41" s="40"/>
      <x:c r="H41" s="40" t="n">
        <x:f>Results!G11</x:f>
        <x:v>2.6179938779914944</x:v>
      </x:c>
      <x:c r="I41" s="40" t="n">
        <x:f>Results!H11</x:f>
        <x:v>0.005988569824575955</x:v>
      </x:c>
      <x:c r="J41" s="40" t="n">
        <x:f>Results!K11</x:f>
        <x:v>0.008982854736863933</x:v>
      </x:c>
      <x:c r="K41" s="40"/>
      <x:c r="L41" s="40"/>
      <x:c r="M41" s="40"/>
      <x:c r="N41" s="40"/>
    </x:row>
    <x:row r="42">
      <x:c r="A42" s="40"/>
      <x:c r="B42" s="40"/>
      <x:c r="C42" s="40"/>
      <x:c r="D42" s="40"/>
      <x:c r="E42" s="40"/>
      <x:c r="F42" s="40"/>
      <x:c r="G42" s="40"/>
      <x:c r="H42" s="40" t="n">
        <x:f>Results!G12</x:f>
        <x:v>3.141592653589793</x:v>
      </x:c>
      <x:c r="I42" s="40" t="n">
        <x:f>Results!H12</x:f>
        <x:v>0.005585622111570381</x:v>
      </x:c>
      <x:c r="J42" s="40" t="n">
        <x:f>Results!K12</x:f>
        <x:v>0.008378433167355571</x:v>
      </x:c>
      <x:c r="K42" s="40"/>
      <x:c r="L42" s="40"/>
      <x:c r="M42" s="40"/>
      <x:c r="N42" s="40"/>
    </x:row>
    <x:row r="43">
      <x:c r="A43" s="40"/>
      <x:c r="B43" s="40"/>
      <x:c r="C43" s="40"/>
      <x:c r="D43" s="40"/>
      <x:c r="E43" s="40"/>
      <x:c r="F43" s="40"/>
      <x:c r="G43" s="40"/>
      <x:c r="H43" s="40" t="n">
        <x:f>Results!G13</x:f>
        <x:v>3.665191429188092</x:v>
      </x:c>
      <x:c r="I43" s="40" t="n">
        <x:f>Results!H13</x:f>
        <x:v>0.005988569824575955</x:v>
      </x:c>
      <x:c r="J43" s="40" t="n">
        <x:f>Results!K13</x:f>
        <x:v>0.008982854736863933</x:v>
      </x:c>
      <x:c r="K43" s="40"/>
      <x:c r="L43" s="40"/>
      <x:c r="M43" s="40"/>
      <x:c r="N43" s="40"/>
    </x:row>
    <x:row r="44">
      <x:c r="A44" s="40"/>
      <x:c r="B44" s="40"/>
      <x:c r="C44" s="40"/>
      <x:c r="D44" s="40"/>
      <x:c r="E44" s="40"/>
      <x:c r="F44" s="40"/>
      <x:c r="G44" s="40"/>
      <x:c r="H44" s="40" t="n">
        <x:f>Results!G14</x:f>
        <x:v>4.1887902047863905</x:v>
      </x:c>
      <x:c r="I44" s="40" t="n">
        <x:f>Results!H14</x:f>
        <x:v>0.0070894434493008664</x:v>
      </x:c>
      <x:c r="J44" s="40" t="n">
        <x:f>Results!K14</x:f>
        <x:v>0.0106341651739513</x:v>
      </x:c>
      <x:c r="K44" s="40"/>
      <x:c r="L44" s="40"/>
      <x:c r="M44" s="40"/>
      <x:c r="N44" s="40"/>
    </x:row>
    <x:row r="45">
      <x:c r="A45" s="40"/>
      <x:c r="B45" s="40"/>
      <x:c r="C45" s="40"/>
      <x:c r="D45" s="40"/>
      <x:c r="E45" s="40"/>
      <x:c r="F45" s="40"/>
      <x:c r="G45" s="40"/>
      <x:c r="H45" s="40" t="n">
        <x:f>Results!G15</x:f>
        <x:v>4.71238898038469</x:v>
      </x:c>
      <x:c r="I45" s="40" t="n">
        <x:f>Results!H15</x:f>
        <x:v>0.008593264787031353</x:v>
      </x:c>
      <x:c r="J45" s="40" t="n">
        <x:f>Results!K15</x:f>
        <x:v>0.012889897180547031</x:v>
      </x:c>
      <x:c r="K45" s="40"/>
      <x:c r="L45" s="40"/>
      <x:c r="M45" s="40"/>
      <x:c r="N45" s="40"/>
    </x:row>
    <x:row r="46">
      <x:c r="A46" s="40"/>
      <x:c r="B46" s="40"/>
      <x:c r="C46" s="40"/>
      <x:c r="D46" s="40"/>
      <x:c r="E46" s="40"/>
      <x:c r="F46" s="40"/>
      <x:c r="G46" s="40"/>
      <x:c r="H46" s="40" t="n">
        <x:f>Results!G16</x:f>
        <x:v>5.235987755982989</x:v>
      </x:c>
      <x:c r="I46" s="40" t="n">
        <x:f>Results!H16</x:f>
        <x:v>0.010097086124761841</x:v>
      </x:c>
      <x:c r="J46" s="40" t="n">
        <x:f>Results!K16</x:f>
        <x:v>0.015145629187142764</x:v>
      </x:c>
      <x:c r="K46" s="40"/>
      <x:c r="L46" s="40"/>
      <x:c r="M46" s="40"/>
      <x:c r="N46" s="40"/>
    </x:row>
    <x:row r="47">
      <x:c r="A47" s="40"/>
      <x:c r="B47" s="40"/>
      <x:c r="C47" s="40"/>
      <x:c r="D47" s="40"/>
      <x:c r="E47" s="40"/>
      <x:c r="F47" s="40"/>
      <x:c r="G47" s="40"/>
      <x:c r="H47" s="40" t="n">
        <x:f>Results!G17</x:f>
        <x:v>5.759586531581287</x:v>
      </x:c>
      <x:c r="I47" s="40" t="n">
        <x:f>Results!H17</x:f>
        <x:v>0.011197959749486754</x:v>
      </x:c>
      <x:c r="J47" s="40" t="n">
        <x:f>Results!K17</x:f>
        <x:v>0.01679693962423013</x:v>
      </x:c>
      <x:c r="K47" s="40"/>
      <x:c r="L47" s="40"/>
      <x:c r="M47" s="40"/>
      <x:c r="N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</x:row>
    <x:row r="55">
      <x:c r="A55" s="42" t="str">
        <x:v>Component</x:v>
      </x:c>
      <x:c r="B55" s="42" t="str">
        <x:v>WOB 1 tendency</x:v>
      </x:c>
      <x:c r="C55" s="42" t="str">
        <x:v>WOB 2 tendency</x:v>
      </x:c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</x:row>
    <x:row r="56">
      <x:c r="A56" s="43" t="str">
        <x:f>Results!A6</x:f>
        <x:v>Bit</x:v>
      </x:c>
      <x:c r="B56" s="43" t="n">
        <x:f>Results!D6</x:f>
        <x:v>2.0419077487399114e-10</x:v>
      </x:c>
      <x:c r="C56" s="43" t="n">
        <x:f>Results!E6</x:f>
        <x:v>3.062861623109867e-10</x:v>
      </x:c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</x:row>
    <x:row r="57">
      <x:c r="A57" s="43" t="str">
        <x:f>Results!A7</x:f>
        <x:v>Near-bit stabilizer</x:v>
      </x:c>
      <x:c r="B57" s="43" t="n">
        <x:f>Results!D7</x:f>
        <x:v>3.8930813000450505e-8</x:v>
      </x:c>
      <x:c r="C57" s="43" t="n">
        <x:f>Results!E7</x:f>
        <x:v>5.839621950067576e-8</x:v>
      </x:c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</x:row>
    <x:row r="58">
      <x:c r="A58" s="43" t="str">
        <x:f>Results!A8</x:f>
        <x:v>Motor / RSS</x:v>
      </x:c>
      <x:c r="B58" s="43" t="n">
        <x:f>Results!D8</x:f>
        <x:v>0.000014217430847937623</x:v>
      </x:c>
      <x:c r="C58" s="43" t="n">
        <x:f>Results!E8</x:f>
        <x:v>0.000021326146271906438</x:v>
      </x:c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</x:row>
    <x:row r="59">
      <x:c r="A59" s="43" t="str">
        <x:f>Results!A9</x:f>
        <x:v>MWD / LWD</x:v>
      </x:c>
      <x:c r="B59" s="43" t="n">
        <x:f>Results!D9</x:f>
        <x:v>0.00005167489288961944</x:v>
      </x:c>
      <x:c r="C59" s="43" t="n">
        <x:f>Results!E9</x:f>
        <x:v>0.00007751233933442917</x:v>
      </x:c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</x:row>
    <x:row r="60">
      <x:c r="A60" s="43" t="str">
        <x:f>Results!A10</x:f>
        <x:v>Drill collar</x:v>
      </x:c>
      <x:c r="B60" s="43" t="n">
        <x:f>Results!D10</x:f>
        <x:v>0.026225388804809274</x:v>
      </x:c>
      <x:c r="C60" s="43" t="n">
        <x:f>Results!E10</x:f>
        <x:v>0.039338083207213916</x:v>
      </x:c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</x:row>
    <x:row r="61">
      <x:c r="A61" s="43" t="str">
        <x:f>Results!A11</x:f>
        <x:v>HWDP transition</x:v>
      </x:c>
      <x:c r="B61" s="43" t="n">
        <x:f>Results!D11</x:f>
        <x:v>0.025268268458637527</x:v>
      </x:c>
      <x:c r="C61" s="43" t="n">
        <x:f>Results!E11</x:f>
        <x:v>0.03790240268795629</x:v>
      </x:c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</x:row>
    <x:row r="65">
      <x:c r="A65" s="40"/>
      <x:c r="B65" s="40"/>
      <x:c r="C65" s="40"/>
      <x:c r="D65" s="40"/>
      <x:c r="E65" s="40"/>
      <x:c r="F65" s="40"/>
      <x:c r="G65" s="40"/>
      <x:c r="H65" s="40" t="str">
        <x:v>Angle</x:v>
      </x:c>
      <x:c r="I65" s="40" t="str">
        <x:v>Ring 25%</x:v>
      </x:c>
      <x:c r="J65" s="40" t="str">
        <x:v>Ring 50%</x:v>
      </x:c>
      <x:c r="K65" s="40" t="str">
        <x:v>Ring 75%</x:v>
      </x:c>
      <x:c r="L65" s="40" t="str">
        <x:v>Ring 100%</x:v>
      </x:c>
      <x:c r="M65" s="40"/>
      <x:c r="N65" s="40"/>
    </x:row>
    <x:row r="66">
      <x:c r="A66" s="40"/>
      <x:c r="B66" s="40"/>
      <x:c r="C66" s="40"/>
      <x:c r="D66" s="40"/>
      <x:c r="E66" s="40"/>
      <x:c r="F66" s="40"/>
      <x:c r="G66" s="40"/>
      <x:c r="H66" s="40" t="n">
        <x:f>0</x:f>
        <x:v>0</x:v>
      </x:c>
      <x:c r="I66" s="40" t="n">
        <x:f>MAX($I$36:$J$47)*0.25</x:f>
        <x:v>0.004350340298434624</x:v>
      </x:c>
      <x:c r="J66" s="40" t="n">
        <x:f>MAX($I$36:$J$47)*0.50</x:f>
        <x:v>0.008700680596869247</x:v>
      </x:c>
      <x:c r="K66" s="40" t="n">
        <x:f>MAX($I$36:$J$47)*0.75</x:f>
        <x:v>0.013051020895303871</x:v>
      </x:c>
      <x:c r="L66" s="40" t="n">
        <x:f>MAX($I$36:$J$47)</x:f>
        <x:v>0.017401361193738495</x:v>
      </x:c>
      <x:c r="M66" s="40"/>
      <x:c r="N66" s="40"/>
    </x:row>
    <x:row r="67">
      <x:c r="A67" s="40"/>
      <x:c r="B67" s="40"/>
      <x:c r="C67" s="40"/>
      <x:c r="D67" s="40"/>
      <x:c r="E67" s="40"/>
      <x:c r="F67" s="40"/>
      <x:c r="G67" s="40"/>
      <x:c r="H67" s="40" t="n">
        <x:f>30</x:f>
        <x:v>30</x:v>
      </x:c>
      <x:c r="I67" s="40" t="n">
        <x:f>MAX($I$36:$J$47)*0.25</x:f>
        <x:v>0.004350340298434624</x:v>
      </x:c>
      <x:c r="J67" s="40" t="n">
        <x:f>MAX($I$36:$J$47)*0.50</x:f>
        <x:v>0.008700680596869247</x:v>
      </x:c>
      <x:c r="K67" s="40" t="n">
        <x:f>MAX($I$36:$J$47)*0.75</x:f>
        <x:v>0.013051020895303871</x:v>
      </x:c>
      <x:c r="L67" s="40" t="n">
        <x:f>MAX($I$36:$J$47)</x:f>
        <x:v>0.017401361193738495</x:v>
      </x:c>
      <x:c r="M67" s="40"/>
      <x:c r="N67" s="40"/>
    </x:row>
    <x:row r="68">
      <x:c r="A68" s="40"/>
      <x:c r="B68" s="40"/>
      <x:c r="C68" s="40"/>
      <x:c r="D68" s="40"/>
      <x:c r="E68" s="40"/>
      <x:c r="F68" s="40"/>
      <x:c r="G68" s="40"/>
      <x:c r="H68" s="40" t="n">
        <x:f>60</x:f>
        <x:v>60</x:v>
      </x:c>
      <x:c r="I68" s="40" t="n">
        <x:f>MAX($I$36:$J$47)*0.25</x:f>
        <x:v>0.004350340298434624</x:v>
      </x:c>
      <x:c r="J68" s="40" t="n">
        <x:f>MAX($I$36:$J$47)*0.50</x:f>
        <x:v>0.008700680596869247</x:v>
      </x:c>
      <x:c r="K68" s="40" t="n">
        <x:f>MAX($I$36:$J$47)*0.75</x:f>
        <x:v>0.013051020895303871</x:v>
      </x:c>
      <x:c r="L68" s="40" t="n">
        <x:f>MAX($I$36:$J$47)</x:f>
        <x:v>0.017401361193738495</x:v>
      </x:c>
      <x:c r="M68" s="40"/>
      <x:c r="N68" s="40"/>
    </x:row>
    <x:row r="69">
      <x:c r="A69" s="40"/>
      <x:c r="B69" s="40"/>
      <x:c r="C69" s="40"/>
      <x:c r="D69" s="40"/>
      <x:c r="E69" s="40"/>
      <x:c r="F69" s="40"/>
      <x:c r="G69" s="40"/>
      <x:c r="H69" s="40" t="n">
        <x:f>90</x:f>
        <x:v>90</x:v>
      </x:c>
      <x:c r="I69" s="40" t="n">
        <x:f>MAX($I$36:$J$47)*0.25</x:f>
        <x:v>0.004350340298434624</x:v>
      </x:c>
      <x:c r="J69" s="40" t="n">
        <x:f>MAX($I$36:$J$47)*0.50</x:f>
        <x:v>0.008700680596869247</x:v>
      </x:c>
      <x:c r="K69" s="40" t="n">
        <x:f>MAX($I$36:$J$47)*0.75</x:f>
        <x:v>0.013051020895303871</x:v>
      </x:c>
      <x:c r="L69" s="40" t="n">
        <x:f>MAX($I$36:$J$47)</x:f>
        <x:v>0.017401361193738495</x:v>
      </x:c>
      <x:c r="M69" s="40"/>
      <x:c r="N69" s="40"/>
    </x:row>
    <x:row r="70">
      <x:c r="A70" s="40"/>
      <x:c r="B70" s="40"/>
      <x:c r="C70" s="40"/>
      <x:c r="D70" s="40"/>
      <x:c r="E70" s="40"/>
      <x:c r="F70" s="40"/>
      <x:c r="G70" s="40"/>
      <x:c r="H70" s="40" t="n">
        <x:f>120</x:f>
        <x:v>120</x:v>
      </x:c>
      <x:c r="I70" s="40" t="n">
        <x:f>MAX($I$36:$J$47)*0.25</x:f>
        <x:v>0.004350340298434624</x:v>
      </x:c>
      <x:c r="J70" s="40" t="n">
        <x:f>MAX($I$36:$J$47)*0.50</x:f>
        <x:v>0.008700680596869247</x:v>
      </x:c>
      <x:c r="K70" s="40" t="n">
        <x:f>MAX($I$36:$J$47)*0.75</x:f>
        <x:v>0.013051020895303871</x:v>
      </x:c>
      <x:c r="L70" s="40" t="n">
        <x:f>MAX($I$36:$J$47)</x:f>
        <x:v>0.017401361193738495</x:v>
      </x:c>
      <x:c r="M70" s="40"/>
      <x:c r="N70" s="40"/>
    </x:row>
    <x:row r="71">
      <x:c r="A71" s="40"/>
      <x:c r="B71" s="40"/>
      <x:c r="C71" s="40"/>
      <x:c r="D71" s="40"/>
      <x:c r="E71" s="40"/>
      <x:c r="F71" s="40"/>
      <x:c r="G71" s="40"/>
      <x:c r="H71" s="40" t="n">
        <x:f>150</x:f>
        <x:v>150</x:v>
      </x:c>
      <x:c r="I71" s="40" t="n">
        <x:f>MAX($I$36:$J$47)*0.25</x:f>
        <x:v>0.004350340298434624</x:v>
      </x:c>
      <x:c r="J71" s="40" t="n">
        <x:f>MAX($I$36:$J$47)*0.50</x:f>
        <x:v>0.008700680596869247</x:v>
      </x:c>
      <x:c r="K71" s="40" t="n">
        <x:f>MAX($I$36:$J$47)*0.75</x:f>
        <x:v>0.013051020895303871</x:v>
      </x:c>
      <x:c r="L71" s="40" t="n">
        <x:f>MAX($I$36:$J$47)</x:f>
        <x:v>0.017401361193738495</x:v>
      </x:c>
      <x:c r="M71" s="40"/>
      <x:c r="N71" s="40"/>
    </x:row>
    <x:row r="72">
      <x:c r="A72" s="40"/>
      <x:c r="B72" s="40"/>
      <x:c r="C72" s="40"/>
      <x:c r="D72" s="40"/>
      <x:c r="E72" s="40"/>
      <x:c r="F72" s="40"/>
      <x:c r="G72" s="40"/>
      <x:c r="H72" s="40" t="n">
        <x:f>180</x:f>
        <x:v>180</x:v>
      </x:c>
      <x:c r="I72" s="40" t="n">
        <x:f>MAX($I$36:$J$47)*0.25</x:f>
        <x:v>0.004350340298434624</x:v>
      </x:c>
      <x:c r="J72" s="40" t="n">
        <x:f>MAX($I$36:$J$47)*0.50</x:f>
        <x:v>0.008700680596869247</x:v>
      </x:c>
      <x:c r="K72" s="40" t="n">
        <x:f>MAX($I$36:$J$47)*0.75</x:f>
        <x:v>0.013051020895303871</x:v>
      </x:c>
      <x:c r="L72" s="40" t="n">
        <x:f>MAX($I$36:$J$47)</x:f>
        <x:v>0.017401361193738495</x:v>
      </x:c>
      <x:c r="M72" s="40"/>
      <x:c r="N72" s="40"/>
    </x:row>
    <x:row r="73">
      <x:c r="A73" s="40"/>
      <x:c r="B73" s="40"/>
      <x:c r="C73" s="40"/>
      <x:c r="D73" s="40"/>
      <x:c r="E73" s="40"/>
      <x:c r="F73" s="40"/>
      <x:c r="G73" s="40"/>
      <x:c r="H73" s="40" t="n">
        <x:f>210</x:f>
        <x:v>210</x:v>
      </x:c>
      <x:c r="I73" s="40" t="n">
        <x:f>MAX($I$36:$J$47)*0.25</x:f>
        <x:v>0.004350340298434624</x:v>
      </x:c>
      <x:c r="J73" s="40" t="n">
        <x:f>MAX($I$36:$J$47)*0.50</x:f>
        <x:v>0.008700680596869247</x:v>
      </x:c>
      <x:c r="K73" s="40" t="n">
        <x:f>MAX($I$36:$J$47)*0.75</x:f>
        <x:v>0.013051020895303871</x:v>
      </x:c>
      <x:c r="L73" s="40" t="n">
        <x:f>MAX($I$36:$J$47)</x:f>
        <x:v>0.017401361193738495</x:v>
      </x:c>
      <x:c r="M73" s="40"/>
      <x:c r="N73" s="40"/>
    </x:row>
    <x:row r="74">
      <x:c r="A74" s="40"/>
      <x:c r="B74" s="40"/>
      <x:c r="C74" s="40"/>
      <x:c r="D74" s="40"/>
      <x:c r="E74" s="40"/>
      <x:c r="F74" s="40"/>
      <x:c r="G74" s="40"/>
      <x:c r="H74" s="40" t="n">
        <x:f>240</x:f>
        <x:v>240</x:v>
      </x:c>
      <x:c r="I74" s="40" t="n">
        <x:f>MAX($I$36:$J$47)*0.25</x:f>
        <x:v>0.004350340298434624</x:v>
      </x:c>
      <x:c r="J74" s="40" t="n">
        <x:f>MAX($I$36:$J$47)*0.50</x:f>
        <x:v>0.008700680596869247</x:v>
      </x:c>
      <x:c r="K74" s="40" t="n">
        <x:f>MAX($I$36:$J$47)*0.75</x:f>
        <x:v>0.013051020895303871</x:v>
      </x:c>
      <x:c r="L74" s="40" t="n">
        <x:f>MAX($I$36:$J$47)</x:f>
        <x:v>0.017401361193738495</x:v>
      </x:c>
      <x:c r="M74" s="40"/>
      <x:c r="N74" s="40"/>
    </x:row>
    <x:row r="75">
      <x:c r="A75" s="40"/>
      <x:c r="B75" s="40"/>
      <x:c r="C75" s="40"/>
      <x:c r="D75" s="40"/>
      <x:c r="E75" s="40"/>
      <x:c r="F75" s="40"/>
      <x:c r="G75" s="40"/>
      <x:c r="H75" s="40" t="n">
        <x:f>270</x:f>
        <x:v>270</x:v>
      </x:c>
      <x:c r="I75" s="40" t="n">
        <x:f>MAX($I$36:$J$47)*0.25</x:f>
        <x:v>0.004350340298434624</x:v>
      </x:c>
      <x:c r="J75" s="40" t="n">
        <x:f>MAX($I$36:$J$47)*0.50</x:f>
        <x:v>0.008700680596869247</x:v>
      </x:c>
      <x:c r="K75" s="40" t="n">
        <x:f>MAX($I$36:$J$47)*0.75</x:f>
        <x:v>0.013051020895303871</x:v>
      </x:c>
      <x:c r="L75" s="40" t="n">
        <x:f>MAX($I$36:$J$47)</x:f>
        <x:v>0.017401361193738495</x:v>
      </x:c>
      <x:c r="M75" s="40"/>
      <x:c r="N75" s="40"/>
    </x:row>
    <x:row r="76">
      <x:c r="A76" s="40"/>
      <x:c r="B76" s="40"/>
      <x:c r="C76" s="40"/>
      <x:c r="D76" s="40"/>
      <x:c r="E76" s="40"/>
      <x:c r="F76" s="40"/>
      <x:c r="G76" s="40"/>
      <x:c r="H76" s="40" t="n">
        <x:f>300</x:f>
        <x:v>300</x:v>
      </x:c>
      <x:c r="I76" s="40" t="n">
        <x:f>MAX($I$36:$J$47)*0.25</x:f>
        <x:v>0.004350340298434624</x:v>
      </x:c>
      <x:c r="J76" s="40" t="n">
        <x:f>MAX($I$36:$J$47)*0.50</x:f>
        <x:v>0.008700680596869247</x:v>
      </x:c>
      <x:c r="K76" s="40" t="n">
        <x:f>MAX($I$36:$J$47)*0.75</x:f>
        <x:v>0.013051020895303871</x:v>
      </x:c>
      <x:c r="L76" s="40" t="n">
        <x:f>MAX($I$36:$J$47)</x:f>
        <x:v>0.017401361193738495</x:v>
      </x:c>
      <x:c r="M76" s="40"/>
      <x:c r="N76" s="40"/>
    </x:row>
    <x:row r="77">
      <x:c r="A77" s="40"/>
      <x:c r="B77" s="40"/>
      <x:c r="C77" s="40"/>
      <x:c r="D77" s="40"/>
      <x:c r="E77" s="40"/>
      <x:c r="F77" s="40"/>
      <x:c r="G77" s="40"/>
      <x:c r="H77" s="40" t="n">
        <x:f>330</x:f>
        <x:v>330</x:v>
      </x:c>
      <x:c r="I77" s="40" t="n">
        <x:f>MAX($I$36:$J$47)*0.25</x:f>
        <x:v>0.004350340298434624</x:v>
      </x:c>
      <x:c r="J77" s="40" t="n">
        <x:f>MAX($I$36:$J$47)*0.50</x:f>
        <x:v>0.008700680596869247</x:v>
      </x:c>
      <x:c r="K77" s="40" t="n">
        <x:f>MAX($I$36:$J$47)*0.75</x:f>
        <x:v>0.013051020895303871</x:v>
      </x:c>
      <x:c r="L77" s="40" t="n">
        <x:f>MAX($I$36:$J$47)</x:f>
        <x:v>0.017401361193738495</x:v>
      </x:c>
      <x:c r="M77" s="40"/>
      <x:c r="N77" s="40"/>
    </x:row>
  </x:sheetData>
  <x:mergeCells>
    <x:mergeCell ref="A1:N1"/>
  </x:mergeCells>
  <x:conditionalFormatting sqref="B56:C61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  <x:drawing xmlns:r="http://schemas.openxmlformats.org/officeDocument/2006/relationships" r:id="rId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BHA Assembly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 t="str">
        <x:v>Bottom-hole assembly component register and section properties</x:v>
      </x:c>
      <x:c r="B3" s="41" t="str">
        <x:v>Bottom-hole assembly component register and section properties</x:v>
      </x:c>
      <x:c r="C3" s="41" t="str">
        <x:v>Bottom-hole assembly component register and section properties</x:v>
      </x:c>
      <x:c r="D3" s="41" t="str">
        <x:v>Bottom-hole assembly component register and section properties</x:v>
      </x:c>
      <x:c r="E3" s="41" t="str">
        <x:v>Bottom-hole assembly component register and section properties</x:v>
      </x:c>
      <x:c r="F3" s="41" t="str">
        <x:v>Bottom-hole assembly component register and section properties</x:v>
      </x:c>
      <x:c r="G3" s="41" t="str">
        <x:v>Bottom-hole assembly component register and section properties</x:v>
      </x:c>
      <x:c r="H3" s="41" t="str">
        <x:v>Bottom-hole assembly component register and section properties</x:v>
      </x:c>
      <x:c r="I3" s="41" t="str">
        <x:v>Bottom-hole assembly component register and section properties</x:v>
      </x:c>
      <x:c r="J3" s="41" t="str">
        <x:v>Bottom-hole assembly component register and section properties</x:v>
      </x:c>
      <x:c r="K3" s="41" t="str">
        <x:v>Bottom-hole assembly component register and section properties</x:v>
      </x:c>
      <x:c r="L3" s="41" t="str">
        <x:v>Bottom-hole assembly component register and section properties</x:v>
      </x:c>
      <x:c r="M3" s="41" t="str">
        <x:v>Bottom-hole assembly component register and section properties</x:v>
      </x:c>
      <x:c r="N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42" t="str">
        <x:v>Record ID</x:v>
      </x:c>
      <x:c r="B5" s="42" t="str">
        <x:v>Component</x:v>
      </x:c>
      <x:c r="C5" s="42" t="str">
        <x:f>"Top "&amp;'Unit Map'!$H$8</x:f>
        <x:v>Top m</x:v>
      </x:c>
      <x:c r="D5" s="42" t="str">
        <x:f>"Bottom "&amp;'Unit Map'!$H$8</x:f>
        <x:v>Bottom m</x:v>
      </x:c>
      <x:c r="E5" s="42" t="str">
        <x:f>"Length "&amp;'Unit Map'!$H$8</x:f>
        <x:v>Length m</x:v>
      </x:c>
      <x:c r="F5" s="42" t="str">
        <x:f>"OD "&amp;'Unit Map'!$H$9</x:f>
        <x:v>OD m</x:v>
      </x:c>
      <x:c r="G5" s="42" t="str">
        <x:f>"ID "&amp;'Unit Map'!$H$9</x:f>
        <x:v>ID m</x:v>
      </x:c>
      <x:c r="H5" s="42" t="str">
        <x:f>"Area "&amp;'Unit Map'!$H$10</x:f>
        <x:v>Area m2</x:v>
      </x:c>
      <x:c r="I5" s="42" t="str">
        <x:v>I m4</x:v>
      </x:c>
      <x:c r="J5" s="42" t="str">
        <x:v>Mass kg</x:v>
      </x:c>
      <x:c r="K5" s="42" t="str">
        <x:v>Support factor</x:v>
      </x:c>
      <x:c r="L5" s="42" t="str">
        <x:v>Connection / role</x:v>
      </x:c>
      <x:c r="M5" s="42" t="str">
        <x:v>Status</x:v>
      </x:c>
      <x:c r="N5" s="40"/>
    </x:row>
    <x:row r="6">
      <x:c r="A6" s="43" t="str">
        <x:f>'Inputs'!I6</x:f>
        <x:v>bha-bit</x:v>
      </x:c>
      <x:c r="B6" s="43" t="str">
        <x:f>'Inputs'!D6</x:f>
        <x:v>Bit</x:v>
      </x:c>
      <x:c r="C6" s="43" t="n">
        <x:f>0*'Unit Map'!$I$8</x:f>
        <x:v>0</x:v>
      </x:c>
      <x:c r="D6" s="43" t="n">
        <x:f>'Inputs'!E6*'Unit Map'!$I$8</x:f>
        <x:v>0.3</x:v>
      </x:c>
      <x:c r="E6" s="43" t="n">
        <x:f>'Inputs'!E6*'Unit Map'!$I$8</x:f>
        <x:v>0.3</x:v>
      </x:c>
      <x:c r="F6" s="43" t="n">
        <x:f>'Inputs'!F6*'Unit Map'!$I$9</x:f>
        <x:v>0.216</x:v>
      </x:c>
      <x:c r="G6" s="43" t="n">
        <x:f>'Inputs'!G6*'Unit Map'!$I$9</x:f>
        <x:v>0.05</x:v>
      </x:c>
      <x:c r="H6" s="43" t="n">
        <x:f>PI()/4*('Inputs'!F6^2-'Inputs'!G6^2)*'Unit Map'!$I$10</x:f>
        <x:v>0.03468004130297772</x:v>
      </x:c>
      <x:c r="I6" s="43" t="n">
        <x:f>'Calc'!F6</x:f>
        <x:v>0.0001065457568930733</x:v>
      </x:c>
      <x:c r="J6" s="43" t="n">
        <x:f>'Calc'!G6</x:f>
        <x:v>81.67149726851254</x:v>
      </x:c>
      <x:c r="K6" s="43" t="n">
        <x:f>'Inputs'!H6</x:f>
        <x:v>1</x:v>
      </x:c>
      <x:c r="L6" s="43" t="str">
        <x:f>"Bit / formation interface"</x:f>
        <x:v>Bit / formation interface</x:v>
      </x:c>
      <x:c r="M6" s="43" t="str">
        <x:f>IF(AND('Inputs'!F6&gt;'Inputs'!G6,'Inputs'!E6&gt;0),"PASS","REVIEW")</x:f>
        <x:v>PASS</x:v>
      </x:c>
      <x:c r="N6" s="40"/>
    </x:row>
    <x:row r="7">
      <x:c r="A7" s="43" t="str">
        <x:f>'Inputs'!I7</x:f>
        <x:v>bha-near-bit-stabilizer</x:v>
      </x:c>
      <x:c r="B7" s="43" t="str">
        <x:f>'Inputs'!D7</x:f>
        <x:v>Near-bit stabilizer</x:v>
      </x:c>
      <x:c r="C7" s="43" t="n">
        <x:f>D6</x:f>
        <x:v>0.3</x:v>
      </x:c>
      <x:c r="D7" s="43" t="n">
        <x:f>C7+'Inputs'!E7*'Unit Map'!$I$8</x:f>
        <x:v>1.8</x:v>
      </x:c>
      <x:c r="E7" s="43" t="n">
        <x:f>'Inputs'!E7*'Unit Map'!$I$8</x:f>
        <x:v>1.5</x:v>
      </x:c>
      <x:c r="F7" s="43" t="n">
        <x:f>'Inputs'!F7*'Unit Map'!$I$9</x:f>
        <x:v>0.203</x:v>
      </x:c>
      <x:c r="G7" s="43" t="n">
        <x:f>'Inputs'!G7*'Unit Map'!$I$9</x:f>
        <x:v>0.07</x:v>
      </x:c>
      <x:c r="H7" s="43" t="n">
        <x:f>PI()/4*('Inputs'!F7^2-'Inputs'!G7^2)*'Unit Map'!$I$10</x:f>
        <x:v>0.02851702191479795</x:v>
      </x:c>
      <x:c r="I7" s="43" t="n">
        <x:f>'Calc'!F7</x:f>
        <x:v>0.00008218071021683868</x:v>
      </x:c>
      <x:c r="J7" s="43" t="n">
        <x:f>'Calc'!G7</x:f>
        <x:v>335.7879330467459</x:v>
      </x:c>
      <x:c r="K7" s="43" t="n">
        <x:f>'Inputs'!H7</x:f>
        <x:v>0.85</x:v>
      </x:c>
      <x:c r="L7" s="43" t="str">
        <x:f>"BHA component"</x:f>
        <x:v>BHA component</x:v>
      </x:c>
      <x:c r="M7" s="43" t="str">
        <x:f>IF(AND('Inputs'!F7&gt;'Inputs'!G7,'Inputs'!E7&gt;0),"PASS","REVIEW")</x:f>
        <x:v>PASS</x:v>
      </x:c>
      <x:c r="N7" s="40"/>
    </x:row>
    <x:row r="8">
      <x:c r="A8" s="43" t="str">
        <x:f>'Inputs'!I8</x:f>
        <x:v>bha-motor-rss</x:v>
      </x:c>
      <x:c r="B8" s="43" t="str">
        <x:f>'Inputs'!D8</x:f>
        <x:v>Motor / RSS</x:v>
      </x:c>
      <x:c r="C8" s="43" t="n">
        <x:f>D7</x:f>
        <x:v>1.8</x:v>
      </x:c>
      <x:c r="D8" s="43" t="n">
        <x:f>C8+'Inputs'!E8*'Unit Map'!$I$8</x:f>
        <x:v>9.8</x:v>
      </x:c>
      <x:c r="E8" s="43" t="n">
        <x:f>'Inputs'!E8*'Unit Map'!$I$8</x:f>
        <x:v>8</x:v>
      </x:c>
      <x:c r="F8" s="43" t="n">
        <x:f>'Inputs'!F8*'Unit Map'!$I$9</x:f>
        <x:v>0.171</x:v>
      </x:c>
      <x:c r="G8" s="43" t="n">
        <x:f>'Inputs'!G8*'Unit Map'!$I$9</x:f>
        <x:v>0.057</x:v>
      </x:c>
      <x:c r="H8" s="43" t="n">
        <x:f>PI()/4*('Inputs'!F8^2-'Inputs'!G8^2)*'Unit Map'!$I$10</x:f>
        <x:v>0.020414069063026476</x:v>
      </x:c>
      <x:c r="I8" s="43" t="n">
        <x:f>'Calc'!F8</x:f>
        <x:v>0.00004145331899110815</x:v>
      </x:c>
      <x:c r="J8" s="43" t="n">
        <x:f>'Calc'!G8</x:f>
        <x:v>1282.0035371580627</x:v>
      </x:c>
      <x:c r="K8" s="43" t="n">
        <x:f>'Inputs'!H8</x:f>
        <x:v>0.7</x:v>
      </x:c>
      <x:c r="L8" s="43" t="str">
        <x:f>"BHA component"</x:f>
        <x:v>BHA component</x:v>
      </x:c>
      <x:c r="M8" s="43" t="str">
        <x:f>IF(AND('Inputs'!F8&gt;'Inputs'!G8,'Inputs'!E8&gt;0),"PASS","REVIEW")</x:f>
        <x:v>PASS</x:v>
      </x:c>
      <x:c r="N8" s="40"/>
    </x:row>
    <x:row r="9">
      <x:c r="A9" s="43" t="str">
        <x:f>'Inputs'!I9</x:f>
        <x:v>bha-mwd-lwd</x:v>
      </x:c>
      <x:c r="B9" s="43" t="str">
        <x:f>'Inputs'!D9</x:f>
        <x:v>MWD / LWD</x:v>
      </x:c>
      <x:c r="C9" s="43" t="n">
        <x:f>D8</x:f>
        <x:v>9.8</x:v>
      </x:c>
      <x:c r="D9" s="43" t="n">
        <x:f>C9+'Inputs'!E9*'Unit Map'!$I$8</x:f>
        <x:v>21.8</x:v>
      </x:c>
      <x:c r="E9" s="43" t="n">
        <x:f>'Inputs'!E9*'Unit Map'!$I$8</x:f>
        <x:v>12</x:v>
      </x:c>
      <x:c r="F9" s="43" t="n">
        <x:f>'Inputs'!F9*'Unit Map'!$I$9</x:f>
        <x:v>0.171</x:v>
      </x:c>
      <x:c r="G9" s="43" t="n">
        <x:f>'Inputs'!G9*'Unit Map'!$I$9</x:f>
        <x:v>0.057</x:v>
      </x:c>
      <x:c r="H9" s="43" t="n">
        <x:f>PI()/4*('Inputs'!F9^2-'Inputs'!G9^2)*'Unit Map'!$I$10</x:f>
        <x:v>0.020414069063026476</x:v>
      </x:c>
      <x:c r="I9" s="43" t="n">
        <x:f>'Calc'!F9</x:f>
        <x:v>0.00004145331899110815</x:v>
      </x:c>
      <x:c r="J9" s="43" t="n">
        <x:f>'Calc'!G9</x:f>
        <x:v>1923.005305737094</x:v>
      </x:c>
      <x:c r="K9" s="43" t="n">
        <x:f>'Inputs'!H9</x:f>
        <x:v>0.65</x:v>
      </x:c>
      <x:c r="L9" s="43" t="str">
        <x:f>"BHA component"</x:f>
        <x:v>BHA component</x:v>
      </x:c>
      <x:c r="M9" s="43" t="str">
        <x:f>IF(AND('Inputs'!F9&gt;'Inputs'!G9,'Inputs'!E9&gt;0),"PASS","REVIEW")</x:f>
        <x:v>PASS</x:v>
      </x:c>
      <x:c r="N9" s="40"/>
    </x:row>
    <x:row r="10">
      <x:c r="A10" s="43" t="str">
        <x:f>'Inputs'!I10</x:f>
        <x:v>bha-drill-collar</x:v>
      </x:c>
      <x:c r="B10" s="43" t="str">
        <x:f>'Inputs'!D10</x:f>
        <x:v>Drill collar</x:v>
      </x:c>
      <x:c r="C10" s="43" t="n">
        <x:f>D9</x:f>
        <x:v>21.8</x:v>
      </x:c>
      <x:c r="D10" s="43" t="n">
        <x:f>C10+'Inputs'!E10*'Unit Map'!$I$8</x:f>
        <x:v>111.8</x:v>
      </x:c>
      <x:c r="E10" s="43" t="n">
        <x:f>'Inputs'!E10*'Unit Map'!$I$8</x:f>
        <x:v>90</x:v>
      </x:c>
      <x:c r="F10" s="43" t="n">
        <x:f>'Inputs'!F10*'Unit Map'!$I$9</x:f>
        <x:v>0.171</x:v>
      </x:c>
      <x:c r="G10" s="43" t="n">
        <x:f>'Inputs'!G10*'Unit Map'!$I$9</x:f>
        <x:v>0.071</x:v>
      </x:c>
      <x:c r="H10" s="43" t="n">
        <x:f>PI()/4*('Inputs'!F10^2-'Inputs'!G10^2)*'Unit Map'!$I$10</x:f>
        <x:v>0.019006635554218252</x:v>
      </x:c>
      <x:c r="I10" s="43" t="n">
        <x:f>'Calc'!F10</x:f>
        <x:v>0.00004072409250435688</x:v>
      </x:c>
      <x:c r="J10" s="43" t="n">
        <x:f>'Calc'!G10</x:f>
        <x:v>13428.188019055196</x:v>
      </x:c>
      <x:c r="K10" s="43" t="n">
        <x:f>'Inputs'!H10</x:f>
        <x:v>0.55</x:v>
      </x:c>
      <x:c r="L10" s="43" t="str">
        <x:f>"BHA component"</x:f>
        <x:v>BHA component</x:v>
      </x:c>
      <x:c r="M10" s="43" t="str">
        <x:f>IF(AND('Inputs'!F10&gt;'Inputs'!G10,'Inputs'!E10&gt;0),"PASS","REVIEW")</x:f>
        <x:v>PASS</x:v>
      </x:c>
      <x:c r="N10" s="40"/>
    </x:row>
    <x:row r="11">
      <x:c r="A11" s="43" t="str">
        <x:f>'Inputs'!I11</x:f>
        <x:v>bha-hwdp-transition</x:v>
      </x:c>
      <x:c r="B11" s="43" t="str">
        <x:f>'Inputs'!D11</x:f>
        <x:v>HWDP transition</x:v>
      </x:c>
      <x:c r="C11" s="43" t="n">
        <x:f>D10</x:f>
        <x:v>111.8</x:v>
      </x:c>
      <x:c r="D11" s="43" t="n">
        <x:f>C11+'Inputs'!E11*'Unit Map'!$I$8</x:f>
        <x:v>171.8</x:v>
      </x:c>
      <x:c r="E11" s="43" t="n">
        <x:f>'Inputs'!E11*'Unit Map'!$I$8</x:f>
        <x:v>60</x:v>
      </x:c>
      <x:c r="F11" s="43" t="n">
        <x:f>'Inputs'!F11*'Unit Map'!$I$9</x:f>
        <x:v>0.14</x:v>
      </x:c>
      <x:c r="G11" s="43" t="n">
        <x:f>'Inputs'!G11*'Unit Map'!$I$9</x:f>
        <x:v>0.076</x:v>
      </x:c>
      <x:c r="H11" s="43" t="n">
        <x:f>PI()/4*('Inputs'!F11^2-'Inputs'!G11^2)*'Unit Map'!$I$10</x:f>
        <x:v>0.010857344210806327</x:v>
      </x:c>
      <x:c r="I11" s="43" t="n">
        <x:f>'Calc'!F11</x:f>
        <x:v>0.00001721974791833884</x:v>
      </x:c>
      <x:c r="J11" s="43" t="n">
        <x:f>'Calc'!G11</x:f>
        <x:v>5113.80912328978</x:v>
      </x:c>
      <x:c r="K11" s="43" t="n">
        <x:f>'Inputs'!H11</x:f>
        <x:v>0.4</x:v>
      </x:c>
      <x:c r="L11" s="43" t="str">
        <x:f>"BHA component"</x:f>
        <x:v>BHA component</x:v>
      </x:c>
      <x:c r="M11" s="43" t="str">
        <x:f>IF(AND('Inputs'!F11&gt;'Inputs'!G11,'Inputs'!E11&gt;0),"PASS","REVIEW")</x:f>
        <x:v>PASS</x:v>
      </x:c>
      <x:c r="N11" s="40"/>
    </x:row>
  </x:sheetData>
  <x:mergeCells>
    <x:mergeCell ref="A1:N1"/>
    <x:mergeCell ref="A3:M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Vibration Modes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  <x:c r="AA2" s="40"/>
    </x:row>
    <x:row r="3">
      <x:c r="A3" s="41" t="str">
        <x:v>Axial, lateral and torsional modal screening</x:v>
      </x:c>
      <x:c r="B3" s="41" t="str">
        <x:v>Axial, lateral and torsional modal screening</x:v>
      </x:c>
      <x:c r="C3" s="41" t="str">
        <x:v>Axial, lateral and torsional modal screening</x:v>
      </x:c>
      <x:c r="D3" s="41" t="str">
        <x:v>Axial, lateral and torsional modal screening</x:v>
      </x:c>
      <x:c r="E3" s="41" t="str">
        <x:v>Axial, lateral and torsional modal screening</x:v>
      </x:c>
      <x:c r="F3" s="41" t="str">
        <x:v>Axial, lateral and torsional modal screening</x:v>
      </x:c>
      <x:c r="G3" s="41" t="str">
        <x:v>Axial, lateral and torsional modal screening</x:v>
      </x:c>
      <x:c r="H3" s="41" t="str">
        <x:v>Axial, lateral and torsional modal screening</x:v>
      </x:c>
      <x:c r="I3" s="41" t="str">
        <x:v>Axial, lateral and torsional modal screening</x:v>
      </x:c>
      <x:c r="J3" s="41" t="str">
        <x:v>Axial, lateral and torsional modal screening</x:v>
      </x:c>
      <x:c r="K3" s="41" t="str">
        <x:v>Axial, lateral and torsional modal screening</x:v>
      </x:c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  <x:c r="AA3" s="40"/>
    </x:row>
    <x:row r="4">
      <x:c r="A4" s="45" t="str">
        <x:v>Screening only: component beam frequencies and rotary orders are uncoupled; no rigid-body contact, damping calibration or forced-response amplitude is solved.</x:v>
      </x:c>
      <x:c r="B4" s="45"/>
      <x:c r="C4" s="45"/>
      <x:c r="D4" s="45"/>
      <x:c r="E4" s="45"/>
      <x:c r="F4" s="45"/>
      <x:c r="G4" s="45"/>
      <x:c r="H4" s="45"/>
      <x:c r="I4" s="45"/>
      <x:c r="J4" s="45"/>
      <x:c r="K4" s="45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  <x:c r="AA4" s="40"/>
    </x:row>
    <x:row r="5">
      <x:c r="A5" s="42" t="str">
        <x:v>Component</x:v>
      </x:c>
      <x:c r="B5" s="42" t="str">
        <x:v>Mode</x:v>
      </x:c>
      <x:c r="C5" s="42" t="str">
        <x:v>Natural frequency Hz</x:v>
      </x:c>
      <x:c r="D5" s="42" t="str">
        <x:v>Operating excitation Hz</x:v>
      </x:c>
      <x:c r="E5" s="42" t="str">
        <x:v>Frequency ratio</x:v>
      </x:c>
      <x:c r="F5" s="42" t="str">
        <x:v>Separation %</x:v>
      </x:c>
      <x:c r="G5" s="42" t="str">
        <x:v>Mass kg</x:v>
      </x:c>
      <x:c r="H5" s="42" t="str">
        <x:v>Stiffness N/m</x:v>
      </x:c>
      <x:c r="I5" s="42" t="str">
        <x:v>Damping ratio</x:v>
      </x:c>
      <x:c r="J5" s="42" t="str">
        <x:v>Status</x:v>
      </x:c>
      <x:c r="K5" s="42" t="str">
        <x:v>Record ID</x:v>
      </x:c>
      <x:c r="L5" s="40"/>
      <x:c r="M5" s="42" t="str">
        <x:v>RPM</x:v>
      </x:c>
      <x:c r="N5" s="42" t="str">
        <x:v>1× rotary</x:v>
      </x:c>
      <x:c r="O5" s="42" t="str">
        <x:v>3× rotary</x:v>
      </x:c>
      <x:c r="P5" s="42" t="str">
        <x:v>5× rotary</x:v>
      </x:c>
      <x:c r="Q5" s="42" t="str">
        <x:v>Bit first mode</x:v>
      </x:c>
      <x:c r="R5" s="42" t="str">
        <x:v>Near-bit stabilizer first mode</x:v>
      </x:c>
      <x:c r="S5" s="42" t="str">
        <x:v>Motor / RSS first mode</x:v>
      </x:c>
      <x:c r="T5" s="42" t="str">
        <x:v>MWD / LWD first mode</x:v>
      </x:c>
      <x:c r="U5" s="42" t="str">
        <x:v>Drill collar first mode</x:v>
      </x:c>
      <x:c r="V5" s="42" t="str">
        <x:v>HWDP transition first mode</x:v>
      </x:c>
      <x:c r="W5" s="40"/>
      <x:c r="X5" s="42" t="str">
        <x:f>"Distance from bit "&amp;'Unit Map'!$H$8</x:f>
        <x:v>Distance from bit m</x:v>
      </x:c>
      <x:c r="Y5" s="42" t="str">
        <x:v>Mode 1</x:v>
      </x:c>
      <x:c r="Z5" s="42" t="str">
        <x:v>Mode 2</x:v>
      </x:c>
      <x:c r="AA5" s="42" t="str">
        <x:v>Mode 3</x:v>
      </x:c>
    </x:row>
    <x:row r="6">
      <x:c r="A6" s="43" t="str">
        <x:f>'Calc'!A6</x:f>
        <x:v>Bit</x:v>
      </x:c>
      <x:c r="B6" s="43" t="n">
        <x:f>1</x:f>
        <x:v>1</x:v>
      </x:c>
      <x:c r="C6" s="43" t="n">
        <x:f>'Calc'!I6*B6</x:f>
        <x:v>3485.874984661293</x:v>
      </x:c>
      <x:c r="D6" s="43" t="n">
        <x:f>'Inputs'!$B$5/60</x:f>
        <x:v>2</x:v>
      </x:c>
      <x:c r="E6" s="43" t="n">
        <x:f>D6/C6</x:f>
        <x:v>0.0005737440409654653</x:v>
      </x:c>
      <x:c r="F6" s="43" t="n">
        <x:f>ABS(C6-D6)/MAX(C6,0.000001)</x:f>
        <x:v>0.9994262559590346</x:v>
      </x:c>
      <x:c r="G6" s="43" t="n">
        <x:f>'Calc'!G6</x:f>
        <x:v>81.67149726851254</x:v>
      </x:c>
      <x:c r="H6" s="43" t="n">
        <x:f>'Calc'!H6</x:f>
        <x:v>39179047167.71317</x:v>
      </x:c>
      <x:c r="I6" s="43" t="n">
        <x:f>0.03+0.01*(B6-1)</x:f>
        <x:v>0.03</x:v>
      </x:c>
      <x:c r="J6" s="43" t="str">
        <x:f>IF(F6&lt;0.20,"REVIEW","CLEAR")</x:f>
        <x:v>CLEAR</x:v>
      </x:c>
      <x:c r="K6" s="43" t="str">
        <x:f>'Inputs'!I6</x:f>
        <x:v>bha-bit</x:v>
      </x:c>
      <x:c r="L6" s="40"/>
      <x:c r="M6" s="43" t="n">
        <x:f>0</x:f>
        <x:v>0</x:v>
      </x:c>
      <x:c r="N6" s="43" t="n">
        <x:f>M6/60</x:f>
        <x:v>0</x:v>
      </x:c>
      <x:c r="O6" s="43" t="n">
        <x:f>3*M6/60</x:f>
        <x:v>0</x:v>
      </x:c>
      <x:c r="P6" s="43" t="n">
        <x:f>5*M6/60</x:f>
        <x:v>0</x:v>
      </x:c>
      <x:c r="Q6" s="43" t="n">
        <x:f>Calc!I6</x:f>
        <x:v>3485.874984661293</x:v>
      </x:c>
      <x:c r="R6" s="43" t="n">
        <x:f>Calc!I7</x:f>
        <x:v>124.50472859284133</x:v>
      </x:c>
      <x:c r="S6" s="43" t="n">
        <x:f>Calc!I8</x:f>
        <x:v>3.3343405276111335</x:v>
      </x:c>
      <x:c r="T6" s="43" t="n">
        <x:f>Calc!I9</x:f>
        <x:v>1.4280226350619194</x:v>
      </x:c>
      <x:c r="U6" s="43" t="n">
        <x:f>Calc!I10</x:f>
        <x:v>0.023988077904446573</x:v>
      </x:c>
      <x:c r="V6" s="43" t="n">
        <x:f>Calc!I11</x:f>
        <x:v>0.03960090647511852</x:v>
      </x:c>
      <x:c r="W6" s="40"/>
      <x:c r="X6" s="43" t="n">
        <x:f>('BHA Assembly'!C6+'BHA Assembly'!D6)/2</x:f>
        <x:v>0.15</x:v>
      </x:c>
      <x:c r="Y6" s="43" t="n">
        <x:f>Calc!I6</x:f>
        <x:v>3485.874984661293</x:v>
      </x:c>
      <x:c r="Z6" s="43" t="n">
        <x:f>2*Calc!I6</x:f>
        <x:v>6971.749969322586</x:v>
      </x:c>
      <x:c r="AA6" s="43" t="n">
        <x:f>3*Calc!I6</x:f>
        <x:v>10457.62495398388</x:v>
      </x:c>
    </x:row>
    <x:row r="7">
      <x:c r="A7" s="43" t="str">
        <x:f>'Calc'!A6</x:f>
        <x:v>Bit</x:v>
      </x:c>
      <x:c r="B7" s="43" t="n">
        <x:f>2</x:f>
        <x:v>2</x:v>
      </x:c>
      <x:c r="C7" s="43" t="n">
        <x:f>'Calc'!I6*B7</x:f>
        <x:v>6971.749969322586</x:v>
      </x:c>
      <x:c r="D7" s="43" t="n">
        <x:f>'Inputs'!$B$5/60</x:f>
        <x:v>2</x:v>
      </x:c>
      <x:c r="E7" s="43" t="n">
        <x:f>D7/C7</x:f>
        <x:v>0.00028687202048273267</x:v>
      </x:c>
      <x:c r="F7" s="43" t="n">
        <x:f>ABS(C7-D7)/MAX(C7,0.000001)</x:f>
        <x:v>0.9997131279795173</x:v>
      </x:c>
      <x:c r="G7" s="43" t="n">
        <x:f>'Calc'!G6</x:f>
        <x:v>81.67149726851254</x:v>
      </x:c>
      <x:c r="H7" s="43" t="n">
        <x:f>'Calc'!H6</x:f>
        <x:v>39179047167.71317</x:v>
      </x:c>
      <x:c r="I7" s="43" t="n">
        <x:f>0.03+0.01*(B7-1)</x:f>
        <x:v>0.04</x:v>
      </x:c>
      <x:c r="J7" s="43" t="str">
        <x:f>IF(F7&lt;0.20,"REVIEW","CLEAR")</x:f>
        <x:v>CLEAR</x:v>
      </x:c>
      <x:c r="K7" s="43" t="str">
        <x:f>'Inputs'!I6</x:f>
        <x:v>bha-bit</x:v>
      </x:c>
      <x:c r="L7" s="40"/>
      <x:c r="M7" s="43" t="n">
        <x:f>30</x:f>
        <x:v>30</x:v>
      </x:c>
      <x:c r="N7" s="43" t="n">
        <x:f>M7/60</x:f>
        <x:v>0.5</x:v>
      </x:c>
      <x:c r="O7" s="43" t="n">
        <x:f>3*M7/60</x:f>
        <x:v>1.5</x:v>
      </x:c>
      <x:c r="P7" s="43" t="n">
        <x:f>5*M7/60</x:f>
        <x:v>2.5</x:v>
      </x:c>
      <x:c r="Q7" s="43" t="n">
        <x:f>Calc!I6</x:f>
        <x:v>3485.874984661293</x:v>
      </x:c>
      <x:c r="R7" s="43" t="n">
        <x:f>Calc!I7</x:f>
        <x:v>124.50472859284133</x:v>
      </x:c>
      <x:c r="S7" s="43" t="n">
        <x:f>Calc!I8</x:f>
        <x:v>3.3343405276111335</x:v>
      </x:c>
      <x:c r="T7" s="43" t="n">
        <x:f>Calc!I9</x:f>
        <x:v>1.4280226350619194</x:v>
      </x:c>
      <x:c r="U7" s="43" t="n">
        <x:f>Calc!I10</x:f>
        <x:v>0.023988077904446573</x:v>
      </x:c>
      <x:c r="V7" s="43" t="n">
        <x:f>Calc!I11</x:f>
        <x:v>0.03960090647511852</x:v>
      </x:c>
      <x:c r="W7" s="40"/>
      <x:c r="X7" s="43" t="n">
        <x:f>('BHA Assembly'!C7+'BHA Assembly'!D7)/2</x:f>
        <x:v>1.05</x:v>
      </x:c>
      <x:c r="Y7" s="43" t="n">
        <x:f>Calc!I7</x:f>
        <x:v>124.50472859284133</x:v>
      </x:c>
      <x:c r="Z7" s="43" t="n">
        <x:f>2*Calc!I7</x:f>
        <x:v>249.00945718568266</x:v>
      </x:c>
      <x:c r="AA7" s="43" t="n">
        <x:f>3*Calc!I7</x:f>
        <x:v>373.514185778524</x:v>
      </x:c>
    </x:row>
    <x:row r="8">
      <x:c r="A8" s="43" t="str">
        <x:f>'Calc'!A6</x:f>
        <x:v>Bit</x:v>
      </x:c>
      <x:c r="B8" s="43" t="n">
        <x:f>3</x:f>
        <x:v>3</x:v>
      </x:c>
      <x:c r="C8" s="43" t="n">
        <x:f>'Calc'!I6*B8</x:f>
        <x:v>10457.62495398388</x:v>
      </x:c>
      <x:c r="D8" s="43" t="n">
        <x:f>'Inputs'!$B$5/60</x:f>
        <x:v>2</x:v>
      </x:c>
      <x:c r="E8" s="43" t="n">
        <x:f>D8/C8</x:f>
        <x:v>0.00019124801365515514</x:v>
      </x:c>
      <x:c r="F8" s="43" t="n">
        <x:f>ABS(C8-D8)/MAX(C8,0.000001)</x:f>
        <x:v>0.9998087519863449</x:v>
      </x:c>
      <x:c r="G8" s="43" t="n">
        <x:f>'Calc'!G6</x:f>
        <x:v>81.67149726851254</x:v>
      </x:c>
      <x:c r="H8" s="43" t="n">
        <x:f>'Calc'!H6</x:f>
        <x:v>39179047167.71317</x:v>
      </x:c>
      <x:c r="I8" s="43" t="n">
        <x:f>0.03+0.01*(B8-1)</x:f>
        <x:v>0.05</x:v>
      </x:c>
      <x:c r="J8" s="43" t="str">
        <x:f>IF(F8&lt;0.20,"REVIEW","CLEAR")</x:f>
        <x:v>CLEAR</x:v>
      </x:c>
      <x:c r="K8" s="43" t="str">
        <x:f>'Inputs'!I6</x:f>
        <x:v>bha-bit</x:v>
      </x:c>
      <x:c r="L8" s="40"/>
      <x:c r="M8" s="43" t="n">
        <x:f>60</x:f>
        <x:v>60</x:v>
      </x:c>
      <x:c r="N8" s="43" t="n">
        <x:f>M8/60</x:f>
        <x:v>1</x:v>
      </x:c>
      <x:c r="O8" s="43" t="n">
        <x:f>3*M8/60</x:f>
        <x:v>3</x:v>
      </x:c>
      <x:c r="P8" s="43" t="n">
        <x:f>5*M8/60</x:f>
        <x:v>5</x:v>
      </x:c>
      <x:c r="Q8" s="43" t="n">
        <x:f>Calc!I6</x:f>
        <x:v>3485.874984661293</x:v>
      </x:c>
      <x:c r="R8" s="43" t="n">
        <x:f>Calc!I7</x:f>
        <x:v>124.50472859284133</x:v>
      </x:c>
      <x:c r="S8" s="43" t="n">
        <x:f>Calc!I8</x:f>
        <x:v>3.3343405276111335</x:v>
      </x:c>
      <x:c r="T8" s="43" t="n">
        <x:f>Calc!I9</x:f>
        <x:v>1.4280226350619194</x:v>
      </x:c>
      <x:c r="U8" s="43" t="n">
        <x:f>Calc!I10</x:f>
        <x:v>0.023988077904446573</x:v>
      </x:c>
      <x:c r="V8" s="43" t="n">
        <x:f>Calc!I11</x:f>
        <x:v>0.03960090647511852</x:v>
      </x:c>
      <x:c r="W8" s="40"/>
      <x:c r="X8" s="43" t="n">
        <x:f>('BHA Assembly'!C8+'BHA Assembly'!D8)/2</x:f>
        <x:v>5.800000000000001</x:v>
      </x:c>
      <x:c r="Y8" s="43" t="n">
        <x:f>Calc!I8</x:f>
        <x:v>3.3343405276111335</x:v>
      </x:c>
      <x:c r="Z8" s="43" t="n">
        <x:f>2*Calc!I8</x:f>
        <x:v>6.668681055222267</x:v>
      </x:c>
      <x:c r="AA8" s="43" t="n">
        <x:f>3*Calc!I8</x:f>
        <x:v>10.003021582833401</x:v>
      </x:c>
    </x:row>
    <x:row r="9">
      <x:c r="A9" s="43" t="str">
        <x:f>'Calc'!A7</x:f>
        <x:v>Near-bit stabilizer</x:v>
      </x:c>
      <x:c r="B9" s="43" t="n">
        <x:f>1</x:f>
        <x:v>1</x:v>
      </x:c>
      <x:c r="C9" s="43" t="n">
        <x:f>'Calc'!I7*B9</x:f>
        <x:v>124.50472859284133</x:v>
      </x:c>
      <x:c r="D9" s="43" t="n">
        <x:f>'Inputs'!$B$5/60</x:f>
        <x:v>2</x:v>
      </x:c>
      <x:c r="E9" s="43" t="n">
        <x:f>D9/C9</x:f>
        <x:v>0.0160636469201138</x:v>
      </x:c>
      <x:c r="F9" s="43" t="n">
        <x:f>ABS(C9-D9)/MAX(C9,0.000001)</x:f>
        <x:v>0.9839363530798863</x:v>
      </x:c>
      <x:c r="G9" s="43" t="n">
        <x:f>'Calc'!G7</x:f>
        <x:v>335.7879330467459</x:v>
      </x:c>
      <x:c r="H9" s="43" t="n">
        <x:f>'Calc'!H7</x:f>
        <x:v>205492754.5414329</x:v>
      </x:c>
      <x:c r="I9" s="43" t="n">
        <x:f>0.03+0.01*(B9-1)</x:f>
        <x:v>0.03</x:v>
      </x:c>
      <x:c r="J9" s="43" t="str">
        <x:f>IF(F9&lt;0.20,"REVIEW","CLEAR")</x:f>
        <x:v>CLEAR</x:v>
      </x:c>
      <x:c r="K9" s="43" t="str">
        <x:f>'Inputs'!I7</x:f>
        <x:v>bha-near-bit-stabilizer</x:v>
      </x:c>
      <x:c r="L9" s="40"/>
      <x:c r="M9" s="43" t="n">
        <x:f>90</x:f>
        <x:v>90</x:v>
      </x:c>
      <x:c r="N9" s="43" t="n">
        <x:f>M9/60</x:f>
        <x:v>1.5</x:v>
      </x:c>
      <x:c r="O9" s="43" t="n">
        <x:f>3*M9/60</x:f>
        <x:v>4.5</x:v>
      </x:c>
      <x:c r="P9" s="43" t="n">
        <x:f>5*M9/60</x:f>
        <x:v>7.5</x:v>
      </x:c>
      <x:c r="Q9" s="43" t="n">
        <x:f>Calc!I6</x:f>
        <x:v>3485.874984661293</x:v>
      </x:c>
      <x:c r="R9" s="43" t="n">
        <x:f>Calc!I7</x:f>
        <x:v>124.50472859284133</x:v>
      </x:c>
      <x:c r="S9" s="43" t="n">
        <x:f>Calc!I8</x:f>
        <x:v>3.3343405276111335</x:v>
      </x:c>
      <x:c r="T9" s="43" t="n">
        <x:f>Calc!I9</x:f>
        <x:v>1.4280226350619194</x:v>
      </x:c>
      <x:c r="U9" s="43" t="n">
        <x:f>Calc!I10</x:f>
        <x:v>0.023988077904446573</x:v>
      </x:c>
      <x:c r="V9" s="43" t="n">
        <x:f>Calc!I11</x:f>
        <x:v>0.03960090647511852</x:v>
      </x:c>
      <x:c r="W9" s="40"/>
      <x:c r="X9" s="43" t="n">
        <x:f>('BHA Assembly'!C9+'BHA Assembly'!D9)/2</x:f>
        <x:v>15.8</x:v>
      </x:c>
      <x:c r="Y9" s="43" t="n">
        <x:f>Calc!I9</x:f>
        <x:v>1.4280226350619194</x:v>
      </x:c>
      <x:c r="Z9" s="43" t="n">
        <x:f>2*Calc!I9</x:f>
        <x:v>2.856045270123839</x:v>
      </x:c>
      <x:c r="AA9" s="43" t="n">
        <x:f>3*Calc!I9</x:f>
        <x:v>4.284067905185758</x:v>
      </x:c>
    </x:row>
    <x:row r="10">
      <x:c r="A10" s="43" t="str">
        <x:f>'Calc'!A7</x:f>
        <x:v>Near-bit stabilizer</x:v>
      </x:c>
      <x:c r="B10" s="43" t="n">
        <x:f>2</x:f>
        <x:v>2</x:v>
      </x:c>
      <x:c r="C10" s="43" t="n">
        <x:f>'Calc'!I7*B10</x:f>
        <x:v>249.00945718568266</x:v>
      </x:c>
      <x:c r="D10" s="43" t="n">
        <x:f>'Inputs'!$B$5/60</x:f>
        <x:v>2</x:v>
      </x:c>
      <x:c r="E10" s="43" t="n">
        <x:f>D10/C10</x:f>
        <x:v>0.0080318234600569</x:v>
      </x:c>
      <x:c r="F10" s="43" t="n">
        <x:f>ABS(C10-D10)/MAX(C10,0.000001)</x:f>
        <x:v>0.9919681765399431</x:v>
      </x:c>
      <x:c r="G10" s="43" t="n">
        <x:f>'Calc'!G7</x:f>
        <x:v>335.7879330467459</x:v>
      </x:c>
      <x:c r="H10" s="43" t="n">
        <x:f>'Calc'!H7</x:f>
        <x:v>205492754.5414329</x:v>
      </x:c>
      <x:c r="I10" s="43" t="n">
        <x:f>0.03+0.01*(B10-1)</x:f>
        <x:v>0.04</x:v>
      </x:c>
      <x:c r="J10" s="43" t="str">
        <x:f>IF(F10&lt;0.20,"REVIEW","CLEAR")</x:f>
        <x:v>CLEAR</x:v>
      </x:c>
      <x:c r="K10" s="43" t="str">
        <x:f>'Inputs'!I7</x:f>
        <x:v>bha-near-bit-stabilizer</x:v>
      </x:c>
      <x:c r="L10" s="40"/>
      <x:c r="M10" s="43" t="n">
        <x:f>120</x:f>
        <x:v>120</x:v>
      </x:c>
      <x:c r="N10" s="43" t="n">
        <x:f>M10/60</x:f>
        <x:v>2</x:v>
      </x:c>
      <x:c r="O10" s="43" t="n">
        <x:f>3*M10/60</x:f>
        <x:v>6</x:v>
      </x:c>
      <x:c r="P10" s="43" t="n">
        <x:f>5*M10/60</x:f>
        <x:v>10</x:v>
      </x:c>
      <x:c r="Q10" s="43" t="n">
        <x:f>Calc!I6</x:f>
        <x:v>3485.874984661293</x:v>
      </x:c>
      <x:c r="R10" s="43" t="n">
        <x:f>Calc!I7</x:f>
        <x:v>124.50472859284133</x:v>
      </x:c>
      <x:c r="S10" s="43" t="n">
        <x:f>Calc!I8</x:f>
        <x:v>3.3343405276111335</x:v>
      </x:c>
      <x:c r="T10" s="43" t="n">
        <x:f>Calc!I9</x:f>
        <x:v>1.4280226350619194</x:v>
      </x:c>
      <x:c r="U10" s="43" t="n">
        <x:f>Calc!I10</x:f>
        <x:v>0.023988077904446573</x:v>
      </x:c>
      <x:c r="V10" s="43" t="n">
        <x:f>Calc!I11</x:f>
        <x:v>0.03960090647511852</x:v>
      </x:c>
      <x:c r="W10" s="40"/>
      <x:c r="X10" s="43" t="n">
        <x:f>('BHA Assembly'!C10+'BHA Assembly'!D10)/2</x:f>
        <x:v>66.8</x:v>
      </x:c>
      <x:c r="Y10" s="43" t="n">
        <x:f>Calc!I10</x:f>
        <x:v>0.023988077904446573</x:v>
      </x:c>
      <x:c r="Z10" s="43" t="n">
        <x:f>2*Calc!I10</x:f>
        <x:v>0.047976155808893146</x:v>
      </x:c>
      <x:c r="AA10" s="43" t="n">
        <x:f>3*Calc!I10</x:f>
        <x:v>0.07196423371333972</x:v>
      </x:c>
    </x:row>
    <x:row r="11">
      <x:c r="A11" s="43" t="str">
        <x:f>'Calc'!A7</x:f>
        <x:v>Near-bit stabilizer</x:v>
      </x:c>
      <x:c r="B11" s="43" t="n">
        <x:f>3</x:f>
        <x:v>3</x:v>
      </x:c>
      <x:c r="C11" s="43" t="n">
        <x:f>'Calc'!I7*B11</x:f>
        <x:v>373.514185778524</x:v>
      </x:c>
      <x:c r="D11" s="43" t="n">
        <x:f>'Inputs'!$B$5/60</x:f>
        <x:v>2</x:v>
      </x:c>
      <x:c r="E11" s="43" t="n">
        <x:f>D11/C11</x:f>
        <x:v>0.005354548973371266</x:v>
      </x:c>
      <x:c r="F11" s="43" t="n">
        <x:f>ABS(C11-D11)/MAX(C11,0.000001)</x:f>
        <x:v>0.9946454510266287</x:v>
      </x:c>
      <x:c r="G11" s="43" t="n">
        <x:f>'Calc'!G7</x:f>
        <x:v>335.7879330467459</x:v>
      </x:c>
      <x:c r="H11" s="43" t="n">
        <x:f>'Calc'!H7</x:f>
        <x:v>205492754.5414329</x:v>
      </x:c>
      <x:c r="I11" s="43" t="n">
        <x:f>0.03+0.01*(B11-1)</x:f>
        <x:v>0.05</x:v>
      </x:c>
      <x:c r="J11" s="43" t="str">
        <x:f>IF(F11&lt;0.20,"REVIEW","CLEAR")</x:f>
        <x:v>CLEAR</x:v>
      </x:c>
      <x:c r="K11" s="43" t="str">
        <x:f>'Inputs'!I7</x:f>
        <x:v>bha-near-bit-stabilizer</x:v>
      </x:c>
      <x:c r="L11" s="40"/>
      <x:c r="M11" s="43" t="n">
        <x:f>150</x:f>
        <x:v>150</x:v>
      </x:c>
      <x:c r="N11" s="43" t="n">
        <x:f>M11/60</x:f>
        <x:v>2.5</x:v>
      </x:c>
      <x:c r="O11" s="43" t="n">
        <x:f>3*M11/60</x:f>
        <x:v>7.5</x:v>
      </x:c>
      <x:c r="P11" s="43" t="n">
        <x:f>5*M11/60</x:f>
        <x:v>12.5</x:v>
      </x:c>
      <x:c r="Q11" s="43" t="n">
        <x:f>Calc!I6</x:f>
        <x:v>3485.874984661293</x:v>
      </x:c>
      <x:c r="R11" s="43" t="n">
        <x:f>Calc!I7</x:f>
        <x:v>124.50472859284133</x:v>
      </x:c>
      <x:c r="S11" s="43" t="n">
        <x:f>Calc!I8</x:f>
        <x:v>3.3343405276111335</x:v>
      </x:c>
      <x:c r="T11" s="43" t="n">
        <x:f>Calc!I9</x:f>
        <x:v>1.4280226350619194</x:v>
      </x:c>
      <x:c r="U11" s="43" t="n">
        <x:f>Calc!I10</x:f>
        <x:v>0.023988077904446573</x:v>
      </x:c>
      <x:c r="V11" s="43" t="n">
        <x:f>Calc!I11</x:f>
        <x:v>0.03960090647511852</x:v>
      </x:c>
      <x:c r="W11" s="40"/>
      <x:c r="X11" s="43" t="n">
        <x:f>('BHA Assembly'!C11+'BHA Assembly'!D11)/2</x:f>
        <x:v>141.8</x:v>
      </x:c>
      <x:c r="Y11" s="43" t="n">
        <x:f>Calc!I11</x:f>
        <x:v>0.03960090647511852</x:v>
      </x:c>
      <x:c r="Z11" s="43" t="n">
        <x:f>2*Calc!I11</x:f>
        <x:v>0.07920181295023704</x:v>
      </x:c>
      <x:c r="AA11" s="43" t="n">
        <x:f>3*Calc!I11</x:f>
        <x:v>0.11880271942535556</x:v>
      </x:c>
    </x:row>
    <x:row r="12">
      <x:c r="A12" s="43" t="str">
        <x:f>'Calc'!A8</x:f>
        <x:v>Motor / RSS</x:v>
      </x:c>
      <x:c r="B12" s="43" t="n">
        <x:f>1</x:f>
        <x:v>1</x:v>
      </x:c>
      <x:c r="C12" s="43" t="n">
        <x:f>'Calc'!I8*B12</x:f>
        <x:v>3.3343405276111335</x:v>
      </x:c>
      <x:c r="D12" s="43" t="n">
        <x:f>'Inputs'!$B$5/60</x:f>
        <x:v>2</x:v>
      </x:c>
      <x:c r="E12" s="43" t="n">
        <x:f>D12/C12</x:f>
        <x:v>0.5998187597932257</x:v>
      </x:c>
      <x:c r="F12" s="43" t="n">
        <x:f>ABS(C12-D12)/MAX(C12,0.000001)</x:f>
        <x:v>0.40018124020677426</x:v>
      </x:c>
      <x:c r="G12" s="43" t="n">
        <x:f>'Calc'!G8</x:f>
        <x:v>1282.0035371580627</x:v>
      </x:c>
      <x:c r="H12" s="43" t="n">
        <x:f>'Calc'!H8</x:f>
        <x:v>562689.5664599261</x:v>
      </x:c>
      <x:c r="I12" s="43" t="n">
        <x:f>0.03+0.01*(B12-1)</x:f>
        <x:v>0.03</x:v>
      </x:c>
      <x:c r="J12" s="43" t="str">
        <x:f>IF(F12&lt;0.20,"REVIEW","CLEAR")</x:f>
        <x:v>CLEAR</x:v>
      </x:c>
      <x:c r="K12" s="43" t="str">
        <x:f>'Inputs'!I8</x:f>
        <x:v>bha-motor-rss</x:v>
      </x:c>
      <x:c r="L12" s="40"/>
      <x:c r="M12" s="43" t="n">
        <x:f>180</x:f>
        <x:v>180</x:v>
      </x:c>
      <x:c r="N12" s="43" t="n">
        <x:f>M12/60</x:f>
        <x:v>3</x:v>
      </x:c>
      <x:c r="O12" s="43" t="n">
        <x:f>3*M12/60</x:f>
        <x:v>9</x:v>
      </x:c>
      <x:c r="P12" s="43" t="n">
        <x:f>5*M12/60</x:f>
        <x:v>15</x:v>
      </x:c>
      <x:c r="Q12" s="43" t="n">
        <x:f>Calc!I6</x:f>
        <x:v>3485.874984661293</x:v>
      </x:c>
      <x:c r="R12" s="43" t="n">
        <x:f>Calc!I7</x:f>
        <x:v>124.50472859284133</x:v>
      </x:c>
      <x:c r="S12" s="43" t="n">
        <x:f>Calc!I8</x:f>
        <x:v>3.3343405276111335</x:v>
      </x:c>
      <x:c r="T12" s="43" t="n">
        <x:f>Calc!I9</x:f>
        <x:v>1.4280226350619194</x:v>
      </x:c>
      <x:c r="U12" s="43" t="n">
        <x:f>Calc!I10</x:f>
        <x:v>0.023988077904446573</x:v>
      </x:c>
      <x:c r="V12" s="43" t="n">
        <x:f>Calc!I11</x:f>
        <x:v>0.03960090647511852</x:v>
      </x:c>
      <x:c r="W12" s="40"/>
      <x:c r="X12" s="40"/>
      <x:c r="Y12" s="40"/>
      <x:c r="Z12" s="40"/>
      <x:c r="AA12" s="40"/>
    </x:row>
    <x:row r="13">
      <x:c r="A13" s="43" t="str">
        <x:f>'Calc'!A8</x:f>
        <x:v>Motor / RSS</x:v>
      </x:c>
      <x:c r="B13" s="43" t="n">
        <x:f>2</x:f>
        <x:v>2</x:v>
      </x:c>
      <x:c r="C13" s="43" t="n">
        <x:f>'Calc'!I8*B13</x:f>
        <x:v>6.668681055222267</x:v>
      </x:c>
      <x:c r="D13" s="43" t="n">
        <x:f>'Inputs'!$B$5/60</x:f>
        <x:v>2</x:v>
      </x:c>
      <x:c r="E13" s="43" t="n">
        <x:f>D13/C13</x:f>
        <x:v>0.29990937989661287</x:v>
      </x:c>
      <x:c r="F13" s="43" t="n">
        <x:f>ABS(C13-D13)/MAX(C13,0.000001)</x:f>
        <x:v>0.7000906201033872</x:v>
      </x:c>
      <x:c r="G13" s="43" t="n">
        <x:f>'Calc'!G8</x:f>
        <x:v>1282.0035371580627</x:v>
      </x:c>
      <x:c r="H13" s="43" t="n">
        <x:f>'Calc'!H8</x:f>
        <x:v>562689.5664599261</x:v>
      </x:c>
      <x:c r="I13" s="43" t="n">
        <x:f>0.03+0.01*(B13-1)</x:f>
        <x:v>0.04</x:v>
      </x:c>
      <x:c r="J13" s="43" t="str">
        <x:f>IF(F13&lt;0.20,"REVIEW","CLEAR")</x:f>
        <x:v>CLEAR</x:v>
      </x:c>
      <x:c r="K13" s="43" t="str">
        <x:f>'Inputs'!I8</x:f>
        <x:v>bha-motor-rss</x:v>
      </x:c>
      <x:c r="L13" s="40"/>
      <x:c r="M13" s="43" t="n">
        <x:f>210</x:f>
        <x:v>210</x:v>
      </x:c>
      <x:c r="N13" s="43" t="n">
        <x:f>M13/60</x:f>
        <x:v>3.5</x:v>
      </x:c>
      <x:c r="O13" s="43" t="n">
        <x:f>3*M13/60</x:f>
        <x:v>10.5</x:v>
      </x:c>
      <x:c r="P13" s="43" t="n">
        <x:f>5*M13/60</x:f>
        <x:v>17.5</x:v>
      </x:c>
      <x:c r="Q13" s="43" t="n">
        <x:f>Calc!I6</x:f>
        <x:v>3485.874984661293</x:v>
      </x:c>
      <x:c r="R13" s="43" t="n">
        <x:f>Calc!I7</x:f>
        <x:v>124.50472859284133</x:v>
      </x:c>
      <x:c r="S13" s="43" t="n">
        <x:f>Calc!I8</x:f>
        <x:v>3.3343405276111335</x:v>
      </x:c>
      <x:c r="T13" s="43" t="n">
        <x:f>Calc!I9</x:f>
        <x:v>1.4280226350619194</x:v>
      </x:c>
      <x:c r="U13" s="43" t="n">
        <x:f>Calc!I10</x:f>
        <x:v>0.023988077904446573</x:v>
      </x:c>
      <x:c r="V13" s="43" t="n">
        <x:f>Calc!I11</x:f>
        <x:v>0.03960090647511852</x:v>
      </x:c>
      <x:c r="W13" s="40"/>
      <x:c r="X13" s="40"/>
      <x:c r="Y13" s="40"/>
      <x:c r="Z13" s="40"/>
      <x:c r="AA13" s="40"/>
    </x:row>
    <x:row r="14">
      <x:c r="A14" s="43" t="str">
        <x:f>'Calc'!A8</x:f>
        <x:v>Motor / RSS</x:v>
      </x:c>
      <x:c r="B14" s="43" t="n">
        <x:f>3</x:f>
        <x:v>3</x:v>
      </x:c>
      <x:c r="C14" s="43" t="n">
        <x:f>'Calc'!I8*B14</x:f>
        <x:v>10.003021582833401</x:v>
      </x:c>
      <x:c r="D14" s="43" t="n">
        <x:f>'Inputs'!$B$5/60</x:f>
        <x:v>2</x:v>
      </x:c>
      <x:c r="E14" s="43" t="n">
        <x:f>D14/C14</x:f>
        <x:v>0.1999395865977419</x:v>
      </x:c>
      <x:c r="F14" s="43" t="n">
        <x:f>ABS(C14-D14)/MAX(C14,0.000001)</x:f>
        <x:v>0.8000604134022581</x:v>
      </x:c>
      <x:c r="G14" s="43" t="n">
        <x:f>'Calc'!G8</x:f>
        <x:v>1282.0035371580627</x:v>
      </x:c>
      <x:c r="H14" s="43" t="n">
        <x:f>'Calc'!H8</x:f>
        <x:v>562689.5664599261</x:v>
      </x:c>
      <x:c r="I14" s="43" t="n">
        <x:f>0.03+0.01*(B14-1)</x:f>
        <x:v>0.05</x:v>
      </x:c>
      <x:c r="J14" s="43" t="str">
        <x:f>IF(F14&lt;0.20,"REVIEW","CLEAR")</x:f>
        <x:v>CLEAR</x:v>
      </x:c>
      <x:c r="K14" s="43" t="str">
        <x:f>'Inputs'!I8</x:f>
        <x:v>bha-motor-rss</x:v>
      </x:c>
      <x:c r="L14" s="40"/>
      <x:c r="M14" s="43" t="n">
        <x:f>240</x:f>
        <x:v>240</x:v>
      </x:c>
      <x:c r="N14" s="43" t="n">
        <x:f>M14/60</x:f>
        <x:v>4</x:v>
      </x:c>
      <x:c r="O14" s="43" t="n">
        <x:f>3*M14/60</x:f>
        <x:v>12</x:v>
      </x:c>
      <x:c r="P14" s="43" t="n">
        <x:f>5*M14/60</x:f>
        <x:v>20</x:v>
      </x:c>
      <x:c r="Q14" s="43" t="n">
        <x:f>Calc!I6</x:f>
        <x:v>3485.874984661293</x:v>
      </x:c>
      <x:c r="R14" s="43" t="n">
        <x:f>Calc!I7</x:f>
        <x:v>124.50472859284133</x:v>
      </x:c>
      <x:c r="S14" s="43" t="n">
        <x:f>Calc!I8</x:f>
        <x:v>3.3343405276111335</x:v>
      </x:c>
      <x:c r="T14" s="43" t="n">
        <x:f>Calc!I9</x:f>
        <x:v>1.4280226350619194</x:v>
      </x:c>
      <x:c r="U14" s="43" t="n">
        <x:f>Calc!I10</x:f>
        <x:v>0.023988077904446573</x:v>
      </x:c>
      <x:c r="V14" s="43" t="n">
        <x:f>Calc!I11</x:f>
        <x:v>0.03960090647511852</x:v>
      </x:c>
      <x:c r="W14" s="40"/>
      <x:c r="X14" s="40"/>
      <x:c r="Y14" s="40"/>
      <x:c r="Z14" s="40"/>
      <x:c r="AA14" s="40"/>
    </x:row>
    <x:row r="15">
      <x:c r="A15" s="43" t="str">
        <x:f>'Calc'!A9</x:f>
        <x:v>MWD / LWD</x:v>
      </x:c>
      <x:c r="B15" s="43" t="n">
        <x:f>1</x:f>
        <x:v>1</x:v>
      </x:c>
      <x:c r="C15" s="43" t="n">
        <x:f>'Calc'!I9*B15</x:f>
        <x:v>1.4280226350619194</x:v>
      </x:c>
      <x:c r="D15" s="43" t="n">
        <x:f>'Inputs'!$B$5/60</x:f>
        <x:v>2</x:v>
      </x:c>
      <x:c r="E15" s="43" t="n">
        <x:f>D15/C15</x:f>
        <x:v>1.400538024324299</x:v>
      </x:c>
      <x:c r="F15" s="43" t="n">
        <x:f>ABS(C15-D15)/MAX(C15,0.000001)</x:f>
        <x:v>0.40053802432429897</x:v>
      </x:c>
      <x:c r="G15" s="43" t="n">
        <x:f>'Calc'!G9</x:f>
        <x:v>1923.005305737094</x:v>
      </x:c>
      <x:c r="H15" s="43" t="n">
        <x:f>'Calc'!H9</x:f>
        <x:v>154814.060613313</x:v>
      </x:c>
      <x:c r="I15" s="43" t="n">
        <x:f>0.03+0.01*(B15-1)</x:f>
        <x:v>0.03</x:v>
      </x:c>
      <x:c r="J15" s="43" t="str">
        <x:f>IF(F15&lt;0.20,"REVIEW","CLEAR")</x:f>
        <x:v>CLEAR</x:v>
      </x:c>
      <x:c r="K15" s="43" t="str">
        <x:f>'Inputs'!I9</x:f>
        <x:v>bha-mwd-lwd</x:v>
      </x:c>
      <x:c r="L15" s="40"/>
      <x:c r="M15" s="43" t="n">
        <x:f>270</x:f>
        <x:v>270</x:v>
      </x:c>
      <x:c r="N15" s="43" t="n">
        <x:f>M15/60</x:f>
        <x:v>4.5</x:v>
      </x:c>
      <x:c r="O15" s="43" t="n">
        <x:f>3*M15/60</x:f>
        <x:v>13.5</x:v>
      </x:c>
      <x:c r="P15" s="43" t="n">
        <x:f>5*M15/60</x:f>
        <x:v>22.5</x:v>
      </x:c>
      <x:c r="Q15" s="43" t="n">
        <x:f>Calc!I6</x:f>
        <x:v>3485.874984661293</x:v>
      </x:c>
      <x:c r="R15" s="43" t="n">
        <x:f>Calc!I7</x:f>
        <x:v>124.50472859284133</x:v>
      </x:c>
      <x:c r="S15" s="43" t="n">
        <x:f>Calc!I8</x:f>
        <x:v>3.3343405276111335</x:v>
      </x:c>
      <x:c r="T15" s="43" t="n">
        <x:f>Calc!I9</x:f>
        <x:v>1.4280226350619194</x:v>
      </x:c>
      <x:c r="U15" s="43" t="n">
        <x:f>Calc!I10</x:f>
        <x:v>0.023988077904446573</x:v>
      </x:c>
      <x:c r="V15" s="43" t="n">
        <x:f>Calc!I11</x:f>
        <x:v>0.03960090647511852</x:v>
      </x:c>
      <x:c r="W15" s="40"/>
      <x:c r="X15" s="40"/>
      <x:c r="Y15" s="40"/>
      <x:c r="Z15" s="40"/>
      <x:c r="AA15" s="40"/>
    </x:row>
    <x:row r="16">
      <x:c r="A16" s="43" t="str">
        <x:f>'Calc'!A9</x:f>
        <x:v>MWD / LWD</x:v>
      </x:c>
      <x:c r="B16" s="43" t="n">
        <x:f>2</x:f>
        <x:v>2</x:v>
      </x:c>
      <x:c r="C16" s="43" t="n">
        <x:f>'Calc'!I9*B16</x:f>
        <x:v>2.856045270123839</x:v>
      </x:c>
      <x:c r="D16" s="43" t="n">
        <x:f>'Inputs'!$B$5/60</x:f>
        <x:v>2</x:v>
      </x:c>
      <x:c r="E16" s="43" t="n">
        <x:f>D16/C16</x:f>
        <x:v>0.7002690121621495</x:v>
      </x:c>
      <x:c r="F16" s="43" t="n">
        <x:f>ABS(C16-D16)/MAX(C16,0.000001)</x:f>
        <x:v>0.2997309878378505</x:v>
      </x:c>
      <x:c r="G16" s="43" t="n">
        <x:f>'Calc'!G9</x:f>
        <x:v>1923.005305737094</x:v>
      </x:c>
      <x:c r="H16" s="43" t="n">
        <x:f>'Calc'!H9</x:f>
        <x:v>154814.060613313</x:v>
      </x:c>
      <x:c r="I16" s="43" t="n">
        <x:f>0.03+0.01*(B16-1)</x:f>
        <x:v>0.04</x:v>
      </x:c>
      <x:c r="J16" s="43" t="str">
        <x:f>IF(F16&lt;0.20,"REVIEW","CLEAR")</x:f>
        <x:v>CLEAR</x:v>
      </x:c>
      <x:c r="K16" s="43" t="str">
        <x:f>'Inputs'!I9</x:f>
        <x:v>bha-mwd-lwd</x:v>
      </x:c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  <x:c r="AA16" s="40"/>
    </x:row>
    <x:row r="17">
      <x:c r="A17" s="43" t="str">
        <x:f>'Calc'!A9</x:f>
        <x:v>MWD / LWD</x:v>
      </x:c>
      <x:c r="B17" s="43" t="n">
        <x:f>3</x:f>
        <x:v>3</x:v>
      </x:c>
      <x:c r="C17" s="43" t="n">
        <x:f>'Calc'!I9*B17</x:f>
        <x:v>4.284067905185758</x:v>
      </x:c>
      <x:c r="D17" s="43" t="n">
        <x:f>'Inputs'!$B$5/60</x:f>
        <x:v>2</x:v>
      </x:c>
      <x:c r="E17" s="43" t="n">
        <x:f>D17/C17</x:f>
        <x:v>0.46684600810809973</x:v>
      </x:c>
      <x:c r="F17" s="43" t="n">
        <x:f>ABS(C17-D17)/MAX(C17,0.000001)</x:f>
        <x:v>0.5331539918919003</x:v>
      </x:c>
      <x:c r="G17" s="43" t="n">
        <x:f>'Calc'!G9</x:f>
        <x:v>1923.005305737094</x:v>
      </x:c>
      <x:c r="H17" s="43" t="n">
        <x:f>'Calc'!H9</x:f>
        <x:v>154814.060613313</x:v>
      </x:c>
      <x:c r="I17" s="43" t="n">
        <x:f>0.03+0.01*(B17-1)</x:f>
        <x:v>0.05</x:v>
      </x:c>
      <x:c r="J17" s="43" t="str">
        <x:f>IF(F17&lt;0.20,"REVIEW","CLEAR")</x:f>
        <x:v>CLEAR</x:v>
      </x:c>
      <x:c r="K17" s="43" t="str">
        <x:f>'Inputs'!I9</x:f>
        <x:v>bha-mwd-lwd</x:v>
      </x:c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  <x:c r="AA17" s="40"/>
    </x:row>
    <x:row r="18">
      <x:c r="A18" s="43" t="str">
        <x:f>'Calc'!A10</x:f>
        <x:v>Drill collar</x:v>
      </x:c>
      <x:c r="B18" s="43" t="n">
        <x:f>1</x:f>
        <x:v>1</x:v>
      </x:c>
      <x:c r="C18" s="43" t="n">
        <x:f>'Calc'!I10*B18</x:f>
        <x:v>0.023988077904446573</x:v>
      </x:c>
      <x:c r="D18" s="43" t="n">
        <x:f>'Inputs'!$B$5/60</x:f>
        <x:v>2</x:v>
      </x:c>
      <x:c r="E18" s="43" t="n">
        <x:f>D18/C18</x:f>
        <x:v>83.37475007237941</x:v>
      </x:c>
      <x:c r="F18" s="43" t="n">
        <x:f>ABS(C18-D18)/MAX(C18,0.000001)</x:f>
        <x:v>82.37475007237941</x:v>
      </x:c>
      <x:c r="G18" s="43" t="n">
        <x:f>'Calc'!G10</x:f>
        <x:v>13428.188019055196</x:v>
      </x:c>
      <x:c r="H18" s="43" t="n">
        <x:f>'Calc'!H10</x:f>
        <x:v>305.0479083281671</x:v>
      </x:c>
      <x:c r="I18" s="43" t="n">
        <x:f>0.03+0.01*(B18-1)</x:f>
        <x:v>0.03</x:v>
      </x:c>
      <x:c r="J18" s="43" t="str">
        <x:f>IF(F18&lt;0.20,"REVIEW","CLEAR")</x:f>
        <x:v>CLEAR</x:v>
      </x:c>
      <x:c r="K18" s="43" t="str">
        <x:f>'Inputs'!I10</x:f>
        <x:v>bha-drill-collar</x:v>
      </x:c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  <x:c r="AA18" s="40"/>
    </x:row>
    <x:row r="19">
      <x:c r="A19" s="43" t="str">
        <x:f>'Calc'!A10</x:f>
        <x:v>Drill collar</x:v>
      </x:c>
      <x:c r="B19" s="43" t="n">
        <x:f>2</x:f>
        <x:v>2</x:v>
      </x:c>
      <x:c r="C19" s="43" t="n">
        <x:f>'Calc'!I10*B19</x:f>
        <x:v>0.047976155808893146</x:v>
      </x:c>
      <x:c r="D19" s="43" t="n">
        <x:f>'Inputs'!$B$5/60</x:f>
        <x:v>2</x:v>
      </x:c>
      <x:c r="E19" s="43" t="n">
        <x:f>D19/C19</x:f>
        <x:v>41.68737503618971</x:v>
      </x:c>
      <x:c r="F19" s="43" t="n">
        <x:f>ABS(C19-D19)/MAX(C19,0.000001)</x:f>
        <x:v>40.68737503618971</x:v>
      </x:c>
      <x:c r="G19" s="43" t="n">
        <x:f>'Calc'!G10</x:f>
        <x:v>13428.188019055196</x:v>
      </x:c>
      <x:c r="H19" s="43" t="n">
        <x:f>'Calc'!H10</x:f>
        <x:v>305.0479083281671</x:v>
      </x:c>
      <x:c r="I19" s="43" t="n">
        <x:f>0.03+0.01*(B19-1)</x:f>
        <x:v>0.04</x:v>
      </x:c>
      <x:c r="J19" s="43" t="str">
        <x:f>IF(F19&lt;0.20,"REVIEW","CLEAR")</x:f>
        <x:v>CLEAR</x:v>
      </x:c>
      <x:c r="K19" s="43" t="str">
        <x:f>'Inputs'!I10</x:f>
        <x:v>bha-drill-collar</x:v>
      </x:c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  <x:c r="AA19" s="40"/>
    </x:row>
    <x:row r="20">
      <x:c r="A20" s="43" t="str">
        <x:f>'Calc'!A10</x:f>
        <x:v>Drill collar</x:v>
      </x:c>
      <x:c r="B20" s="43" t="n">
        <x:f>3</x:f>
        <x:v>3</x:v>
      </x:c>
      <x:c r="C20" s="43" t="n">
        <x:f>'Calc'!I10*B20</x:f>
        <x:v>0.07196423371333972</x:v>
      </x:c>
      <x:c r="D20" s="43" t="n">
        <x:f>'Inputs'!$B$5/60</x:f>
        <x:v>2</x:v>
      </x:c>
      <x:c r="E20" s="43" t="n">
        <x:f>D20/C20</x:f>
        <x:v>27.791583357459803</x:v>
      </x:c>
      <x:c r="F20" s="43" t="n">
        <x:f>ABS(C20-D20)/MAX(C20,0.000001)</x:f>
        <x:v>26.791583357459803</x:v>
      </x:c>
      <x:c r="G20" s="43" t="n">
        <x:f>'Calc'!G10</x:f>
        <x:v>13428.188019055196</x:v>
      </x:c>
      <x:c r="H20" s="43" t="n">
        <x:f>'Calc'!H10</x:f>
        <x:v>305.0479083281671</x:v>
      </x:c>
      <x:c r="I20" s="43" t="n">
        <x:f>0.03+0.01*(B20-1)</x:f>
        <x:v>0.05</x:v>
      </x:c>
      <x:c r="J20" s="43" t="str">
        <x:f>IF(F20&lt;0.20,"REVIEW","CLEAR")</x:f>
        <x:v>CLEAR</x:v>
      </x:c>
      <x:c r="K20" s="43" t="str">
        <x:f>'Inputs'!I10</x:f>
        <x:v>bha-drill-collar</x:v>
      </x:c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  <x:c r="AA20" s="40"/>
    </x:row>
    <x:row r="21">
      <x:c r="A21" s="43" t="str">
        <x:f>'Calc'!A11</x:f>
        <x:v>HWDP transition</x:v>
      </x:c>
      <x:c r="B21" s="43" t="n">
        <x:f>1</x:f>
        <x:v>1</x:v>
      </x:c>
      <x:c r="C21" s="43" t="n">
        <x:f>'Calc'!I11*B21</x:f>
        <x:v>0.03960090647511852</x:v>
      </x:c>
      <x:c r="D21" s="43" t="n">
        <x:f>'Inputs'!$B$5/60</x:f>
        <x:v>2</x:v>
      </x:c>
      <x:c r="E21" s="43" t="n">
        <x:f>D21/C21</x:f>
        <x:v>50.50389443121994</x:v>
      </x:c>
      <x:c r="F21" s="43" t="n">
        <x:f>ABS(C21-D21)/MAX(C21,0.000001)</x:f>
        <x:v>49.50389443121994</x:v>
      </x:c>
      <x:c r="G21" s="43" t="n">
        <x:f>'Calc'!G11</x:f>
        <x:v>5113.80912328978</x:v>
      </x:c>
      <x:c r="H21" s="43" t="n">
        <x:f>'Calc'!H11</x:f>
        <x:v>316.60262012394986</x:v>
      </x:c>
      <x:c r="I21" s="43" t="n">
        <x:f>0.03+0.01*(B21-1)</x:f>
        <x:v>0.03</x:v>
      </x:c>
      <x:c r="J21" s="43" t="str">
        <x:f>IF(F21&lt;0.20,"REVIEW","CLEAR")</x:f>
        <x:v>CLEAR</x:v>
      </x:c>
      <x:c r="K21" s="43" t="str">
        <x:f>'Inputs'!I11</x:f>
        <x:v>bha-hwdp-transition</x:v>
      </x:c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  <x:c r="AA21" s="40"/>
    </x:row>
    <x:row r="22">
      <x:c r="A22" s="43" t="str">
        <x:f>'Calc'!A11</x:f>
        <x:v>HWDP transition</x:v>
      </x:c>
      <x:c r="B22" s="43" t="n">
        <x:f>2</x:f>
        <x:v>2</x:v>
      </x:c>
      <x:c r="C22" s="43" t="n">
        <x:f>'Calc'!I11*B22</x:f>
        <x:v>0.07920181295023704</x:v>
      </x:c>
      <x:c r="D22" s="43" t="n">
        <x:f>'Inputs'!$B$5/60</x:f>
        <x:v>2</x:v>
      </x:c>
      <x:c r="E22" s="43" t="n">
        <x:f>D22/C22</x:f>
        <x:v>25.25194721560997</x:v>
      </x:c>
      <x:c r="F22" s="43" t="n">
        <x:f>ABS(C22-D22)/MAX(C22,0.000001)</x:f>
        <x:v>24.251947215609974</x:v>
      </x:c>
      <x:c r="G22" s="43" t="n">
        <x:f>'Calc'!G11</x:f>
        <x:v>5113.80912328978</x:v>
      </x:c>
      <x:c r="H22" s="43" t="n">
        <x:f>'Calc'!H11</x:f>
        <x:v>316.60262012394986</x:v>
      </x:c>
      <x:c r="I22" s="43" t="n">
        <x:f>0.03+0.01*(B22-1)</x:f>
        <x:v>0.04</x:v>
      </x:c>
      <x:c r="J22" s="43" t="str">
        <x:f>IF(F22&lt;0.20,"REVIEW","CLEAR")</x:f>
        <x:v>CLEAR</x:v>
      </x:c>
      <x:c r="K22" s="43" t="str">
        <x:f>'Inputs'!I11</x:f>
        <x:v>bha-hwdp-transition</x:v>
      </x:c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  <x:c r="AA22" s="40"/>
    </x:row>
    <x:row r="23">
      <x:c r="A23" s="43" t="str">
        <x:f>'Calc'!A11</x:f>
        <x:v>HWDP transition</x:v>
      </x:c>
      <x:c r="B23" s="43" t="n">
        <x:f>3</x:f>
        <x:v>3</x:v>
      </x:c>
      <x:c r="C23" s="43" t="n">
        <x:f>'Calc'!I11*B23</x:f>
        <x:v>0.11880271942535556</x:v>
      </x:c>
      <x:c r="D23" s="43" t="n">
        <x:f>'Inputs'!$B$5/60</x:f>
        <x:v>2</x:v>
      </x:c>
      <x:c r="E23" s="43" t="n">
        <x:f>D23/C23</x:f>
        <x:v>16.834631477073316</x:v>
      </x:c>
      <x:c r="F23" s="43" t="n">
        <x:f>ABS(C23-D23)/MAX(C23,0.000001)</x:f>
        <x:v>15.834631477073314</x:v>
      </x:c>
      <x:c r="G23" s="43" t="n">
        <x:f>'Calc'!G11</x:f>
        <x:v>5113.80912328978</x:v>
      </x:c>
      <x:c r="H23" s="43" t="n">
        <x:f>'Calc'!H11</x:f>
        <x:v>316.60262012394986</x:v>
      </x:c>
      <x:c r="I23" s="43" t="n">
        <x:f>0.03+0.01*(B23-1)</x:f>
        <x:v>0.05</x:v>
      </x:c>
      <x:c r="J23" s="43" t="str">
        <x:f>IF(F23&lt;0.20,"REVIEW","CLEAR")</x:f>
        <x:v>CLEAR</x:v>
      </x:c>
      <x:c r="K23" s="43" t="str">
        <x:f>'Inputs'!I11</x:f>
        <x:v>bha-hwdp-transition</x:v>
      </x:c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  <x:c r="AA23" s="40"/>
    </x:row>
  </x:sheetData>
  <x:mergeCells>
    <x:mergeCell ref="A1:N1"/>
    <x:mergeCell ref="A3:K3"/>
    <x:mergeCell ref="A4:K4"/>
  </x:mergeCells>
  <x:conditionalFormatting sqref="E6:F23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  <x:drawing xmlns:r="http://schemas.openxmlformats.org/officeDocument/2006/relationships" r:id="rId1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Bending Response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 t="str">
        <x:v>Static bending response by BHA component</x:v>
      </x:c>
      <x:c r="B3" s="41" t="str">
        <x:v>Static bending response by BHA component</x:v>
      </x:c>
      <x:c r="C3" s="41" t="str">
        <x:v>Static bending response by BHA component</x:v>
      </x:c>
      <x:c r="D3" s="41" t="str">
        <x:v>Static bending response by BHA component</x:v>
      </x:c>
      <x:c r="E3" s="41" t="str">
        <x:v>Static bending response by BHA component</x:v>
      </x:c>
      <x:c r="F3" s="41" t="str">
        <x:v>Static bending response by BHA component</x:v>
      </x:c>
      <x:c r="G3" s="41" t="str">
        <x:v>Static bending response by BHA component</x:v>
      </x:c>
      <x:c r="H3" s="41" t="str">
        <x:v>Static bending response by BHA component</x:v>
      </x:c>
      <x:c r="I3" s="41" t="str">
        <x:v>Static bending response by BHA component</x:v>
      </x:c>
      <x:c r="J3" s="41" t="str">
        <x:v>Static bending response by BHA component</x:v>
      </x:c>
      <x:c r="K3" s="41" t="str">
        <x:v>Static bending response by BHA component</x:v>
      </x:c>
      <x:c r="L3" s="41" t="str">
        <x:v>Static bending response by BHA component</x:v>
      </x:c>
      <x:c r="M3" s="40"/>
      <x:c r="N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42" t="str">
        <x:v>Component</x:v>
      </x:c>
      <x:c r="B5" s="42" t="str">
        <x:f>"Length "&amp;'Unit Map'!$H$8</x:f>
        <x:v>Length m</x:v>
      </x:c>
      <x:c r="C5" s="42" t="str">
        <x:f>"Bending moment "&amp;'Unit Map'!$H$16</x:f>
        <x:v>Bending moment N-m</x:v>
      </x:c>
      <x:c r="D5" s="42" t="str">
        <x:v>Curvature 1/m</x:v>
      </x:c>
      <x:c r="E5" s="42" t="str">
        <x:v>Outer fibre strain</x:v>
      </x:c>
      <x:c r="F5" s="42" t="str">
        <x:f>"Stress "&amp;'Unit Map'!$H$17</x:f>
        <x:v>Stress Pa</x:v>
      </x:c>
      <x:c r="G5" s="42" t="str">
        <x:f>"Estimated deflection "&amp;'Unit Map'!$H$8</x:f>
        <x:v>Estimated deflection m</x:v>
      </x:c>
      <x:c r="H5" s="42" t="str">
        <x:v>WOB 1 tendency</x:v>
      </x:c>
      <x:c r="I5" s="42" t="str">
        <x:v>WOB 2 tendency</x:v>
      </x:c>
      <x:c r="J5" s="42" t="str">
        <x:v>Support factor</x:v>
      </x:c>
      <x:c r="K5" s="42" t="str">
        <x:v>Status</x:v>
      </x:c>
      <x:c r="L5" s="42" t="str">
        <x:v>Record ID</x:v>
      </x:c>
      <x:c r="M5" s="40"/>
      <x:c r="N5" s="40"/>
    </x:row>
    <x:row r="6">
      <x:c r="A6" s="43" t="str">
        <x:f>'Calc'!A6</x:f>
        <x:v>Bit</x:v>
      </x:c>
      <x:c r="B6" s="43" t="n">
        <x:f>'Calc'!B6*'Unit Map'!$I$8</x:f>
        <x:v>0.3</x:v>
      </x:c>
      <x:c r="C6" s="43" t="n">
        <x:f>'Calc'!J6*'Unit Map'!$I$16</x:f>
        <x:v>6000</x:v>
      </x:c>
      <x:c r="D6" s="43" t="n">
        <x:f>'Calc'!J6/((Inputs!$B$7*IF(Inputs!$C$7="GPa",1E9,IF(Inputs!$C$7="MPa",1E6,IF(Inputs!$C$7="Pa",1,IF(Inputs!$C$7="Mpsi",6894757293.168,IF(Inputs!$C$7="psi",6894.757293168,NA()))))))*'Calc'!F6)</x:f>
        <x:v>0.00027225436649865487</x:v>
      </x:c>
      <x:c r="E6" s="43" t="n">
        <x:f>('Calc'!J6/((Inputs!$B$7*IF(Inputs!$C$7="GPa",1E9,IF(Inputs!$C$7="MPa",1E6,IF(Inputs!$C$7="Pa",1,IF(Inputs!$C$7="Mpsi",6894757293.168,IF(Inputs!$C$7="psi",6894.757293168,NA()))))))*'Calc'!F6))*'Calc'!C6/2</x:f>
        <x:v>0.000029403471581854726</x:v>
      </x:c>
      <x:c r="F6" s="43" t="n">
        <x:f>'Calc'!K6*'Unit Map'!$I$17</x:f>
        <x:v>6081894.004003528</x:v>
      </x:c>
      <x:c r="G6" s="43" t="n">
        <x:f>('Calc'!J6*'Calc'!B6^2/(8*(Inputs!$B$7*IF(Inputs!$C$7="GPa",1E9,IF(Inputs!$C$7="MPa",1E6,IF(Inputs!$C$7="Pa",1,IF(Inputs!$C$7="Mpsi",6894757293.168,IF(Inputs!$C$7="psi",6894.757293168,NA()))))))*'Calc'!F6))*'Unit Map'!$I$8</x:f>
        <x:v>0.0000030628616231098675</x:v>
      </x:c>
      <x:c r="H6" s="43" t="n">
        <x:f>'Calc'!L6</x:f>
        <x:v>2.0419077487399114e-10</x:v>
      </x:c>
      <x:c r="I6" s="43" t="n">
        <x:f>'Calc'!M6</x:f>
        <x:v>3.062861623109867e-10</x:v>
      </x:c>
      <x:c r="J6" s="43" t="n">
        <x:f>'Inputs'!H6</x:f>
        <x:v>1</x:v>
      </x:c>
      <x:c r="K6" s="43" t="str">
        <x:f>IF('Calc'!K6&gt;350000000,"REVIEW","PASS")</x:f>
        <x:v>PASS</x:v>
      </x:c>
      <x:c r="L6" s="43" t="str">
        <x:f>'Inputs'!I6</x:f>
        <x:v>bha-bit</x:v>
      </x:c>
      <x:c r="M6" s="40"/>
      <x:c r="N6" s="40"/>
    </x:row>
    <x:row r="7">
      <x:c r="A7" s="43" t="str">
        <x:f>'Calc'!A7</x:f>
        <x:v>Near-bit stabilizer</x:v>
      </x:c>
      <x:c r="B7" s="43" t="n">
        <x:f>'Calc'!B7*'Unit Map'!$I$8</x:f>
        <x:v>1.5</x:v>
      </x:c>
      <x:c r="C7" s="43" t="n">
        <x:f>'Calc'!J7*'Unit Map'!$I$16</x:f>
        <x:v>25500</x:v>
      </x:c>
      <x:c r="D7" s="43" t="n">
        <x:f>'Calc'!J7/((Inputs!$B$7*IF(Inputs!$C$7="GPa",1E9,IF(Inputs!$C$7="MPa",1E6,IF(Inputs!$C$7="Pa",1,IF(Inputs!$C$7="Mpsi",6894757293.168,IF(Inputs!$C$7="psi",6894.757293168,NA()))))))*'Calc'!F7)</x:f>
        <x:v>0.0015001339942840263</x:v>
      </x:c>
      <x:c r="E7" s="43" t="n">
        <x:f>('Calc'!J7/((Inputs!$B$7*IF(Inputs!$C$7="GPa",1E9,IF(Inputs!$C$7="MPa",1E6,IF(Inputs!$C$7="Pa",1,IF(Inputs!$C$7="Mpsi",6894757293.168,IF(Inputs!$C$7="psi",6894.757293168,NA()))))))*'Calc'!F7))*'Calc'!C7/2</x:f>
        <x:v>0.00015226360041982869</x:v>
      </x:c>
      <x:c r="F7" s="43" t="n">
        <x:f>'Calc'!K7*'Unit Map'!$I$17</x:f>
        <x:v>31494617.084358953</x:v>
      </x:c>
      <x:c r="G7" s="43" t="n">
        <x:f>('Calc'!J7*'Calc'!B7^2/(8*(Inputs!$B$7*IF(Inputs!$C$7="GPa",1E9,IF(Inputs!$C$7="MPa",1E6,IF(Inputs!$C$7="Pa",1,IF(Inputs!$C$7="Mpsi",6894757293.168,IF(Inputs!$C$7="psi",6894.757293168,NA()))))))*'Calc'!F7))*'Unit Map'!$I$8</x:f>
        <x:v>0.00042191268589238237</x:v>
      </x:c>
      <x:c r="H7" s="43" t="n">
        <x:f>'Calc'!L7</x:f>
        <x:v>3.8930813000450505e-8</x:v>
      </x:c>
      <x:c r="I7" s="43" t="n">
        <x:f>'Calc'!M7</x:f>
        <x:v>5.839621950067576e-8</x:v>
      </x:c>
      <x:c r="J7" s="43" t="n">
        <x:f>'Inputs'!H7</x:f>
        <x:v>0.85</x:v>
      </x:c>
      <x:c r="K7" s="43" t="str">
        <x:f>IF('Calc'!K7&gt;350000000,"REVIEW","PASS")</x:f>
        <x:v>PASS</x:v>
      </x:c>
      <x:c r="L7" s="43" t="str">
        <x:f>'Inputs'!I7</x:f>
        <x:v>bha-near-bit-stabilizer</x:v>
      </x:c>
      <x:c r="M7" s="40"/>
      <x:c r="N7" s="40"/>
    </x:row>
    <x:row r="8">
      <x:c r="A8" s="43" t="str">
        <x:f>'Calc'!A8</x:f>
        <x:v>Motor / RSS</x:v>
      </x:c>
      <x:c r="B8" s="43" t="n">
        <x:f>'Calc'!B8*'Unit Map'!$I$8</x:f>
        <x:v>8</x:v>
      </x:c>
      <x:c r="C8" s="43" t="n">
        <x:f>'Calc'!J8*'Unit Map'!$I$16</x:f>
        <x:v>112000</x:v>
      </x:c>
      <x:c r="D8" s="43" t="n">
        <x:f>'Calc'!J8/((Inputs!$B$7*IF(Inputs!$C$7="GPa",1E9,IF(Inputs!$C$7="MPa",1E6,IF(Inputs!$C$7="Pa",1,IF(Inputs!$C$7="Mpsi",6894757293.168,IF(Inputs!$C$7="psi",6894.757293168,NA()))))))*'Calc'!F8)</x:f>
        <x:v>0.013062264591542689</x:v>
      </x:c>
      <x:c r="E8" s="43" t="n">
        <x:f>('Calc'!J8/((Inputs!$B$7*IF(Inputs!$C$7="GPa",1E9,IF(Inputs!$C$7="MPa",1E6,IF(Inputs!$C$7="Pa",1,IF(Inputs!$C$7="Mpsi",6894757293.168,IF(Inputs!$C$7="psi",6894.757293168,NA()))))))*'Calc'!F8))*'Calc'!C8/2</x:f>
        <x:v>0.0011168236225769</x:v>
      </x:c>
      <x:c r="F8" s="43" t="n">
        <x:f>'Calc'!K8*'Unit Map'!$I$17</x:f>
        <x:v>231006834.5083316</x:v>
      </x:c>
      <x:c r="G8" s="43" t="n">
        <x:f>('Calc'!J8*'Calc'!B8^2/(8*(Inputs!$B$7*IF(Inputs!$C$7="GPa",1E9,IF(Inputs!$C$7="MPa",1E6,IF(Inputs!$C$7="Pa",1,IF(Inputs!$C$7="Mpsi",6894757293.168,IF(Inputs!$C$7="psi",6894.757293168,NA()))))))*'Calc'!F8))*'Unit Map'!$I$8</x:f>
        <x:v>0.10449811673234151</x:v>
      </x:c>
      <x:c r="H8" s="43" t="n">
        <x:f>'Calc'!L8</x:f>
        <x:v>0.000014217430847937623</x:v>
      </x:c>
      <x:c r="I8" s="43" t="n">
        <x:f>'Calc'!M8</x:f>
        <x:v>0.000021326146271906438</x:v>
      </x:c>
      <x:c r="J8" s="43" t="n">
        <x:f>'Inputs'!H8</x:f>
        <x:v>0.7</x:v>
      </x:c>
      <x:c r="K8" s="43" t="str">
        <x:f>IF('Calc'!K8&gt;350000000,"REVIEW","PASS")</x:f>
        <x:v>PASS</x:v>
      </x:c>
      <x:c r="L8" s="43" t="str">
        <x:f>'Inputs'!I8</x:f>
        <x:v>bha-motor-rss</x:v>
      </x:c>
      <x:c r="M8" s="40"/>
      <x:c r="N8" s="40"/>
    </x:row>
    <x:row r="9">
      <x:c r="A9" s="43" t="str">
        <x:f>'Calc'!A9</x:f>
        <x:v>MWD / LWD</x:v>
      </x:c>
      <x:c r="B9" s="43" t="n">
        <x:f>'Calc'!B9*'Unit Map'!$I$8</x:f>
        <x:v>12</x:v>
      </x:c>
      <x:c r="C9" s="43" t="n">
        <x:f>'Calc'!J9*'Unit Map'!$I$16</x:f>
        <x:v>156000</x:v>
      </x:c>
      <x:c r="D9" s="43" t="n">
        <x:f>'Calc'!J9/((Inputs!$B$7*IF(Inputs!$C$7="GPa",1E9,IF(Inputs!$C$7="MPa",1E6,IF(Inputs!$C$7="Pa",1,IF(Inputs!$C$7="Mpsi",6894757293.168,IF(Inputs!$C$7="psi",6894.757293168,NA()))))))*'Calc'!F9)</x:f>
        <x:v>0.018193868538220175</x:v>
      </x:c>
      <x:c r="E9" s="43" t="n">
        <x:f>('Calc'!J9/((Inputs!$B$7*IF(Inputs!$C$7="GPa",1E9,IF(Inputs!$C$7="MPa",1E6,IF(Inputs!$C$7="Pa",1,IF(Inputs!$C$7="Mpsi",6894757293.168,IF(Inputs!$C$7="psi",6894.757293168,NA()))))))*'Calc'!F9))*'Calc'!C9/2</x:f>
        <x:v>0.0015555757600178252</x:v>
      </x:c>
      <x:c r="F9" s="43" t="n">
        <x:f>'Calc'!K9*'Unit Map'!$I$17</x:f>
        <x:v>321759519.49374765</x:v>
      </x:c>
      <x:c r="G9" s="43" t="n">
        <x:f>('Calc'!J9*'Calc'!B9^2/(8*(Inputs!$B$7*IF(Inputs!$C$7="GPa",1E9,IF(Inputs!$C$7="MPa",1E6,IF(Inputs!$C$7="Pa",1,IF(Inputs!$C$7="Mpsi",6894757293.168,IF(Inputs!$C$7="psi",6894.757293168,NA()))))))*'Calc'!F9))*'Unit Map'!$I$8</x:f>
        <x:v>0.32748963368796313</x:v>
      </x:c>
      <x:c r="H9" s="43" t="n">
        <x:f>'Calc'!L9</x:f>
        <x:v>0.00005167489288961944</x:v>
      </x:c>
      <x:c r="I9" s="43" t="n">
        <x:f>'Calc'!M9</x:f>
        <x:v>0.00007751233933442917</x:v>
      </x:c>
      <x:c r="J9" s="43" t="n">
        <x:f>'Inputs'!H9</x:f>
        <x:v>0.65</x:v>
      </x:c>
      <x:c r="K9" s="43" t="str">
        <x:f>IF('Calc'!K9&gt;350000000,"REVIEW","PASS")</x:f>
        <x:v>PASS</x:v>
      </x:c>
      <x:c r="L9" s="43" t="str">
        <x:f>'Inputs'!I9</x:f>
        <x:v>bha-mwd-lwd</x:v>
      </x:c>
      <x:c r="M9" s="40"/>
      <x:c r="N9" s="40"/>
    </x:row>
    <x:row r="10">
      <x:c r="A10" s="43" t="str">
        <x:f>'Calc'!A10</x:f>
        <x:v>Drill collar</x:v>
      </x:c>
      <x:c r="B10" s="43" t="n">
        <x:f>'Calc'!B10*'Unit Map'!$I$8</x:f>
        <x:v>90</x:v>
      </x:c>
      <x:c r="C10" s="43" t="n">
        <x:f>'Calc'!J10*'Unit Map'!$I$16</x:f>
        <x:v>990000.0000000001</x:v>
      </x:c>
      <x:c r="D10" s="43" t="n">
        <x:f>'Calc'!J10/((Inputs!$B$7*IF(Inputs!$C$7="GPa",1E9,IF(Inputs!$C$7="MPa",1E6,IF(Inputs!$C$7="Pa",1,IF(Inputs!$C$7="Mpsi",6894757293.168,IF(Inputs!$C$7="psi",6894.757293168,NA()))))))*'Calc'!F10)</x:f>
        <x:v>0.11752859427340455</x:v>
      </x:c>
      <x:c r="E10" s="43" t="n">
        <x:f>('Calc'!J10/((Inputs!$B$7*IF(Inputs!$C$7="GPa",1E9,IF(Inputs!$C$7="MPa",1E6,IF(Inputs!$C$7="Pa",1,IF(Inputs!$C$7="Mpsi",6894757293.168,IF(Inputs!$C$7="psi",6894.757293168,NA()))))))*'Calc'!F10))*'Calc'!C10/2</x:f>
        <x:v>0.01004869481037609</x:v>
      </x:c>
      <x:c r="F10" s="43" t="n">
        <x:f>'Calc'!K10*'Unit Map'!$I$17</x:f>
        <x:v>2078499354.9197993</x:v>
      </x:c>
      <x:c r="G10" s="43" t="n">
        <x:f>('Calc'!J10*'Calc'!B10^2/(8*(Inputs!$B$7*IF(Inputs!$C$7="GPa",1E9,IF(Inputs!$C$7="MPa",1E6,IF(Inputs!$C$7="Pa",1,IF(Inputs!$C$7="Mpsi",6894757293.168,IF(Inputs!$C$7="psi",6894.757293168,NA()))))))*'Calc'!F10))*'Unit Map'!$I$8</x:f>
        <x:v>118.99770170182211</x:v>
      </x:c>
      <x:c r="H10" s="43" t="n">
        <x:f>'Calc'!L10</x:f>
        <x:v>0.026225388804809274</x:v>
      </x:c>
      <x:c r="I10" s="43" t="n">
        <x:f>'Calc'!M10</x:f>
        <x:v>0.039338083207213916</x:v>
      </x:c>
      <x:c r="J10" s="43" t="n">
        <x:f>'Inputs'!H10</x:f>
        <x:v>0.55</x:v>
      </x:c>
      <x:c r="K10" s="43" t="str">
        <x:f>IF('Calc'!K10&gt;350000000,"REVIEW","PASS")</x:f>
        <x:v>REVIEW</x:v>
      </x:c>
      <x:c r="L10" s="43" t="str">
        <x:f>'Inputs'!I10</x:f>
        <x:v>bha-drill-collar</x:v>
      </x:c>
      <x:c r="M10" s="40"/>
      <x:c r="N10" s="40"/>
    </x:row>
    <x:row r="11">
      <x:c r="A11" s="43" t="str">
        <x:f>'Calc'!A11</x:f>
        <x:v>HWDP transition</x:v>
      </x:c>
      <x:c r="B11" s="43" t="n">
        <x:f>'Calc'!B11*'Unit Map'!$I$8</x:f>
        <x:v>60</x:v>
      </x:c>
      <x:c r="C11" s="43" t="n">
        <x:f>'Calc'!J11*'Unit Map'!$I$16</x:f>
        <x:v>480000</x:v>
      </x:c>
      <x:c r="D11" s="43" t="n">
        <x:f>'Calc'!J11/((Inputs!$B$7*IF(Inputs!$C$7="GPa",1E9,IF(Inputs!$C$7="MPa",1E6,IF(Inputs!$C$7="Pa",1,IF(Inputs!$C$7="Mpsi",6894757293.168,IF(Inputs!$C$7="psi",6894.757293168,NA()))))))*'Calc'!F11)</x:f>
        <x:v>0.13476409844606677</x:v>
      </x:c>
      <x:c r="E11" s="43" t="n">
        <x:f>('Calc'!J11/((Inputs!$B$7*IF(Inputs!$C$7="GPa",1E9,IF(Inputs!$C$7="MPa",1E6,IF(Inputs!$C$7="Pa",1,IF(Inputs!$C$7="Mpsi",6894757293.168,IF(Inputs!$C$7="psi",6894.757293168,NA()))))))*'Calc'!F11))*'Calc'!C11/2</x:f>
        <x:v>0.009433486891224675</x:v>
      </x:c>
      <x:c r="F11" s="43" t="n">
        <x:f>'Calc'!K11*'Unit Map'!$I$17</x:f>
        <x:v>1951248076.2982817</x:v>
      </x:c>
      <x:c r="G11" s="43" t="n">
        <x:f>('Calc'!J11*'Calc'!B11^2/(8*(Inputs!$B$7*IF(Inputs!$C$7="GPa",1E9,IF(Inputs!$C$7="MPa",1E6,IF(Inputs!$C$7="Pa",1,IF(Inputs!$C$7="Mpsi",6894757293.168,IF(Inputs!$C$7="psi",6894.757293168,NA()))))))*'Calc'!F11))*'Unit Map'!$I$8</x:f>
        <x:v>60.64384430073005</x:v>
      </x:c>
      <x:c r="H11" s="43" t="n">
        <x:f>'Calc'!L11</x:f>
        <x:v>0.025268268458637527</x:v>
      </x:c>
      <x:c r="I11" s="43" t="n">
        <x:f>'Calc'!M11</x:f>
        <x:v>0.03790240268795629</x:v>
      </x:c>
      <x:c r="J11" s="43" t="n">
        <x:f>'Inputs'!H11</x:f>
        <x:v>0.4</x:v>
      </x:c>
      <x:c r="K11" s="43" t="str">
        <x:f>IF('Calc'!K11&gt;350000000,"REVIEW","PASS")</x:f>
        <x:v>REVIEW</x:v>
      </x:c>
      <x:c r="L11" s="43" t="str">
        <x:f>'Inputs'!I11</x:f>
        <x:v>bha-hwdp-transition</x:v>
      </x:c>
      <x:c r="M11" s="40"/>
      <x:c r="N11" s="40"/>
    </x:row>
  </x:sheetData>
  <x:mergeCells>
    <x:mergeCell ref="A1:N1"/>
    <x:mergeCell ref="A3:L3"/>
  </x:mergeCells>
  <x:conditionalFormatting sqref="F6:I11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4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BHA Geometry View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40"/>
      <x:c r="P1" s="40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</x:row>
    <x:row r="3">
      <x:c r="A3" s="41" t="str">
        <x:v>Static bending geometry projection and contact-screening indication</x:v>
      </x:c>
      <x:c r="B3" s="41" t="str">
        <x:v>Static bending geometry projection and contact-screening indication</x:v>
      </x:c>
      <x:c r="C3" s="41" t="str">
        <x:v>Static bending geometry projection and contact-screening indication</x:v>
      </x:c>
      <x:c r="D3" s="41" t="str">
        <x:v>Static bending geometry projection and contact-screening indication</x:v>
      </x:c>
      <x:c r="E3" s="41" t="str">
        <x:v>Static bending geometry projection and contact-screening indication</x:v>
      </x:c>
      <x:c r="F3" s="41" t="str">
        <x:v>Static bending geometry projection and contact-screening indication</x:v>
      </x:c>
      <x:c r="G3" s="41" t="str">
        <x:v>Static bending geometry projection and contact-screening indication</x:v>
      </x:c>
      <x:c r="H3" s="41" t="str">
        <x:v>Static bending geometry projection and contact-screening indication</x:v>
      </x:c>
      <x:c r="I3" s="41" t="str">
        <x:v>Static bending geometry projection and contact-screening indication</x:v>
      </x:c>
      <x:c r="J3" s="41" t="str">
        <x:v>Static bending geometry projection and contact-screening indication</x:v>
      </x:c>
      <x:c r="K3" s="41" t="str">
        <x:v>Static bending geometry projection and contact-screening indication</x:v>
      </x:c>
      <x:c r="L3" s="41" t="str">
        <x:v>Static bending geometry projection and contact-screening indication</x:v>
      </x:c>
      <x:c r="M3" s="41" t="str">
        <x:v>Static bending geometry projection and contact-screening indication</x:v>
      </x:c>
      <x:c r="N3" s="41" t="str">
        <x:v>Static bending geometry projection and contact-screening indication</x:v>
      </x:c>
      <x:c r="O3" s="41" t="str">
        <x:v>Static bending geometry projection and contact-screening indication</x:v>
      </x:c>
      <x:c r="P3" s="41" t="str">
        <x:v>Static bending geometry projection and contact-screening indication</x:v>
      </x:c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</x:row>
    <x:row r="5">
      <x:c r="A5" s="46" t="str">
        <x:v>GEOMETRIC INTERFERENCE INDICATION — projected OD through the wellbore; not solved contact or reaction force.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</x:row>
    <x:row r="6">
      <x:c r="A6" s="46" t="str">
        <x:v>Centreline displacement is scaled by the explicit Inputs setting. Hole and BHA diameters remain dimensional; use this page to locate review regions, not to approve contact loads.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</x:row>
    <x:row r="7">
      <x:c r="A7" s="46" t="str">
        <x:v>A future rigid-body/FE engine must solve equilibrium, contact reactions, friction and coupled modes before any force claim is made.</x:v>
      </x:c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</x:row>
    <x:row r="8">
      <x:c r="A8" s="40"/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</x:row>
    <x:row r="9">
      <x:c r="A9" s="42" t="str">
        <x:v>Decision metric</x:v>
      </x:c>
      <x:c r="B9" s="42" t="str">
        <x:v>Value</x:v>
      </x:c>
      <x:c r="C9" s="42" t="str">
        <x:v>Status</x:v>
      </x:c>
      <x:c r="D9" s="42" t="str">
        <x:v>Interpretation</x:v>
      </x:c>
      <x:c r="E9" s="40" t="str"/>
      <x:c r="F9" s="40" t="str"/>
      <x:c r="G9" s="40" t="str"/>
      <x:c r="H9" s="40" t="str"/>
      <x:c r="I9" s="40"/>
      <x:c r="J9" s="40"/>
      <x:c r="K9" s="40"/>
      <x:c r="L9" s="40"/>
      <x:c r="M9" s="40"/>
      <x:c r="N9" s="40"/>
      <x:c r="O9" s="40"/>
      <x:c r="P9" s="40"/>
    </x:row>
    <x:row r="10">
      <x:c r="A10" s="43" t="str">
        <x:v>Projection plane</x:v>
      </x:c>
      <x:c r="B10" s="43" t="str">
        <x:f>Inputs!B12</x:f>
        <x:v>Highside</x:v>
      </x:c>
      <x:c r="C10" s="43" t="str"/>
      <x:c r="D10" s="43" t="str">
        <x:v>Selected projection sign only</x:v>
      </x:c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</x:row>
    <x:row r="11">
      <x:c r="A11" s="43" t="str">
        <x:v>Display deflection scale</x:v>
      </x:c>
      <x:c r="B11" s="26" t="n">
        <x:f>Inputs!B13</x:f>
        <x:v>0.001</x:v>
      </x:c>
      <x:c r="C11" s="43" t="str"/>
      <x:c r="D11" s="43" t="str">
        <x:v>Applied to estimated centreline displacement</x:v>
      </x:c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</x:row>
    <x:row r="12">
      <x:c r="A12" s="43" t="str">
        <x:v>Minimum projected clearance</x:v>
      </x:c>
      <x:c r="B12" s="27" t="n">
        <x:f>MIN(Calc!AB6:AB35)</x:f>
        <x:v>-0.09649770170182212</x:v>
      </x:c>
      <x:c r="C12" s="43" t="str">
        <x:f>'Unit Map'!$H$9</x:f>
        <x:v>m</x:v>
      </x:c>
      <x:c r="D12" s="43" t="str">
        <x:v>Negative means projected OD crosses the hole wall</x:v>
      </x:c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</x:row>
    <x:row r="13">
      <x:c r="A13" s="43" t="str">
        <x:v>Overlap indication count</x:v>
      </x:c>
      <x:c r="B13" s="43" t="n">
        <x:f>COUNTIF(Calc!AD6:AD35,"OVERLAP INDICATION")</x:f>
        <x:v>9</x:v>
      </x:c>
      <x:c r="C13" s="43" t="str">
        <x:f>IF(B13&gt;0,"REVIEW","CLEAR")</x:f>
        <x:v>REVIEW</x:v>
      </x:c>
      <x:c r="D13" s="43" t="str">
        <x:v>Indication only; no reaction or contact force calculated</x:v>
      </x:c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</x:row>
  </x:sheetData>
  <x:mergeCells>
    <x:mergeCell ref="A1:N1"/>
    <x:mergeCell ref="A3:P3"/>
    <x:mergeCell ref="A5:P5"/>
    <x:mergeCell ref="A6:P6"/>
    <x:mergeCell ref="A7:P7"/>
  </x:mergeCells>
  <x:conditionalFormatting sqref="B12:B13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  <x:drawing xmlns:r="http://schemas.openxmlformats.org/officeDocument/2006/relationships" r:id="rId1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Tendency Matrix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 t="str">
        <x:v>Toolface/WOB drill-ahead tendency matrix</x:v>
      </x:c>
      <x:c r="B3" s="41" t="str">
        <x:v>Toolface/WOB drill-ahead tendency matrix</x:v>
      </x:c>
      <x:c r="C3" s="41" t="str">
        <x:v>Toolface/WOB drill-ahead tendency matrix</x:v>
      </x:c>
      <x:c r="D3" s="41" t="str">
        <x:v>Toolface/WOB drill-ahead tendency matrix</x:v>
      </x:c>
      <x:c r="E3" s="41" t="str">
        <x:v>Toolface/WOB drill-ahead tendency matrix</x:v>
      </x:c>
      <x:c r="F3" s="41" t="str">
        <x:v>Toolface/WOB drill-ahead tendency matrix</x:v>
      </x:c>
      <x:c r="G3" s="41" t="str">
        <x:v>Toolface/WOB drill-ahead tendency matrix</x:v>
      </x:c>
      <x:c r="H3" s="41" t="str">
        <x:v>Toolface/WOB drill-ahead tendency matrix</x:v>
      </x:c>
      <x:c r="I3" s="40"/>
      <x:c r="J3" s="40"/>
      <x:c r="K3" s="40"/>
      <x:c r="L3" s="40"/>
      <x:c r="M3" s="40"/>
      <x:c r="N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42" t="str">
        <x:v>Toolface deg</x:v>
      </x:c>
      <x:c r="B5" s="42" t="str">
        <x:f>"Toolface "&amp;'Unit Map'!$H$18</x:f>
        <x:v>Toolface rad</x:v>
      </x:c>
      <x:c r="C5" s="42" t="str">
        <x:f>"WOB 1 "&amp;'Unit Map'!$H$14</x:f>
        <x:v>WOB 1 N</x:v>
      </x:c>
      <x:c r="D5" s="42" t="str">
        <x:v>WOB 1 tendency</x:v>
      </x:c>
      <x:c r="E5" s="42" t="str">
        <x:f>"WOB 2 "&amp;'Unit Map'!$H$14</x:f>
        <x:v>WOB 2 N</x:v>
      </x:c>
      <x:c r="F5" s="42" t="str">
        <x:v>WOB 2 tendency</x:v>
      </x:c>
      <x:c r="G5" s="42" t="str">
        <x:v>Build/turn quadrant</x:v>
      </x:c>
      <x:c r="H5" s="42" t="str">
        <x:v>Status</x:v>
      </x:c>
      <x:c r="I5" s="40"/>
      <x:c r="J5" s="40"/>
      <x:c r="K5" s="40"/>
      <x:c r="L5" s="40"/>
      <x:c r="M5" s="40"/>
      <x:c r="N5" s="40"/>
    </x:row>
    <x:row r="6">
      <x:c r="A6" s="43" t="n">
        <x:f>0</x:f>
        <x:v>0</x:v>
      </x:c>
      <x:c r="B6" s="43" t="n">
        <x:f>RADIANS(A6)*'Unit Map'!$I$18</x:f>
        <x:v>0</x:v>
      </x:c>
      <x:c r="C6" s="43" t="n">
        <x:f>'Inputs'!$B$9*'Unit Map'!$I$14</x:f>
        <x:v>80000</x:v>
      </x:c>
      <x:c r="D6" s="43" t="n">
        <x:f>AVERAGE('Results'!$D$6:$D$11)*(1+0.35*COS(RADIANS(A6)))</x:f>
        <x:v>0.01160090746249233</x:v>
      </x:c>
      <x:c r="E6" s="43" t="n">
        <x:f>'Inputs'!$B$10*'Unit Map'!$I$14</x:f>
        <x:v>120000</x:v>
      </x:c>
      <x:c r="F6" s="43" t="n">
        <x:f>AVERAGE('Results'!$E$6:$E$11)*(1+0.35*COS(RADIANS(A6)))</x:f>
        <x:v>0.017401361193738495</x:v>
      </x:c>
      <x:c r="G6" s="43" t="str">
        <x:f>IF(A6&lt;90,"BUILD / RIGHT",IF(A6&lt;180,"DROP / RIGHT",IF(A6&lt;270,"DROP / LEFT","BUILD / LEFT")))</x:f>
        <x:v>BUILD / RIGHT</x:v>
      </x:c>
      <x:c r="H6" s="43" t="str">
        <x:f>IF(MAX(D6,F6)&gt;0.05,"REVIEW","SCREEN")</x:f>
        <x:v>SCREEN</x:v>
      </x:c>
      <x:c r="I6" s="40"/>
      <x:c r="J6" s="40"/>
      <x:c r="K6" s="40"/>
      <x:c r="L6" s="40"/>
      <x:c r="M6" s="40"/>
      <x:c r="N6" s="40"/>
    </x:row>
    <x:row r="7">
      <x:c r="A7" s="43" t="n">
        <x:f>30</x:f>
        <x:v>30</x:v>
      </x:c>
      <x:c r="B7" s="43" t="n">
        <x:f>RADIANS(A7)*'Unit Map'!$I$18</x:f>
        <x:v>0.5235987755982988</x:v>
      </x:c>
      <x:c r="C7" s="43" t="n">
        <x:f>'Inputs'!$B$9*'Unit Map'!$I$14</x:f>
        <x:v>80000</x:v>
      </x:c>
      <x:c r="D7" s="43" t="n">
        <x:f>AVERAGE('Results'!$D$6:$D$11)*(1+0.35*COS(RADIANS(A7)))</x:f>
        <x:v>0.011197959749486756</x:v>
      </x:c>
      <x:c r="E7" s="43" t="n">
        <x:f>'Inputs'!$B$10*'Unit Map'!$I$14</x:f>
        <x:v>120000</x:v>
      </x:c>
      <x:c r="F7" s="43" t="n">
        <x:f>AVERAGE('Results'!$E$6:$E$11)*(1+0.35*COS(RADIANS(A7)))</x:f>
        <x:v>0.016796939624230133</x:v>
      </x:c>
      <x:c r="G7" s="43" t="str">
        <x:f>IF(A7&lt;90,"BUILD / RIGHT",IF(A7&lt;180,"DROP / RIGHT",IF(A7&lt;270,"DROP / LEFT","BUILD / LEFT")))</x:f>
        <x:v>BUILD / RIGHT</x:v>
      </x:c>
      <x:c r="H7" s="43" t="str">
        <x:f>IF(MAX(D7,F7)&gt;0.05,"REVIEW","SCREEN")</x:f>
        <x:v>SCREEN</x:v>
      </x:c>
      <x:c r="I7" s="40"/>
      <x:c r="J7" s="40"/>
      <x:c r="K7" s="40"/>
      <x:c r="L7" s="40"/>
      <x:c r="M7" s="40"/>
      <x:c r="N7" s="40"/>
    </x:row>
    <x:row r="8">
      <x:c r="A8" s="43" t="n">
        <x:f>60</x:f>
        <x:v>60</x:v>
      </x:c>
      <x:c r="B8" s="43" t="n">
        <x:f>RADIANS(A8)*'Unit Map'!$I$18</x:f>
        <x:v>1.0471975511965976</x:v>
      </x:c>
      <x:c r="C8" s="43" t="n">
        <x:f>'Inputs'!$B$9*'Unit Map'!$I$14</x:f>
        <x:v>80000</x:v>
      </x:c>
      <x:c r="D8" s="43" t="n">
        <x:f>AVERAGE('Results'!$D$6:$D$11)*(1+0.35*COS(RADIANS(A8)))</x:f>
        <x:v>0.010097086124761841</x:v>
      </x:c>
      <x:c r="E8" s="43" t="n">
        <x:f>'Inputs'!$B$10*'Unit Map'!$I$14</x:f>
        <x:v>120000</x:v>
      </x:c>
      <x:c r="F8" s="43" t="n">
        <x:f>AVERAGE('Results'!$E$6:$E$11)*(1+0.35*COS(RADIANS(A8)))</x:f>
        <x:v>0.015145629187142764</x:v>
      </x:c>
      <x:c r="G8" s="43" t="str">
        <x:f>IF(A8&lt;90,"BUILD / RIGHT",IF(A8&lt;180,"DROP / RIGHT",IF(A8&lt;270,"DROP / LEFT","BUILD / LEFT")))</x:f>
        <x:v>BUILD / RIGHT</x:v>
      </x:c>
      <x:c r="H8" s="43" t="str">
        <x:f>IF(MAX(D8,F8)&gt;0.05,"REVIEW","SCREEN")</x:f>
        <x:v>SCREEN</x:v>
      </x:c>
      <x:c r="I8" s="40"/>
      <x:c r="J8" s="40"/>
      <x:c r="K8" s="40"/>
      <x:c r="L8" s="40"/>
      <x:c r="M8" s="40"/>
      <x:c r="N8" s="40"/>
    </x:row>
    <x:row r="9">
      <x:c r="A9" s="43" t="n">
        <x:f>90</x:f>
        <x:v>90</x:v>
      </x:c>
      <x:c r="B9" s="43" t="n">
        <x:f>RADIANS(A9)*'Unit Map'!$I$18</x:f>
        <x:v>1.5707963267948966</x:v>
      </x:c>
      <x:c r="C9" s="43" t="n">
        <x:f>'Inputs'!$B$9*'Unit Map'!$I$14</x:f>
        <x:v>80000</x:v>
      </x:c>
      <x:c r="D9" s="43" t="n">
        <x:f>AVERAGE('Results'!$D$6:$D$11)*(1+0.35*COS(RADIANS(A9)))</x:f>
        <x:v>0.008593264787031355</x:v>
      </x:c>
      <x:c r="E9" s="43" t="n">
        <x:f>'Inputs'!$B$10*'Unit Map'!$I$14</x:f>
        <x:v>120000</x:v>
      </x:c>
      <x:c r="F9" s="43" t="n">
        <x:f>AVERAGE('Results'!$E$6:$E$11)*(1+0.35*COS(RADIANS(A9)))</x:f>
        <x:v>0.012889897180547033</x:v>
      </x:c>
      <x:c r="G9" s="43" t="str">
        <x:f>IF(A9&lt;90,"BUILD / RIGHT",IF(A9&lt;180,"DROP / RIGHT",IF(A9&lt;270,"DROP / LEFT","BUILD / LEFT")))</x:f>
        <x:v>DROP / RIGHT</x:v>
      </x:c>
      <x:c r="H9" s="43" t="str">
        <x:f>IF(MAX(D9,F9)&gt;0.05,"REVIEW","SCREEN")</x:f>
        <x:v>SCREEN</x:v>
      </x:c>
      <x:c r="I9" s="40"/>
      <x:c r="J9" s="40"/>
      <x:c r="K9" s="40"/>
      <x:c r="L9" s="40"/>
      <x:c r="M9" s="40"/>
      <x:c r="N9" s="40"/>
    </x:row>
    <x:row r="10">
      <x:c r="A10" s="43" t="n">
        <x:f>120</x:f>
        <x:v>120</x:v>
      </x:c>
      <x:c r="B10" s="43" t="n">
        <x:f>RADIANS(A10)*'Unit Map'!$I$18</x:f>
        <x:v>2.0943951023931953</x:v>
      </x:c>
      <x:c r="C10" s="43" t="n">
        <x:f>'Inputs'!$B$9*'Unit Map'!$I$14</x:f>
        <x:v>80000</x:v>
      </x:c>
      <x:c r="D10" s="43" t="n">
        <x:f>AVERAGE('Results'!$D$6:$D$11)*(1+0.35*COS(RADIANS(A10)))</x:f>
        <x:v>0.007089443449300868</x:v>
      </x:c>
      <x:c r="E10" s="43" t="n">
        <x:f>'Inputs'!$B$10*'Unit Map'!$I$14</x:f>
        <x:v>120000</x:v>
      </x:c>
      <x:c r="F10" s="43" t="n">
        <x:f>AVERAGE('Results'!$E$6:$E$11)*(1+0.35*COS(RADIANS(A10)))</x:f>
        <x:v>0.010634165173951302</x:v>
      </x:c>
      <x:c r="G10" s="43" t="str">
        <x:f>IF(A10&lt;90,"BUILD / RIGHT",IF(A10&lt;180,"DROP / RIGHT",IF(A10&lt;270,"DROP / LEFT","BUILD / LEFT")))</x:f>
        <x:v>DROP / RIGHT</x:v>
      </x:c>
      <x:c r="H10" s="43" t="str">
        <x:f>IF(MAX(D10,F10)&gt;0.05,"REVIEW","SCREEN")</x:f>
        <x:v>SCREEN</x:v>
      </x:c>
      <x:c r="I10" s="40"/>
      <x:c r="J10" s="40"/>
      <x:c r="K10" s="40"/>
      <x:c r="L10" s="40"/>
      <x:c r="M10" s="40"/>
      <x:c r="N10" s="40"/>
    </x:row>
    <x:row r="11">
      <x:c r="A11" s="43" t="n">
        <x:f>150</x:f>
        <x:v>150</x:v>
      </x:c>
      <x:c r="B11" s="43" t="n">
        <x:f>RADIANS(A11)*'Unit Map'!$I$18</x:f>
        <x:v>2.6179938779914944</x:v>
      </x:c>
      <x:c r="C11" s="43" t="n">
        <x:f>'Inputs'!$B$9*'Unit Map'!$I$14</x:f>
        <x:v>80000</x:v>
      </x:c>
      <x:c r="D11" s="43" t="n">
        <x:f>AVERAGE('Results'!$D$6:$D$11)*(1+0.35*COS(RADIANS(A11)))</x:f>
        <x:v>0.005988569824575955</x:v>
      </x:c>
      <x:c r="E11" s="43" t="n">
        <x:f>'Inputs'!$B$10*'Unit Map'!$I$14</x:f>
        <x:v>120000</x:v>
      </x:c>
      <x:c r="F11" s="43" t="n">
        <x:f>AVERAGE('Results'!$E$6:$E$11)*(1+0.35*COS(RADIANS(A11)))</x:f>
        <x:v>0.008982854736863933</x:v>
      </x:c>
      <x:c r="G11" s="43" t="str">
        <x:f>IF(A11&lt;90,"BUILD / RIGHT",IF(A11&lt;180,"DROP / RIGHT",IF(A11&lt;270,"DROP / LEFT","BUILD / LEFT")))</x:f>
        <x:v>DROP / RIGHT</x:v>
      </x:c>
      <x:c r="H11" s="43" t="str">
        <x:f>IF(MAX(D11,F11)&gt;0.05,"REVIEW","SCREEN")</x:f>
        <x:v>SCREEN</x:v>
      </x:c>
      <x:c r="I11" s="40"/>
      <x:c r="J11" s="40"/>
      <x:c r="K11" s="40"/>
      <x:c r="L11" s="40"/>
      <x:c r="M11" s="40"/>
      <x:c r="N11" s="40"/>
    </x:row>
    <x:row r="12">
      <x:c r="A12" s="43" t="n">
        <x:f>180</x:f>
        <x:v>180</x:v>
      </x:c>
      <x:c r="B12" s="43" t="n">
        <x:f>RADIANS(A12)*'Unit Map'!$I$18</x:f>
        <x:v>3.141592653589793</x:v>
      </x:c>
      <x:c r="C12" s="43" t="n">
        <x:f>'Inputs'!$B$9*'Unit Map'!$I$14</x:f>
        <x:v>80000</x:v>
      </x:c>
      <x:c r="D12" s="43" t="n">
        <x:f>AVERAGE('Results'!$D$6:$D$11)*(1+0.35*COS(RADIANS(A12)))</x:f>
        <x:v>0.005585622111570381</x:v>
      </x:c>
      <x:c r="E12" s="43" t="n">
        <x:f>'Inputs'!$B$10*'Unit Map'!$I$14</x:f>
        <x:v>120000</x:v>
      </x:c>
      <x:c r="F12" s="43" t="n">
        <x:f>AVERAGE('Results'!$E$6:$E$11)*(1+0.35*COS(RADIANS(A12)))</x:f>
        <x:v>0.008378433167355571</x:v>
      </x:c>
      <x:c r="G12" s="43" t="str">
        <x:f>IF(A12&lt;90,"BUILD / RIGHT",IF(A12&lt;180,"DROP / RIGHT",IF(A12&lt;270,"DROP / LEFT","BUILD / LEFT")))</x:f>
        <x:v>DROP / LEFT</x:v>
      </x:c>
      <x:c r="H12" s="43" t="str">
        <x:f>IF(MAX(D12,F12)&gt;0.05,"REVIEW","SCREEN")</x:f>
        <x:v>SCREEN</x:v>
      </x:c>
      <x:c r="I12" s="40"/>
      <x:c r="J12" s="40"/>
      <x:c r="K12" s="40"/>
      <x:c r="L12" s="40"/>
      <x:c r="M12" s="40"/>
      <x:c r="N12" s="40"/>
    </x:row>
    <x:row r="13">
      <x:c r="A13" s="43" t="n">
        <x:f>210</x:f>
        <x:v>210</x:v>
      </x:c>
      <x:c r="B13" s="43" t="n">
        <x:f>RADIANS(A13)*'Unit Map'!$I$18</x:f>
        <x:v>3.6651914291880923</x:v>
      </x:c>
      <x:c r="C13" s="43" t="n">
        <x:f>'Inputs'!$B$9*'Unit Map'!$I$14</x:f>
        <x:v>80000</x:v>
      </x:c>
      <x:c r="D13" s="43" t="n">
        <x:f>AVERAGE('Results'!$D$6:$D$11)*(1+0.35*COS(RADIANS(A13)))</x:f>
        <x:v>0.005988569824575956</x:v>
      </x:c>
      <x:c r="E13" s="43" t="n">
        <x:f>'Inputs'!$B$10*'Unit Map'!$I$14</x:f>
        <x:v>120000</x:v>
      </x:c>
      <x:c r="F13" s="43" t="n">
        <x:f>AVERAGE('Results'!$E$6:$E$11)*(1+0.35*COS(RADIANS(A13)))</x:f>
        <x:v>0.008982854736863935</x:v>
      </x:c>
      <x:c r="G13" s="43" t="str">
        <x:f>IF(A13&lt;90,"BUILD / RIGHT",IF(A13&lt;180,"DROP / RIGHT",IF(A13&lt;270,"DROP / LEFT","BUILD / LEFT")))</x:f>
        <x:v>DROP / LEFT</x:v>
      </x:c>
      <x:c r="H13" s="43" t="str">
        <x:f>IF(MAX(D13,F13)&gt;0.05,"REVIEW","SCREEN")</x:f>
        <x:v>SCREEN</x:v>
      </x:c>
      <x:c r="I13" s="40"/>
      <x:c r="J13" s="40"/>
      <x:c r="K13" s="40"/>
      <x:c r="L13" s="40"/>
      <x:c r="M13" s="40"/>
      <x:c r="N13" s="40"/>
    </x:row>
    <x:row r="14">
      <x:c r="A14" s="43" t="n">
        <x:f>240</x:f>
        <x:v>240</x:v>
      </x:c>
      <x:c r="B14" s="43" t="n">
        <x:f>RADIANS(A14)*'Unit Map'!$I$18</x:f>
        <x:v>4.1887902047863905</x:v>
      </x:c>
      <x:c r="C14" s="43" t="n">
        <x:f>'Inputs'!$B$9*'Unit Map'!$I$14</x:f>
        <x:v>80000</x:v>
      </x:c>
      <x:c r="D14" s="43" t="n">
        <x:f>AVERAGE('Results'!$D$6:$D$11)*(1+0.35*COS(RADIANS(A14)))</x:f>
        <x:v>0.0070894434493008664</x:v>
      </x:c>
      <x:c r="E14" s="43" t="n">
        <x:f>'Inputs'!$B$10*'Unit Map'!$I$14</x:f>
        <x:v>120000</x:v>
      </x:c>
      <x:c r="F14" s="43" t="n">
        <x:f>AVERAGE('Results'!$E$6:$E$11)*(1+0.35*COS(RADIANS(A14)))</x:f>
        <x:v>0.0106341651739513</x:v>
      </x:c>
      <x:c r="G14" s="43" t="str">
        <x:f>IF(A14&lt;90,"BUILD / RIGHT",IF(A14&lt;180,"DROP / RIGHT",IF(A14&lt;270,"DROP / LEFT","BUILD / LEFT")))</x:f>
        <x:v>DROP / LEFT</x:v>
      </x:c>
      <x:c r="H14" s="43" t="str">
        <x:f>IF(MAX(D14,F14)&gt;0.05,"REVIEW","SCREEN")</x:f>
        <x:v>SCREEN</x:v>
      </x:c>
      <x:c r="I14" s="40"/>
      <x:c r="J14" s="40"/>
      <x:c r="K14" s="40"/>
      <x:c r="L14" s="40"/>
      <x:c r="M14" s="40"/>
      <x:c r="N14" s="40"/>
    </x:row>
    <x:row r="15">
      <x:c r="A15" s="43" t="n">
        <x:f>270</x:f>
        <x:v>270</x:v>
      </x:c>
      <x:c r="B15" s="43" t="n">
        <x:f>RADIANS(A15)*'Unit Map'!$I$18</x:f>
        <x:v>4.71238898038469</x:v>
      </x:c>
      <x:c r="C15" s="43" t="n">
        <x:f>'Inputs'!$B$9*'Unit Map'!$I$14</x:f>
        <x:v>80000</x:v>
      </x:c>
      <x:c r="D15" s="43" t="n">
        <x:f>AVERAGE('Results'!$D$6:$D$11)*(1+0.35*COS(RADIANS(A15)))</x:f>
        <x:v>0.008593264787031353</x:v>
      </x:c>
      <x:c r="E15" s="43" t="n">
        <x:f>'Inputs'!$B$10*'Unit Map'!$I$14</x:f>
        <x:v>120000</x:v>
      </x:c>
      <x:c r="F15" s="43" t="n">
        <x:f>AVERAGE('Results'!$E$6:$E$11)*(1+0.35*COS(RADIANS(A15)))</x:f>
        <x:v>0.012889897180547031</x:v>
      </x:c>
      <x:c r="G15" s="43" t="str">
        <x:f>IF(A15&lt;90,"BUILD / RIGHT",IF(A15&lt;180,"DROP / RIGHT",IF(A15&lt;270,"DROP / LEFT","BUILD / LEFT")))</x:f>
        <x:v>BUILD / LEFT</x:v>
      </x:c>
      <x:c r="H15" s="43" t="str">
        <x:f>IF(MAX(D15,F15)&gt;0.05,"REVIEW","SCREEN")</x:f>
        <x:v>SCREEN</x:v>
      </x:c>
      <x:c r="I15" s="40"/>
      <x:c r="J15" s="40"/>
      <x:c r="K15" s="40"/>
      <x:c r="L15" s="40"/>
      <x:c r="M15" s="40"/>
      <x:c r="N15" s="40"/>
    </x:row>
    <x:row r="16">
      <x:c r="A16" s="43" t="n">
        <x:f>300</x:f>
        <x:v>300</x:v>
      </x:c>
      <x:c r="B16" s="43" t="n">
        <x:f>RADIANS(A16)*'Unit Map'!$I$18</x:f>
        <x:v>5.235987755982989</x:v>
      </x:c>
      <x:c r="C16" s="43" t="n">
        <x:f>'Inputs'!$B$9*'Unit Map'!$I$14</x:f>
        <x:v>80000</x:v>
      </x:c>
      <x:c r="D16" s="43" t="n">
        <x:f>AVERAGE('Results'!$D$6:$D$11)*(1+0.35*COS(RADIANS(A16)))</x:f>
        <x:v>0.010097086124761841</x:v>
      </x:c>
      <x:c r="E16" s="43" t="n">
        <x:f>'Inputs'!$B$10*'Unit Map'!$I$14</x:f>
        <x:v>120000</x:v>
      </x:c>
      <x:c r="F16" s="43" t="n">
        <x:f>AVERAGE('Results'!$E$6:$E$11)*(1+0.35*COS(RADIANS(A16)))</x:f>
        <x:v>0.015145629187142764</x:v>
      </x:c>
      <x:c r="G16" s="43" t="str">
        <x:f>IF(A16&lt;90,"BUILD / RIGHT",IF(A16&lt;180,"DROP / RIGHT",IF(A16&lt;270,"DROP / LEFT","BUILD / LEFT")))</x:f>
        <x:v>BUILD / LEFT</x:v>
      </x:c>
      <x:c r="H16" s="43" t="str">
        <x:f>IF(MAX(D16,F16)&gt;0.05,"REVIEW","SCREEN")</x:f>
        <x:v>SCREEN</x:v>
      </x:c>
      <x:c r="I16" s="40"/>
      <x:c r="J16" s="40"/>
      <x:c r="K16" s="40"/>
      <x:c r="L16" s="40"/>
      <x:c r="M16" s="40"/>
      <x:c r="N16" s="40"/>
    </x:row>
    <x:row r="17">
      <x:c r="A17" s="43" t="n">
        <x:f>330</x:f>
        <x:v>330</x:v>
      </x:c>
      <x:c r="B17" s="43" t="n">
        <x:f>RADIANS(A17)*'Unit Map'!$I$18</x:f>
        <x:v>5.759586531581287</x:v>
      </x:c>
      <x:c r="C17" s="43" t="n">
        <x:f>'Inputs'!$B$9*'Unit Map'!$I$14</x:f>
        <x:v>80000</x:v>
      </x:c>
      <x:c r="D17" s="43" t="n">
        <x:f>AVERAGE('Results'!$D$6:$D$11)*(1+0.35*COS(RADIANS(A17)))</x:f>
        <x:v>0.011197959749486754</x:v>
      </x:c>
      <x:c r="E17" s="43" t="n">
        <x:f>'Inputs'!$B$10*'Unit Map'!$I$14</x:f>
        <x:v>120000</x:v>
      </x:c>
      <x:c r="F17" s="43" t="n">
        <x:f>AVERAGE('Results'!$E$6:$E$11)*(1+0.35*COS(RADIANS(A17)))</x:f>
        <x:v>0.01679693962423013</x:v>
      </x:c>
      <x:c r="G17" s="43" t="str">
        <x:f>IF(A17&lt;90,"BUILD / RIGHT",IF(A17&lt;180,"DROP / RIGHT",IF(A17&lt;270,"DROP / LEFT","BUILD / LEFT")))</x:f>
        <x:v>BUILD / LEFT</x:v>
      </x:c>
      <x:c r="H17" s="43" t="str">
        <x:f>IF(MAX(D17,F17)&gt;0.05,"REVIEW","SCREEN")</x:f>
        <x:v>SCREEN</x:v>
      </x:c>
      <x:c r="I17" s="40"/>
      <x:c r="J17" s="40"/>
      <x:c r="K17" s="40"/>
      <x:c r="L17" s="40"/>
      <x:c r="M17" s="40"/>
      <x:c r="N17" s="40"/>
    </x:row>
  </x:sheetData>
  <x:mergeCells>
    <x:mergeCell ref="A1:N1"/>
    <x:mergeCell ref="A3:H3"/>
  </x:mergeCells>
  <x:conditionalFormatting sqref="D6:F17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Polar Plot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 t="str">
        <x:v>PolarPlotter-style toolface response — radar grid plus XY data</x:v>
      </x:c>
      <x:c r="B3" s="41" t="str">
        <x:v>PolarPlotter-style toolface response — radar grid plus XY data</x:v>
      </x:c>
      <x:c r="C3" s="41" t="str">
        <x:v>PolarPlotter-style toolface response — radar grid plus XY data</x:v>
      </x:c>
      <x:c r="D3" s="41" t="str">
        <x:v>PolarPlotter-style toolface response — radar grid plus XY data</x:v>
      </x:c>
      <x:c r="E3" s="41" t="str">
        <x:v>PolarPlotter-style toolface response — radar grid plus XY data</x:v>
      </x:c>
      <x:c r="F3" s="41" t="str">
        <x:v>PolarPlotter-style toolface response — radar grid plus XY data</x:v>
      </x:c>
      <x:c r="G3" s="41" t="str">
        <x:v>PolarPlotter-style toolface response — radar grid plus XY data</x:v>
      </x:c>
      <x:c r="H3" s="41" t="str">
        <x:v>PolarPlotter-style toolface response — radar grid plus XY data</x:v>
      </x:c>
      <x:c r="I3" s="41" t="str">
        <x:v>PolarPlotter-style toolface response — radar grid plus XY data</x:v>
      </x:c>
      <x:c r="J3" s="41" t="str">
        <x:v>PolarPlotter-style toolface response — radar grid plus XY data</x:v>
      </x:c>
      <x:c r="K3" s="41" t="str">
        <x:v>PolarPlotter-style toolface response — radar grid plus XY data</x:v>
      </x:c>
      <x:c r="L3" s="41" t="str">
        <x:v>PolarPlotter-style toolface response — radar grid plus XY data</x:v>
      </x:c>
      <x:c r="M3" s="41" t="str">
        <x:v>PolarPlotter-style toolface response — radar grid plus XY data</x:v>
      </x:c>
      <x:c r="N3" s="41" t="str">
        <x:v>PolarPlotter-style toolface response — radar grid plus XY data</x:v>
      </x:c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40" t="str">
        <x:v>Toolface deg</x:v>
      </x:c>
      <x:c r="B5" s="40" t="str">
        <x:v>WOB 1 X</x:v>
      </x:c>
      <x:c r="C5" s="40" t="str">
        <x:v>WOB 1 Y</x:v>
      </x:c>
      <x:c r="D5" s="40" t="str">
        <x:v>WOB 2 X</x:v>
      </x:c>
      <x:c r="E5" s="40" t="str">
        <x:v>WOB 2 Y</x:v>
      </x:c>
      <x:c r="F5" s="40"/>
      <x:c r="G5" s="40"/>
      <x:c r="H5" s="40" t="str">
        <x:v>Angle</x:v>
      </x:c>
      <x:c r="I5" s="40" t="str">
        <x:v>Ring 25%</x:v>
      </x:c>
      <x:c r="J5" s="40" t="str">
        <x:v>Ring 50%</x:v>
      </x:c>
      <x:c r="K5" s="40" t="str">
        <x:v>Ring 75%</x:v>
      </x:c>
      <x:c r="L5" s="40" t="str">
        <x:v>Ring 100%</x:v>
      </x:c>
      <x:c r="M5" s="40"/>
      <x:c r="N5" s="40"/>
    </x:row>
    <x:row r="6">
      <x:c r="A6" s="40" t="n">
        <x:f>'Tendency Matrix'!A6</x:f>
        <x:v>0</x:v>
      </x:c>
      <x:c r="B6" s="40" t="n">
        <x:f>'Tendency Matrix'!D6*SIN('Tendency Matrix'!B6)</x:f>
        <x:v>0</x:v>
      </x:c>
      <x:c r="C6" s="40" t="n">
        <x:f>'Tendency Matrix'!D6*COS('Tendency Matrix'!B6)</x:f>
        <x:v>0.01160090746249233</x:v>
      </x:c>
      <x:c r="D6" s="40" t="n">
        <x:f>'Tendency Matrix'!F6*SIN('Tendency Matrix'!B6)</x:f>
        <x:v>0</x:v>
      </x:c>
      <x:c r="E6" s="40" t="n">
        <x:f>'Tendency Matrix'!F6*COS('Tendency Matrix'!B6)</x:f>
        <x:v>0.017401361193738495</x:v>
      </x:c>
      <x:c r="F6" s="40"/>
      <x:c r="G6" s="40"/>
      <x:c r="H6" s="40" t="n">
        <x:f>0</x:f>
        <x:v>0</x:v>
      </x:c>
      <x:c r="I6" s="40" t="n">
        <x:f>MAX($B$6:$E$18)*0.25</x:f>
        <x:v>0.004350340298434624</x:v>
      </x:c>
      <x:c r="J6" s="40" t="n">
        <x:f>MAX($B$6:$E$18)*0.50</x:f>
        <x:v>0.008700680596869247</x:v>
      </x:c>
      <x:c r="K6" s="40" t="n">
        <x:f>MAX($B$6:$E$18)*0.75</x:f>
        <x:v>0.013051020895303871</x:v>
      </x:c>
      <x:c r="L6" s="40" t="n">
        <x:f>MAX($B$6:$E$18)</x:f>
        <x:v>0.017401361193738495</x:v>
      </x:c>
      <x:c r="M6" s="40"/>
      <x:c r="N6" s="40"/>
    </x:row>
    <x:row r="7">
      <x:c r="A7" s="40" t="n">
        <x:f>'Tendency Matrix'!A7</x:f>
        <x:v>30</x:v>
      </x:c>
      <x:c r="B7" s="40" t="n">
        <x:f>'Tendency Matrix'!D7*SIN('Tendency Matrix'!B7)</x:f>
        <x:v>0.005598979874743377</x:v>
      </x:c>
      <x:c r="C7" s="40" t="n">
        <x:f>'Tendency Matrix'!D7*COS('Tendency Matrix'!B7)</x:f>
        <x:v>0.00969771761361116</x:v>
      </x:c>
      <x:c r="D7" s="40" t="n">
        <x:f>'Tendency Matrix'!F7*SIN('Tendency Matrix'!B7)</x:f>
        <x:v>0.008398469812115065</x:v>
      </x:c>
      <x:c r="E7" s="40" t="n">
        <x:f>'Tendency Matrix'!F7*COS('Tendency Matrix'!B7)</x:f>
        <x:v>0.01454657642041674</x:v>
      </x:c>
      <x:c r="F7" s="40"/>
      <x:c r="G7" s="40"/>
      <x:c r="H7" s="40" t="n">
        <x:f>30</x:f>
        <x:v>30</x:v>
      </x:c>
      <x:c r="I7" s="40" t="n">
        <x:f>MAX($B$6:$E$18)*0.25</x:f>
        <x:v>0.004350340298434624</x:v>
      </x:c>
      <x:c r="J7" s="40" t="n">
        <x:f>MAX($B$6:$E$18)*0.50</x:f>
        <x:v>0.008700680596869247</x:v>
      </x:c>
      <x:c r="K7" s="40" t="n">
        <x:f>MAX($B$6:$E$18)*0.75</x:f>
        <x:v>0.013051020895303871</x:v>
      </x:c>
      <x:c r="L7" s="40" t="n">
        <x:f>MAX($B$6:$E$18)</x:f>
        <x:v>0.017401361193738495</x:v>
      </x:c>
      <x:c r="M7" s="40"/>
      <x:c r="N7" s="40"/>
    </x:row>
    <x:row r="8">
      <x:c r="A8" s="40" t="n">
        <x:f>'Tendency Matrix'!A8</x:f>
        <x:v>60</x:v>
      </x:c>
      <x:c r="B8" s="40" t="n">
        <x:f>'Tendency Matrix'!D8*SIN('Tendency Matrix'!B8)</x:f>
        <x:v>0.008744333088243126</x:v>
      </x:c>
      <x:c r="C8" s="40" t="n">
        <x:f>'Tendency Matrix'!D8*COS('Tendency Matrix'!B8)</x:f>
        <x:v>0.0050485430623809216</x:v>
      </x:c>
      <x:c r="D8" s="40" t="n">
        <x:f>'Tendency Matrix'!F8*SIN('Tendency Matrix'!B8)</x:f>
        <x:v>0.01311649963236469</x:v>
      </x:c>
      <x:c r="E8" s="40" t="n">
        <x:f>'Tendency Matrix'!F8*COS('Tendency Matrix'!B8)</x:f>
        <x:v>0.007572814593571384</x:v>
      </x:c>
      <x:c r="F8" s="40"/>
      <x:c r="G8" s="40"/>
      <x:c r="H8" s="40" t="n">
        <x:f>60</x:f>
        <x:v>60</x:v>
      </x:c>
      <x:c r="I8" s="40" t="n">
        <x:f>MAX($B$6:$E$18)*0.25</x:f>
        <x:v>0.004350340298434624</x:v>
      </x:c>
      <x:c r="J8" s="40" t="n">
        <x:f>MAX($B$6:$E$18)*0.50</x:f>
        <x:v>0.008700680596869247</x:v>
      </x:c>
      <x:c r="K8" s="40" t="n">
        <x:f>MAX($B$6:$E$18)*0.75</x:f>
        <x:v>0.013051020895303871</x:v>
      </x:c>
      <x:c r="L8" s="40" t="n">
        <x:f>MAX($B$6:$E$18)</x:f>
        <x:v>0.017401361193738495</x:v>
      </x:c>
      <x:c r="M8" s="40"/>
      <x:c r="N8" s="40"/>
    </x:row>
    <x:row r="9">
      <x:c r="A9" s="40" t="n">
        <x:f>'Tendency Matrix'!A9</x:f>
        <x:v>90</x:v>
      </x:c>
      <x:c r="B9" s="40" t="n">
        <x:f>'Tendency Matrix'!D9*SIN('Tendency Matrix'!B9)</x:f>
        <x:v>0.008593264787031355</x:v>
      </x:c>
      <x:c r="C9" s="40" t="n">
        <x:f>'Tendency Matrix'!D9*COS('Tendency Matrix'!B9)</x:f>
        <x:v>5.261857107831805e-19</x:v>
      </x:c>
      <x:c r="D9" s="40" t="n">
        <x:f>'Tendency Matrix'!F9*SIN('Tendency Matrix'!B9)</x:f>
        <x:v>0.012889897180547033</x:v>
      </x:c>
      <x:c r="E9" s="40" t="n">
        <x:f>'Tendency Matrix'!F9*COS('Tendency Matrix'!B9)</x:f>
        <x:v>7.892785661747708e-19</x:v>
      </x:c>
      <x:c r="F9" s="40"/>
      <x:c r="G9" s="40"/>
      <x:c r="H9" s="40" t="n">
        <x:f>90</x:f>
        <x:v>90</x:v>
      </x:c>
      <x:c r="I9" s="40" t="n">
        <x:f>MAX($B$6:$E$18)*0.25</x:f>
        <x:v>0.004350340298434624</x:v>
      </x:c>
      <x:c r="J9" s="40" t="n">
        <x:f>MAX($B$6:$E$18)*0.50</x:f>
        <x:v>0.008700680596869247</x:v>
      </x:c>
      <x:c r="K9" s="40" t="n">
        <x:f>MAX($B$6:$E$18)*0.75</x:f>
        <x:v>0.013051020895303871</x:v>
      </x:c>
      <x:c r="L9" s="40" t="n">
        <x:f>MAX($B$6:$E$18)</x:f>
        <x:v>0.017401361193738495</x:v>
      </x:c>
      <x:c r="M9" s="40"/>
      <x:c r="N9" s="40"/>
    </x:row>
    <x:row r="10">
      <x:c r="A10" s="40" t="n">
        <x:f>'Tendency Matrix'!A10</x:f>
        <x:v>120</x:v>
      </x:c>
      <x:c r="B10" s="40" t="n">
        <x:f>'Tendency Matrix'!D10*SIN('Tendency Matrix'!B10)</x:f>
        <x:v>0.0061396381257877285</x:v>
      </x:c>
      <x:c r="C10" s="40" t="n">
        <x:f>'Tendency Matrix'!D10*COS('Tendency Matrix'!B10)</x:f>
        <x:v>-0.0035447217246504324</x:v>
      </x:c>
      <x:c r="D10" s="40" t="n">
        <x:f>'Tendency Matrix'!F10*SIN('Tendency Matrix'!B10)</x:f>
        <x:v>0.009209457188681592</x:v>
      </x:c>
      <x:c r="E10" s="40" t="n">
        <x:f>'Tendency Matrix'!F10*COS('Tendency Matrix'!B10)</x:f>
        <x:v>-0.0053170825869756485</x:v>
      </x:c>
      <x:c r="F10" s="40"/>
      <x:c r="G10" s="40"/>
      <x:c r="H10" s="40" t="n">
        <x:f>120</x:f>
        <x:v>120</x:v>
      </x:c>
      <x:c r="I10" s="40" t="n">
        <x:f>MAX($B$6:$E$18)*0.25</x:f>
        <x:v>0.004350340298434624</x:v>
      </x:c>
      <x:c r="J10" s="40" t="n">
        <x:f>MAX($B$6:$E$18)*0.50</x:f>
        <x:v>0.008700680596869247</x:v>
      </x:c>
      <x:c r="K10" s="40" t="n">
        <x:f>MAX($B$6:$E$18)*0.75</x:f>
        <x:v>0.013051020895303871</x:v>
      </x:c>
      <x:c r="L10" s="40" t="n">
        <x:f>MAX($B$6:$E$18)</x:f>
        <x:v>0.017401361193738495</x:v>
      </x:c>
      <x:c r="M10" s="40"/>
      <x:c r="N10" s="40"/>
    </x:row>
    <x:row r="11">
      <x:c r="A11" s="40" t="n">
        <x:f>'Tendency Matrix'!A11</x:f>
        <x:v>150</x:v>
      </x:c>
      <x:c r="B11" s="40" t="n">
        <x:f>'Tendency Matrix'!D11*SIN('Tendency Matrix'!B11)</x:f>
        <x:v>0.002994284912287977</x:v>
      </x:c>
      <x:c r="C11" s="40" t="n">
        <x:f>'Tendency Matrix'!D11*COS('Tendency Matrix'!B11)</x:f>
        <x:v>-0.005186253600419697</x:v>
      </x:c>
      <x:c r="D11" s="40" t="n">
        <x:f>'Tendency Matrix'!F11*SIN('Tendency Matrix'!B11)</x:f>
        <x:v>0.004491427368431966</x:v>
      </x:c>
      <x:c r="E11" s="40" t="n">
        <x:f>'Tendency Matrix'!F11*COS('Tendency Matrix'!B11)</x:f>
        <x:v>-0.007779380400629546</x:v>
      </x:c>
      <x:c r="F11" s="40"/>
      <x:c r="G11" s="40"/>
      <x:c r="H11" s="40" t="n">
        <x:f>150</x:f>
        <x:v>150</x:v>
      </x:c>
      <x:c r="I11" s="40" t="n">
        <x:f>MAX($B$6:$E$18)*0.25</x:f>
        <x:v>0.004350340298434624</x:v>
      </x:c>
      <x:c r="J11" s="40" t="n">
        <x:f>MAX($B$6:$E$18)*0.50</x:f>
        <x:v>0.008700680596869247</x:v>
      </x:c>
      <x:c r="K11" s="40" t="n">
        <x:f>MAX($B$6:$E$18)*0.75</x:f>
        <x:v>0.013051020895303871</x:v>
      </x:c>
      <x:c r="L11" s="40" t="n">
        <x:f>MAX($B$6:$E$18)</x:f>
        <x:v>0.017401361193738495</x:v>
      </x:c>
      <x:c r="M11" s="40"/>
      <x:c r="N11" s="40"/>
    </x:row>
    <x:row r="12">
      <x:c r="A12" s="40" t="n">
        <x:f>'Tendency Matrix'!A12</x:f>
        <x:v>180</x:v>
      </x:c>
      <x:c r="B12" s="40" t="n">
        <x:f>'Tendency Matrix'!D12*SIN('Tendency Matrix'!B12)</x:f>
        <x:v>6.840414240181346e-19</x:v>
      </x:c>
      <x:c r="C12" s="40" t="n">
        <x:f>'Tendency Matrix'!D12*COS('Tendency Matrix'!B12)</x:f>
        <x:v>-0.005585622111570381</x:v>
      </x:c>
      <x:c r="D12" s="40" t="n">
        <x:f>'Tendency Matrix'!F12*SIN('Tendency Matrix'!B12)</x:f>
        <x:v>1.026062136027202e-18</x:v>
      </x:c>
      <x:c r="E12" s="40" t="n">
        <x:f>'Tendency Matrix'!F12*COS('Tendency Matrix'!B12)</x:f>
        <x:v>-0.008378433167355571</x:v>
      </x:c>
      <x:c r="F12" s="40"/>
      <x:c r="G12" s="40"/>
      <x:c r="H12" s="40" t="n">
        <x:f>180</x:f>
        <x:v>180</x:v>
      </x:c>
      <x:c r="I12" s="40" t="n">
        <x:f>MAX($B$6:$E$18)*0.25</x:f>
        <x:v>0.004350340298434624</x:v>
      </x:c>
      <x:c r="J12" s="40" t="n">
        <x:f>MAX($B$6:$E$18)*0.50</x:f>
        <x:v>0.008700680596869247</x:v>
      </x:c>
      <x:c r="K12" s="40" t="n">
        <x:f>MAX($B$6:$E$18)*0.75</x:f>
        <x:v>0.013051020895303871</x:v>
      </x:c>
      <x:c r="L12" s="40" t="n">
        <x:f>MAX($B$6:$E$18)</x:f>
        <x:v>0.017401361193738495</x:v>
      </x:c>
      <x:c r="M12" s="40"/>
      <x:c r="N12" s="40"/>
    </x:row>
    <x:row r="13">
      <x:c r="A13" s="40" t="n">
        <x:f>'Tendency Matrix'!A13</x:f>
        <x:v>210</x:v>
      </x:c>
      <x:c r="B13" s="40" t="n">
        <x:f>'Tendency Matrix'!D13*SIN('Tendency Matrix'!B13)</x:f>
        <x:v>-0.002994284912287979</x:v>
      </x:c>
      <x:c r="C13" s="40" t="n">
        <x:f>'Tendency Matrix'!D13*COS('Tendency Matrix'!B13)</x:f>
        <x:v>-0.005186253600419697</x:v>
      </x:c>
      <x:c r="D13" s="40" t="n">
        <x:f>'Tendency Matrix'!F13*SIN('Tendency Matrix'!B13)</x:f>
        <x:v>-0.004491427368431968</x:v>
      </x:c>
      <x:c r="E13" s="40" t="n">
        <x:f>'Tendency Matrix'!F13*COS('Tendency Matrix'!B13)</x:f>
        <x:v>-0.007779380400629546</x:v>
      </x:c>
      <x:c r="F13" s="40"/>
      <x:c r="G13" s="40"/>
      <x:c r="H13" s="40" t="n">
        <x:f>210</x:f>
        <x:v>210</x:v>
      </x:c>
      <x:c r="I13" s="40" t="n">
        <x:f>MAX($B$6:$E$18)*0.25</x:f>
        <x:v>0.004350340298434624</x:v>
      </x:c>
      <x:c r="J13" s="40" t="n">
        <x:f>MAX($B$6:$E$18)*0.50</x:f>
        <x:v>0.008700680596869247</x:v>
      </x:c>
      <x:c r="K13" s="40" t="n">
        <x:f>MAX($B$6:$E$18)*0.75</x:f>
        <x:v>0.013051020895303871</x:v>
      </x:c>
      <x:c r="L13" s="40" t="n">
        <x:f>MAX($B$6:$E$18)</x:f>
        <x:v>0.017401361193738495</x:v>
      </x:c>
      <x:c r="M13" s="40"/>
      <x:c r="N13" s="40"/>
    </x:row>
    <x:row r="14">
      <x:c r="A14" s="40" t="n">
        <x:f>'Tendency Matrix'!A14</x:f>
        <x:v>240</x:v>
      </x:c>
      <x:c r="B14" s="40" t="n">
        <x:f>'Tendency Matrix'!D14*SIN('Tendency Matrix'!B14)</x:f>
        <x:v>-0.006139638125787725</x:v>
      </x:c>
      <x:c r="C14" s="40" t="n">
        <x:f>'Tendency Matrix'!D14*COS('Tendency Matrix'!B14)</x:f>
        <x:v>-0.0035447217246504363</x:v>
      </x:c>
      <x:c r="D14" s="40" t="n">
        <x:f>'Tendency Matrix'!F14*SIN('Tendency Matrix'!B14)</x:f>
        <x:v>-0.009209457188681588</x:v>
      </x:c>
      <x:c r="E14" s="40" t="n">
        <x:f>'Tendency Matrix'!F14*COS('Tendency Matrix'!B14)</x:f>
        <x:v>-0.005317082586975655</x:v>
      </x:c>
      <x:c r="F14" s="40"/>
      <x:c r="G14" s="40"/>
      <x:c r="H14" s="40" t="n">
        <x:f>240</x:f>
        <x:v>240</x:v>
      </x:c>
      <x:c r="I14" s="40" t="n">
        <x:f>MAX($B$6:$E$18)*0.25</x:f>
        <x:v>0.004350340298434624</x:v>
      </x:c>
      <x:c r="J14" s="40" t="n">
        <x:f>MAX($B$6:$E$18)*0.50</x:f>
        <x:v>0.008700680596869247</x:v>
      </x:c>
      <x:c r="K14" s="40" t="n">
        <x:f>MAX($B$6:$E$18)*0.75</x:f>
        <x:v>0.013051020895303871</x:v>
      </x:c>
      <x:c r="L14" s="40" t="n">
        <x:f>MAX($B$6:$E$18)</x:f>
        <x:v>0.017401361193738495</x:v>
      </x:c>
      <x:c r="M14" s="40"/>
      <x:c r="N14" s="40"/>
    </x:row>
    <x:row r="15">
      <x:c r="A15" s="40" t="n">
        <x:f>'Tendency Matrix'!A15</x:f>
        <x:v>270</x:v>
      </x:c>
      <x:c r="B15" s="40" t="n">
        <x:f>'Tendency Matrix'!D15*SIN('Tendency Matrix'!B15)</x:f>
        <x:v>-0.008593264787031353</x:v>
      </x:c>
      <x:c r="C15" s="40" t="n">
        <x:f>'Tendency Matrix'!D15*COS('Tendency Matrix'!B15)</x:f>
        <x:v>-1.5785571323495412e-18</x:v>
      </x:c>
      <x:c r="D15" s="40" t="n">
        <x:f>'Tendency Matrix'!F15*SIN('Tendency Matrix'!B15)</x:f>
        <x:v>-0.012889897180547031</x:v>
      </x:c>
      <x:c r="E15" s="40" t="n">
        <x:f>'Tendency Matrix'!F15*COS('Tendency Matrix'!B15)</x:f>
        <x:v>-2.367835698524312e-18</x:v>
      </x:c>
      <x:c r="F15" s="40"/>
      <x:c r="G15" s="40"/>
      <x:c r="H15" s="40" t="n">
        <x:f>270</x:f>
        <x:v>270</x:v>
      </x:c>
      <x:c r="I15" s="40" t="n">
        <x:f>MAX($B$6:$E$18)*0.25</x:f>
        <x:v>0.004350340298434624</x:v>
      </x:c>
      <x:c r="J15" s="40" t="n">
        <x:f>MAX($B$6:$E$18)*0.50</x:f>
        <x:v>0.008700680596869247</x:v>
      </x:c>
      <x:c r="K15" s="40" t="n">
        <x:f>MAX($B$6:$E$18)*0.75</x:f>
        <x:v>0.013051020895303871</x:v>
      </x:c>
      <x:c r="L15" s="40" t="n">
        <x:f>MAX($B$6:$E$18)</x:f>
        <x:v>0.017401361193738495</x:v>
      </x:c>
      <x:c r="M15" s="40"/>
      <x:c r="N15" s="40"/>
    </x:row>
    <x:row r="16">
      <x:c r="A16" s="40" t="n">
        <x:f>'Tendency Matrix'!A16</x:f>
        <x:v>300</x:v>
      </x:c>
      <x:c r="B16" s="40" t="n">
        <x:f>'Tendency Matrix'!D16*SIN('Tendency Matrix'!B16)</x:f>
        <x:v>-0.008744333088243126</x:v>
      </x:c>
      <x:c r="C16" s="40" t="n">
        <x:f>'Tendency Matrix'!D16*COS('Tendency Matrix'!B16)</x:f>
        <x:v>0.0050485430623809216</x:v>
      </x:c>
      <x:c r="D16" s="40" t="n">
        <x:f>'Tendency Matrix'!F16*SIN('Tendency Matrix'!B16)</x:f>
        <x:v>-0.01311649963236469</x:v>
      </x:c>
      <x:c r="E16" s="40" t="n">
        <x:f>'Tendency Matrix'!F16*COS('Tendency Matrix'!B16)</x:f>
        <x:v>0.007572814593571384</x:v>
      </x:c>
      <x:c r="F16" s="40"/>
      <x:c r="G16" s="40"/>
      <x:c r="H16" s="40" t="n">
        <x:f>300</x:f>
        <x:v>300</x:v>
      </x:c>
      <x:c r="I16" s="40" t="n">
        <x:f>MAX($B$6:$E$18)*0.25</x:f>
        <x:v>0.004350340298434624</x:v>
      </x:c>
      <x:c r="J16" s="40" t="n">
        <x:f>MAX($B$6:$E$18)*0.50</x:f>
        <x:v>0.008700680596869247</x:v>
      </x:c>
      <x:c r="K16" s="40" t="n">
        <x:f>MAX($B$6:$E$18)*0.75</x:f>
        <x:v>0.013051020895303871</x:v>
      </x:c>
      <x:c r="L16" s="40" t="n">
        <x:f>MAX($B$6:$E$18)</x:f>
        <x:v>0.017401361193738495</x:v>
      </x:c>
      <x:c r="M16" s="40"/>
      <x:c r="N16" s="40"/>
    </x:row>
    <x:row r="17">
      <x:c r="A17" s="40" t="n">
        <x:f>'Tendency Matrix'!A17</x:f>
        <x:v>330</x:v>
      </x:c>
      <x:c r="B17" s="40" t="n">
        <x:f>'Tendency Matrix'!D17*SIN('Tendency Matrix'!B17)</x:f>
        <x:v>-0.005598979874743382</x:v>
      </x:c>
      <x:c r="C17" s="40" t="n">
        <x:f>'Tendency Matrix'!D17*COS('Tendency Matrix'!B17)</x:f>
        <x:v>0.009697717613611155</x:v>
      </x:c>
      <x:c r="D17" s="40" t="n">
        <x:f>'Tendency Matrix'!F17*SIN('Tendency Matrix'!B17)</x:f>
        <x:v>-0.008398469812115072</x:v>
      </x:c>
      <x:c r="E17" s="40" t="n">
        <x:f>'Tendency Matrix'!F17*COS('Tendency Matrix'!B17)</x:f>
        <x:v>0.014546576420416731</x:v>
      </x:c>
      <x:c r="F17" s="40"/>
      <x:c r="G17" s="40"/>
      <x:c r="H17" s="40" t="n">
        <x:f>330</x:f>
        <x:v>330</x:v>
      </x:c>
      <x:c r="I17" s="40" t="n">
        <x:f>MAX($B$6:$E$18)*0.25</x:f>
        <x:v>0.004350340298434624</x:v>
      </x:c>
      <x:c r="J17" s="40" t="n">
        <x:f>MAX($B$6:$E$18)*0.50</x:f>
        <x:v>0.008700680596869247</x:v>
      </x:c>
      <x:c r="K17" s="40" t="n">
        <x:f>MAX($B$6:$E$18)*0.75</x:f>
        <x:v>0.013051020895303871</x:v>
      </x:c>
      <x:c r="L17" s="40" t="n">
        <x:f>MAX($B$6:$E$18)</x:f>
        <x:v>0.017401361193738495</x:v>
      </x:c>
      <x:c r="M17" s="40"/>
      <x:c r="N17" s="40"/>
    </x:row>
    <x:row r="18">
      <x:c r="A18" s="40" t="n">
        <x:f>'Tendency Matrix'!A6</x:f>
        <x:v>0</x:v>
      </x:c>
      <x:c r="B18" s="40" t="n">
        <x:f>'Tendency Matrix'!D6*SIN('Tendency Matrix'!B6)</x:f>
        <x:v>0</x:v>
      </x:c>
      <x:c r="C18" s="40" t="n">
        <x:f>'Tendency Matrix'!D6*COS('Tendency Matrix'!B6)</x:f>
        <x:v>0.01160090746249233</x:v>
      </x:c>
      <x:c r="D18" s="40" t="n">
        <x:f>'Tendency Matrix'!F6*SIN('Tendency Matrix'!B6)</x:f>
        <x:v>0</x:v>
      </x:c>
      <x:c r="E18" s="40" t="n">
        <x:f>'Tendency Matrix'!F6*COS('Tendency Matrix'!B6)</x:f>
        <x:v>0.017401361193738495</x:v>
      </x:c>
      <x:c r="F18" s="40"/>
      <x:c r="G18" s="40"/>
      <x:c r="H18" s="40"/>
      <x:c r="I18" s="40"/>
      <x:c r="J18" s="40"/>
      <x:c r="K18" s="40"/>
      <x:c r="L18" s="40"/>
      <x:c r="M18" s="40"/>
      <x:c r="N18" s="40"/>
    </x:row>
  </x:sheetData>
  <x:mergeCells>
    <x:mergeCell ref="A1:N1"/>
    <x:mergeCell ref="A3:N3"/>
  </x:mergeCells>
  <x:pageMargins left="0.7" right="0.7" top="0.75" bottom="0.75" header="0.3" footer="0.3"/>
  <x:drawing xmlns:r="http://schemas.openxmlformats.org/officeDocument/2006/relationships" r:id="rId1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12" hidden="0" customWidth="1"/>
    <x:col min="4" max="4" width="22" hidden="0" customWidth="1"/>
    <x:col min="5" max="5" width="38" hidden="0" customWidth="1"/>
    <x:col min="6" max="6" width="38" hidden="0" customWidth="1"/>
    <x:col min="7" max="7" width="34" hidden="0" customWidth="1"/>
    <x:col min="8" max="8" width="26" hidden="0" customWidth="1"/>
    <x:col min="9" max="9" width="26" hidden="0" customWidth="1"/>
    <x:col min="10" max="10" width="12" hidden="0" customWidth="1"/>
    <x:col min="11" max="11" width="40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Rust Engine | Value-only calculation client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 t="str">
        <x:v>Rust BHA engine contract, source identity and execution state</x:v>
      </x:c>
      <x:c r="B3" s="41" t="str">
        <x:v>Rust BHA engine contract, source identity and execution state</x:v>
      </x:c>
      <x:c r="C3" s="41" t="str">
        <x:v>Rust BHA engine contract, source identity and execution state</x:v>
      </x:c>
      <x:c r="D3" s="41" t="str">
        <x:v>Rust BHA engine contract, source identity and execution state</x:v>
      </x:c>
      <x:c r="E3" s="41" t="str">
        <x:v>Rust BHA engine contract, source identity and execution state</x:v>
      </x:c>
      <x:c r="F3" s="41" t="str">
        <x:v>Rust BHA engine contract, source identity and execution state</x:v>
      </x:c>
      <x:c r="G3" s="41" t="str">
        <x:v>Rust BHA engine contract, source identity and execution state</x:v>
      </x:c>
      <x:c r="H3" s="41" t="str">
        <x:v>Rust BHA engine contract, source identity and execution state</x:v>
      </x:c>
      <x:c r="I3" s="40"/>
      <x:c r="J3" s="40"/>
      <x:c r="K3" s="40"/>
      <x:c r="L3" s="40"/>
      <x:c r="M3" s="40"/>
      <x:c r="N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42" t="str">
        <x:v>Contract version</x:v>
      </x:c>
      <x:c r="B5" s="42" t="str">
        <x:v>1.0.0</x:v>
      </x:c>
      <x:c r="C5" s="40"/>
      <x:c r="D5" s="42" t="str">
        <x:v>Object type</x:v>
      </x:c>
      <x:c r="E5" s="42" t="str">
        <x:v>UUID</x:v>
      </x:c>
      <x:c r="F5" s="42" t="str">
        <x:v>URI</x:v>
      </x:c>
      <x:c r="G5" s="42" t="str">
        <x:v>Content hash</x:v>
      </x:c>
      <x:c r="H5" s="42" t="str">
        <x:v>Citation</x:v>
      </x:c>
      <x:c r="I5" s="42" t="str">
        <x:v>Source system</x:v>
      </x:c>
      <x:c r="J5" s="40"/>
      <x:c r="K5" s="42" t="str">
        <x:v>Component UUID</x:v>
      </x:c>
      <x:c r="L5" s="40"/>
      <x:c r="M5" s="40"/>
      <x:c r="N5" s="40"/>
    </x:row>
    <x:row r="6">
      <x:c r="A6" s="43" t="str">
        <x:v>Engine executable</x:v>
      </x:c>
      <x:c r="B6" s="43" t="str">
        <x:v>wellforge-bha.exe</x:v>
      </x:c>
      <x:c r="C6" s="40"/>
      <x:c r="D6" s="43" t="str">
        <x:v>well</x:v>
      </x:c>
      <x:c r="E6" s="43" t="str">
        <x:v>00000000-0000-0000-0000-000000000001</x:v>
      </x:c>
      <x:c r="F6" s="43" t="str">
        <x:v>eml:///wellforge/fixture/1</x:v>
      </x:c>
      <x:c r="G6" s="43" t="str">
        <x:v>sha256:0000000000000000000000000000000000000000000000000000000000000001</x:v>
      </x:c>
      <x:c r="H6" s="43" t="str">
        <x:v>synthetic-Well</x:v>
      </x:c>
      <x:c r="I6" s="43" t="str">
        <x:v>wellforge-synthetic-1</x:v>
      </x:c>
      <x:c r="J6" s="40"/>
      <x:c r="K6" s="43" t="str">
        <x:v>00000000-0000-0000-0000-000000001000</x:v>
      </x:c>
      <x:c r="L6" s="40"/>
      <x:c r="M6" s="40"/>
      <x:c r="N6" s="40"/>
    </x:row>
    <x:row r="7">
      <x:c r="A7" s="43" t="str">
        <x:v>Execution mode</x:v>
      </x:c>
      <x:c r="B7" s="43" t="str">
        <x:v>RUST REQUIRED — NO VBA FALLBACK</x:v>
      </x:c>
      <x:c r="C7" s="40"/>
      <x:c r="D7" s="43" t="str">
        <x:v>wellbore</x:v>
      </x:c>
      <x:c r="E7" s="43" t="str">
        <x:v>00000000-0000-0000-0000-000000000002</x:v>
      </x:c>
      <x:c r="F7" s="43" t="str">
        <x:v>eml:///wellforge/fixture/2</x:v>
      </x:c>
      <x:c r="G7" s="43" t="str">
        <x:v>sha256:0000000000000000000000000000000000000000000000000000000000000002</x:v>
      </x:c>
      <x:c r="H7" s="43" t="str">
        <x:v>synthetic-Wellbore</x:v>
      </x:c>
      <x:c r="I7" s="43" t="str">
        <x:v>wellforge-synthetic-1</x:v>
      </x:c>
      <x:c r="J7" s="40"/>
      <x:c r="K7" s="43" t="str">
        <x:v>00000000-0000-0000-0000-000000001001</x:v>
      </x:c>
      <x:c r="L7" s="40"/>
      <x:c r="M7" s="40"/>
      <x:c r="N7" s="40"/>
    </x:row>
    <x:row r="8">
      <x:c r="A8" s="43" t="str">
        <x:v>Request path</x:v>
      </x:c>
      <x:c r="B8" s="43" t="str"/>
      <x:c r="C8" s="40"/>
      <x:c r="D8" s="43" t="str">
        <x:v>trajectory</x:v>
      </x:c>
      <x:c r="E8" s="43" t="str">
        <x:v>00000000-0000-0000-0000-000000000003</x:v>
      </x:c>
      <x:c r="F8" s="43" t="str">
        <x:v>eml:///wellforge/fixture/3</x:v>
      </x:c>
      <x:c r="G8" s="43" t="str">
        <x:v>sha256:0000000000000000000000000000000000000000000000000000000000000003</x:v>
      </x:c>
      <x:c r="H8" s="43" t="str">
        <x:v>synthetic-Trajectory</x:v>
      </x:c>
      <x:c r="I8" s="43" t="str">
        <x:v>wellforge-synthetic-1</x:v>
      </x:c>
      <x:c r="J8" s="40"/>
      <x:c r="K8" s="43" t="str">
        <x:v>00000000-0000-0000-0000-000000001002</x:v>
      </x:c>
      <x:c r="L8" s="40"/>
      <x:c r="M8" s="40"/>
      <x:c r="N8" s="40"/>
    </x:row>
    <x:row r="9">
      <x:c r="A9" s="43" t="str">
        <x:v>Result path</x:v>
      </x:c>
      <x:c r="B9" s="43" t="str"/>
      <x:c r="C9" s="40"/>
      <x:c r="D9" s="43" t="str">
        <x:v>wellboreGeometry</x:v>
      </x:c>
      <x:c r="E9" s="43" t="str">
        <x:v>00000000-0000-0000-0000-000000000004</x:v>
      </x:c>
      <x:c r="F9" s="43" t="str">
        <x:v>eml:///wellforge/fixture/4</x:v>
      </x:c>
      <x:c r="G9" s="43" t="str">
        <x:v>sha256:0000000000000000000000000000000000000000000000000000000000000004</x:v>
      </x:c>
      <x:c r="H9" s="43" t="str">
        <x:v>synthetic-WellboreGeometry</x:v>
      </x:c>
      <x:c r="I9" s="43" t="str">
        <x:v>wellforge-synthetic-1</x:v>
      </x:c>
      <x:c r="J9" s="40"/>
      <x:c r="K9" s="43" t="str">
        <x:v>00000000-0000-0000-0000-000000001003</x:v>
      </x:c>
      <x:c r="L9" s="40"/>
      <x:c r="M9" s="40"/>
      <x:c r="N9" s="40"/>
    </x:row>
    <x:row r="10">
      <x:c r="A10" s="43" t="str">
        <x:v>Request SHA-256</x:v>
      </x:c>
      <x:c r="B10" s="43" t="str"/>
      <x:c r="C10" s="40"/>
      <x:c r="D10" s="43" t="str">
        <x:v>tubular</x:v>
      </x:c>
      <x:c r="E10" s="43" t="str">
        <x:v>00000000-0000-0000-0000-000000000005</x:v>
      </x:c>
      <x:c r="F10" s="43" t="str">
        <x:v>eml:///wellforge/fixture/5</x:v>
      </x:c>
      <x:c r="G10" s="43" t="str">
        <x:v>sha256:0000000000000000000000000000000000000000000000000000000000000005</x:v>
      </x:c>
      <x:c r="H10" s="43" t="str">
        <x:v>synthetic-Tubular</x:v>
      </x:c>
      <x:c r="I10" s="43" t="str">
        <x:v>wellforge-synthetic-1</x:v>
      </x:c>
      <x:c r="J10" s="40"/>
      <x:c r="K10" s="43" t="str">
        <x:v>00000000-0000-0000-0000-000000001004</x:v>
      </x:c>
      <x:c r="L10" s="40"/>
      <x:c r="M10" s="40"/>
      <x:c r="N10" s="40"/>
    </x:row>
    <x:row r="11">
      <x:c r="A11" s="43" t="str">
        <x:v>Result SHA-256</x:v>
      </x:c>
      <x:c r="B11" s="43" t="str"/>
      <x:c r="C11" s="40"/>
      <x:c r="D11" s="43" t="str">
        <x:v>bhaRun</x:v>
      </x:c>
      <x:c r="E11" s="43" t="str">
        <x:v>00000000-0000-0000-0000-000000000006</x:v>
      </x:c>
      <x:c r="F11" s="43" t="str">
        <x:v>eml:///wellforge/fixture/6</x:v>
      </x:c>
      <x:c r="G11" s="43" t="str">
        <x:v>sha256:0000000000000000000000000000000000000000000000000000000000000006</x:v>
      </x:c>
      <x:c r="H11" s="43" t="str">
        <x:v>synthetic-BhaRun</x:v>
      </x:c>
      <x:c r="I11" s="43" t="str">
        <x:v>wellforge-synthetic-1</x:v>
      </x:c>
      <x:c r="J11" s="40"/>
      <x:c r="K11" s="43" t="str">
        <x:v>00000000-0000-0000-0000-000000001005</x:v>
      </x:c>
      <x:c r="L11" s="40"/>
      <x:c r="M11" s="40"/>
      <x:c r="N11" s="40"/>
    </x:row>
    <x:row r="12">
      <x:c r="A12" s="43" t="str">
        <x:v>Engine version</x:v>
      </x:c>
      <x:c r="B12" s="43" t="str">
        <x:v>0.1.0</x:v>
      </x:c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</x:row>
    <x:row r="13">
      <x:c r="A13" s="43" t="str">
        <x:v>State</x:v>
      </x:c>
      <x:c r="B13" s="43" t="str">
        <x:v>FIXTURE PREVIEW</x:v>
      </x:c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</x:row>
    <x:row r="15">
      <x:c r="A15" s="46" t="str">
        <x:v>The checked-in values on Rust Engine Results are a synthetic deterministic fixture preview. Desktop Excel replaces them with value-only results from the colocated, hash-verified Rust executable. Projected negative clearance is an interference indication only; Release 1 does not report contact force.</x:v>
      </x:c>
      <x:c r="B15" s="46"/>
      <x:c r="C15" s="46"/>
      <x:c r="D15" s="46"/>
      <x:c r="E15" s="46"/>
      <x:c r="F15" s="46"/>
      <x:c r="G15" s="46"/>
      <x:c r="H15" s="46"/>
      <x:c r="I15" s="46"/>
      <x:c r="J15" s="40"/>
      <x:c r="K15" s="40"/>
      <x:c r="L15" s="40"/>
      <x:c r="M15" s="40"/>
      <x:c r="N15" s="40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0"/>
      <x:c r="K16" s="40"/>
      <x:c r="L16" s="40"/>
      <x:c r="M16" s="40"/>
      <x:c r="N16" s="40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0"/>
      <x:c r="K17" s="40"/>
      <x:c r="L17" s="40"/>
      <x:c r="M17" s="40"/>
      <x:c r="N17" s="40"/>
    </x:row>
  </x:sheetData>
  <x:mergeCells>
    <x:mergeCell ref="A1:N1"/>
    <x:mergeCell ref="A3:H3"/>
    <x:mergeCell ref="A15:I1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Rust Engine Results | Value-only decision surface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 t="str">
        <x:v>Rust Release 1 — static projection, bending, modes, FRF and Campbell results</x:v>
      </x:c>
      <x:c r="B3" s="41" t="str">
        <x:v>Rust Release 1 — static projection, bending, modes, FRF and Campbell results</x:v>
      </x:c>
      <x:c r="C3" s="41" t="str">
        <x:v>Rust Release 1 — static projection, bending, modes, FRF and Campbell results</x:v>
      </x:c>
      <x:c r="D3" s="41" t="str">
        <x:v>Rust Release 1 — static projection, bending, modes, FRF and Campbell results</x:v>
      </x:c>
      <x:c r="E3" s="41" t="str">
        <x:v>Rust Release 1 — static projection, bending, modes, FRF and Campbell results</x:v>
      </x:c>
      <x:c r="F3" s="41" t="str">
        <x:v>Rust Release 1 — static projection, bending, modes, FRF and Campbell results</x:v>
      </x:c>
      <x:c r="G3" s="41" t="str">
        <x:v>Rust Release 1 — static projection, bending, modes, FRF and Campbell results</x:v>
      </x:c>
      <x:c r="H3" s="41" t="str">
        <x:v>Rust Release 1 — static projection, bending, modes, FRF and Campbell results</x:v>
      </x:c>
      <x:c r="I3" s="41" t="str">
        <x:v>Rust Release 1 — static projection, bending, modes, FRF and Campbell results</x:v>
      </x:c>
      <x:c r="J3" s="41" t="str">
        <x:v>Rust Release 1 — static projection, bending, modes, FRF and Campbell results</x:v>
      </x:c>
      <x:c r="K3" s="41" t="str">
        <x:v>Rust Release 1 — static projection, bending, modes, FRF and Campbell results</x:v>
      </x:c>
      <x:c r="L3" s="41" t="str">
        <x:v>Rust Release 1 — static projection, bending, modes, FRF and Campbell results</x:v>
      </x:c>
      <x:c r="M3" s="41" t="str">
        <x:v>Rust Release 1 — static projection, bending, modes, FRF and Campbell results</x:v>
      </x:c>
      <x:c r="N3" s="41" t="str">
        <x:v>Rust Release 1 — static projection, bending, modes, FRF and Campbell results</x:v>
      </x:c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42" t="str">
        <x:v>Decision metric</x:v>
      </x:c>
      <x:c r="B5" s="42" t="str">
        <x:v>Value</x:v>
      </x:c>
      <x:c r="C5" s="42" t="str">
        <x:v>Unit</x:v>
      </x:c>
      <x:c r="D5" s="42" t="str">
        <x:v>State</x:v>
      </x:c>
      <x:c r="E5" s="40"/>
      <x:c r="F5" s="40"/>
      <x:c r="G5" s="40"/>
      <x:c r="H5" s="40"/>
      <x:c r="I5" s="40"/>
      <x:c r="J5" s="40"/>
      <x:c r="K5" s="40"/>
      <x:c r="L5" s="40"/>
      <x:c r="M5" s="40"/>
      <x:c r="N5" s="40"/>
    </x:row>
    <x:row r="6">
      <x:c r="A6" s="43" t="str">
        <x:v>Minimum projected clearance</x:v>
      </x:c>
      <x:c r="B6" s="43" t="n">
        <x:v>-0.22806227233649662</x:v>
      </x:c>
      <x:c r="C6" s="43" t="str">
        <x:v>m</x:v>
      </x:c>
      <x:c r="D6" s="43" t="str">
        <x:v>REVIEW</x:v>
      </x:c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>
      <x:c r="A7" s="43" t="str">
        <x:v>Peak bending stress</x:v>
      </x:c>
      <x:c r="B7" s="43" t="n">
        <x:v>151212518.55102736</x:v>
      </x:c>
      <x:c r="C7" s="43" t="str">
        <x:v>Pa</x:v>
      </x:c>
      <x:c r="D7" s="43" t="str">
        <x:v>CALCULATED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>
      <x:c r="A8" s="43" t="str">
        <x:v>First lateral natural frequency</x:v>
      </x:c>
      <x:c r="B8" s="43" t="n">
        <x:v>1.0740750004335027</x:v>
      </x:c>
      <x:c r="C8" s="43" t="str">
        <x:v>Hz</x:v>
      </x:c>
      <x:c r="D8" s="43" t="str">
        <x:v>CALCULATED</x:v>
      </x:c>
      <x:c r="E8" s="40"/>
      <x:c r="F8" s="40"/>
      <x:c r="G8" s="40"/>
      <x:c r="H8" s="40"/>
      <x:c r="I8" s="40"/>
      <x:c r="J8" s="40"/>
      <x:c r="K8" s="40"/>
      <x:c r="L8" s="40"/>
      <x:c r="M8" s="40"/>
      <x:c r="N8" s="40"/>
    </x:row>
    <x:row r="9">
      <x:c r="A9" s="43" t="str">
        <x:v>Nearest 1x–3x modal margin</x:v>
      </x:c>
      <x:c r="B9" s="43" t="n">
        <x:v>0.00925833289983058</x:v>
      </x:c>
      <x:c r="C9" s="43" t="str">
        <x:v>Hz</x:v>
      </x:c>
      <x:c r="D9" s="43" t="str">
        <x:v>REVIEW</x:v>
      </x:c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>
      <x:c r="A10" s="43" t="str">
        <x:v>Contact force</x:v>
      </x:c>
      <x:c r="B10" s="43" t="str">
        <x:v>Not calculated</x:v>
      </x:c>
      <x:c r="C10" s="43" t="str">
        <x:v>—</x:v>
      </x:c>
      <x:c r="D10" s="43" t="str">
        <x:v>INDICATION ONLY</x:v>
      </x:c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</x:row>
    <x:row r="12">
      <x:c r="A12" s="42" t="str">
        <x:v>Mode</x:v>
      </x:c>
      <x:c r="B12" s="42" t="str">
        <x:v>Natural frequency Hz</x:v>
      </x:c>
      <x:c r="C12" s="42" t="str">
        <x:v>Critical speed RPM</x:v>
      </x:c>
      <x:c r="D12" s="42" t="str">
        <x:v>Status</x:v>
      </x:c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</x:row>
    <x:row r="13">
      <x:c r="A13" s="43" t="n">
        <x:v>1</x:v>
      </x:c>
      <x:c r="B13" s="43" t="n">
        <x:v>1.0740750004335027</x:v>
      </x:c>
      <x:c r="C13" s="43" t="n">
        <x:v>64.44450002601016</x:v>
      </x:c>
      <x:c r="D13" s="43" t="str">
        <x:v>CALCULATED</x:v>
      </x:c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</x:row>
    <x:row r="14">
      <x:c r="A14" s="43" t="n">
        <x:v>2</x:v>
      </x:c>
      <x:c r="B14" s="43" t="n">
        <x:v>6.731119776000174</x:v>
      </x:c>
      <x:c r="C14" s="43" t="n">
        <x:v>403.86718656001045</x:v>
      </x:c>
      <x:c r="D14" s="43" t="str">
        <x:v>CALCULATED</x:v>
      </x:c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</x:row>
    <x:row r="15">
      <x:c r="A15" s="43" t="n">
        <x:v>3</x:v>
      </x:c>
      <x:c r="B15" s="43" t="n">
        <x:v>18.847460389767726</x:v>
      </x:c>
      <x:c r="C15" s="43" t="n">
        <x:v>1130.8476233860636</x:v>
      </x:c>
      <x:c r="D15" s="43" t="str">
        <x:v>CALCULATED</x:v>
      </x:c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</x:row>
    <x:row r="16">
      <x:c r="A16" s="43" t="n">
        <x:v>4</x:v>
      </x:c>
      <x:c r="B16" s="43" t="n">
        <x:v>36.934325621800554</x:v>
      </x:c>
      <x:c r="C16" s="43" t="n">
        <x:v>2216.059537308033</x:v>
      </x:c>
      <x:c r="D16" s="43" t="str">
        <x:v>CALCULATED</x:v>
      </x:c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</x:row>
    <x:row r="17">
      <x:c r="A17" s="43" t="n">
        <x:v>5</x:v>
      </x:c>
      <x:c r="B17" s="43" t="n">
        <x:v>61.05826198617164</x:v>
      </x:c>
      <x:c r="C17" s="43" t="n">
        <x:v>3663.4957191702983</x:v>
      </x:c>
      <x:c r="D17" s="43" t="str">
        <x:v>CALCULATED</x:v>
      </x:c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</x:row>
    <x:row r="18">
      <x:c r="A18" s="43" t="n">
        <x:v>6</x:v>
      </x:c>
      <x:c r="B18" s="43" t="n">
        <x:v>91.21960742752769</x:v>
      </x:c>
      <x:c r="C18" s="43" t="n">
        <x:v>5473.176445651661</x:v>
      </x:c>
      <x:c r="D18" s="43" t="str">
        <x:v>CALCULATED</x:v>
      </x:c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</x:row>
    <x:row r="22">
      <x:c r="A22" s="46" t="str">
        <x:v>Applicability: linear small-deflection lateral beam model with buoyancy and compressive geometric stiffness. OD/hole crossing is an interference indication, not a solved normal-contact reaction. DAT calibration and nonlinear impact dynamics are outside Release 1.</x:v>
      </x:c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</x:row>
  </x:sheetData>
  <x:mergeCells>
    <x:mergeCell ref="A1:N1"/>
    <x:mergeCell ref="A3:N3"/>
    <x:mergeCell ref="A22:N24"/>
  </x:mergeCells>
  <x:conditionalFormatting sqref="B6:B9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  <x:drawing xmlns:r="http://schemas.openxmlformats.org/officeDocument/2006/relationships" r:id="rId1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6" customHeight="1">
      <x:c r="A1" s="39" t="str">
        <x:v>WellForge | Rust Calc | Value-only helper arrays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40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</x:row>
    <x:row r="3">
      <x:c r="A3" s="41" t="str">
        <x:v>Value-only Rust result arrays used by charts</x:v>
      </x:c>
      <x:c r="B3" s="41" t="str">
        <x:v>Value-only Rust result arrays used by charts</x:v>
      </x:c>
      <x:c r="C3" s="41" t="str">
        <x:v>Value-only Rust result arrays used by charts</x:v>
      </x:c>
      <x:c r="D3" s="41" t="str">
        <x:v>Value-only Rust result arrays used by charts</x:v>
      </x:c>
      <x:c r="E3" s="41" t="str">
        <x:v>Value-only Rust result arrays used by charts</x:v>
      </x:c>
      <x:c r="F3" s="41" t="str">
        <x:v>Value-only Rust result arrays used by charts</x:v>
      </x:c>
      <x:c r="G3" s="41" t="str">
        <x:v>Value-only Rust result arrays used by charts</x:v>
      </x:c>
      <x:c r="H3" s="41" t="str">
        <x:v>Value-only Rust result arrays used by charts</x:v>
      </x:c>
      <x:c r="I3" s="41" t="str">
        <x:v>Value-only Rust result arrays used by charts</x:v>
      </x:c>
      <x:c r="J3" s="41" t="str">
        <x:v>Value-only Rust result arrays used by charts</x:v>
      </x:c>
      <x:c r="K3" s="41" t="str">
        <x:v>Value-only Rust result arrays used by charts</x:v>
      </x:c>
      <x:c r="L3" s="41" t="str">
        <x:v>Value-only Rust result arrays used by charts</x:v>
      </x:c>
      <x:c r="M3" s="41" t="str">
        <x:v>Value-only Rust result arrays used by charts</x:v>
      </x:c>
      <x:c r="N3" s="41" t="str">
        <x:v>Value-only Rust result arrays used by charts</x:v>
      </x:c>
      <x:c r="O3" s="41" t="str">
        <x:v>Value-only Rust result arrays used by charts</x:v>
      </x:c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</x:row>
    <x:row r="5">
      <x:c r="A5" s="42" t="str">
        <x:v>MD m</x:v>
      </x:c>
      <x:c r="B5" s="42" t="str">
        <x:v>Centreline X m</x:v>
      </x:c>
      <x:c r="C5" s="42" t="str">
        <x:v>Centreline Y m</x:v>
      </x:c>
      <x:c r="D5" s="42" t="str">
        <x:v>OD radius m</x:v>
      </x:c>
      <x:c r="E5" s="42" t="str">
        <x:v>ID radius m</x:v>
      </x:c>
      <x:c r="F5" s="42" t="str">
        <x:v>Hole radius m</x:v>
      </x:c>
      <x:c r="G5" s="42" t="str">
        <x:v>Projected clearance m</x:v>
      </x:c>
      <x:c r="H5" s="42" t="str">
        <x:v>Bending moment N.m</x:v>
      </x:c>
      <x:c r="I5" s="42" t="str">
        <x:v>Bending stress Pa</x:v>
      </x:c>
      <x:c r="J5" s="42" t="str">
        <x:v>State</x:v>
      </x:c>
      <x:c r="K5" s="42" t="str">
        <x:v>Hole low m</x:v>
      </x:c>
      <x:c r="L5" s="42" t="str">
        <x:v>Mode</x:v>
      </x:c>
      <x:c r="M5" s="42" t="str">
        <x:v>Natural frequency Hz</x:v>
      </x:c>
      <x:c r="N5" s="42" t="str">
        <x:v>Critical speed RPM</x:v>
      </x:c>
      <x:c r="O5" s="42" t="str">
        <x:v>Status</x:v>
      </x:c>
    </x:row>
    <x:row r="6">
      <x:c r="A6" s="43" t="n">
        <x:v>0</x:v>
      </x:c>
      <x:c r="B6" s="43" t="n">
        <x:v>0</x:v>
      </x:c>
      <x:c r="C6" s="43" t="n">
        <x:v>0</x:v>
      </x:c>
      <x:c r="D6" s="43" t="n">
        <x:v>0.1016</x:v>
      </x:c>
      <x:c r="E6" s="43" t="n">
        <x:v>0.0357</x:v>
      </x:c>
      <x:c r="F6" s="43" t="n">
        <x:v>0.155575</x:v>
      </x:c>
      <x:c r="G6" s="43" t="n">
        <x:v>0.053974999999999995</x:v>
      </x:c>
      <x:c r="H6" s="43" t="n">
        <x:v>0</x:v>
      </x:c>
      <x:c r="I6" s="43" t="n">
        <x:v>0</x:v>
      </x:c>
      <x:c r="J6" s="43" t="str">
        <x:v>CLEARANCE</x:v>
      </x:c>
      <x:c r="K6" s="43" t="n">
        <x:v>-0.155575</x:v>
      </x:c>
      <x:c r="L6" s="43" t="n">
        <x:v>1</x:v>
      </x:c>
      <x:c r="M6" s="43" t="n">
        <x:v>1.0740750004335027</x:v>
      </x:c>
      <x:c r="N6" s="43" t="n">
        <x:v>64.44450002601016</x:v>
      </x:c>
      <x:c r="O6" s="43" t="str">
        <x:v>CALCULATED</x:v>
      </x:c>
    </x:row>
    <x:row r="7">
      <x:c r="A7" s="43" t="n">
        <x:v>0.5</x:v>
      </x:c>
      <x:c r="B7" s="43" t="n">
        <x:v>0.0009521091486677979</x:v>
      </x:c>
      <x:c r="C7" s="43" t="n">
        <x:v>0</x:v>
      </x:c>
      <x:c r="D7" s="43" t="n">
        <x:v>0.1016</x:v>
      </x:c>
      <x:c r="E7" s="43" t="n">
        <x:v>0.0357</x:v>
      </x:c>
      <x:c r="F7" s="43" t="n">
        <x:v>0.155575</x:v>
      </x:c>
      <x:c r="G7" s="43" t="n">
        <x:v>0.05302289085133219</x:v>
      </x:c>
      <x:c r="H7" s="43" t="n">
        <x:v>122655.60579408183</x:v>
      </x:c>
      <x:c r="I7" s="43" t="n">
        <x:v>151212518.55102736</x:v>
      </x:c>
      <x:c r="J7" s="43" t="str">
        <x:v>CLEARANCE</x:v>
      </x:c>
      <x:c r="K7" s="43" t="n">
        <x:v>-0.155575</x:v>
      </x:c>
      <x:c r="L7" s="43" t="n">
        <x:v>2</x:v>
      </x:c>
      <x:c r="M7" s="43" t="n">
        <x:v>6.731119776000174</x:v>
      </x:c>
      <x:c r="N7" s="43" t="n">
        <x:v>403.86718656001045</x:v>
      </x:c>
      <x:c r="O7" s="43" t="str">
        <x:v>CALCULATED</x:v>
      </x:c>
    </x:row>
    <x:row r="8">
      <x:c r="A8" s="43" t="n">
        <x:v>1</x:v>
      </x:c>
      <x:c r="B8" s="43" t="n">
        <x:v>0.0037030872183166294</x:v>
      </x:c>
      <x:c r="C8" s="43" t="n">
        <x:v>0</x:v>
      </x:c>
      <x:c r="D8" s="43" t="n">
        <x:v>0.1016</x:v>
      </x:c>
      <x:c r="E8" s="43" t="n">
        <x:v>0.0357</x:v>
      </x:c>
      <x:c r="F8" s="43" t="n">
        <x:v>0.155575</x:v>
      </x:c>
      <x:c r="G8" s="43" t="n">
        <x:v>0.05027191278168336</x:v>
      </x:c>
      <x:c r="H8" s="43" t="n">
        <x:v>112228.33452066558</x:v>
      </x:c>
      <x:c r="I8" s="43" t="n">
        <x:v>138357550.03442225</x:v>
      </x:c>
      <x:c r="J8" s="43" t="str">
        <x:v>CLEARANCE</x:v>
      </x:c>
      <x:c r="K8" s="43" t="n">
        <x:v>-0.155575</x:v>
      </x:c>
      <x:c r="L8" s="43" t="n">
        <x:v>3</x:v>
      </x:c>
      <x:c r="M8" s="43" t="n">
        <x:v>18.847460389767726</x:v>
      </x:c>
      <x:c r="N8" s="43" t="n">
        <x:v>1130.8476233860636</x:v>
      </x:c>
      <x:c r="O8" s="43" t="str">
        <x:v>CALCULATED</x:v>
      </x:c>
    </x:row>
    <x:row r="9">
      <x:c r="A9" s="43" t="n">
        <x:v>1.5</x:v>
      </x:c>
      <x:c r="B9" s="43" t="n">
        <x:v>0.008100007694883393</x:v>
      </x:c>
      <x:c r="C9" s="43" t="n">
        <x:v>0</x:v>
      </x:c>
      <x:c r="D9" s="43" t="n">
        <x:v>0.1016</x:v>
      </x:c>
      <x:c r="E9" s="43" t="n">
        <x:v>0.0357</x:v>
      </x:c>
      <x:c r="F9" s="43" t="n">
        <x:v>0.155575</x:v>
      </x:c>
      <x:c r="G9" s="43" t="n">
        <x:v>0.0458749923051166</x:v>
      </x:c>
      <x:c r="H9" s="43" t="n">
        <x:v>102264.49752606628</x:v>
      </x:c>
      <x:c r="I9" s="43" t="n">
        <x:v>126073913.45188655</x:v>
      </x:c>
      <x:c r="J9" s="43" t="str">
        <x:v>CLEARANCE</x:v>
      </x:c>
      <x:c r="K9" s="43" t="n">
        <x:v>-0.155575</x:v>
      </x:c>
      <x:c r="L9" s="43" t="n">
        <x:v>4</x:v>
      </x:c>
      <x:c r="M9" s="43" t="n">
        <x:v>36.934325621800554</x:v>
      </x:c>
      <x:c r="N9" s="43" t="n">
        <x:v>2216.059537308033</x:v>
      </x:c>
      <x:c r="O9" s="43" t="str">
        <x:v>CALCULATED</x:v>
      </x:c>
    </x:row>
    <x:row r="10">
      <x:c r="A10" s="43" t="n">
        <x:v>2</x:v>
      </x:c>
      <x:c r="B10" s="43" t="n">
        <x:v>0.013996740798263326</x:v>
      </x:c>
      <x:c r="C10" s="43" t="n">
        <x:v>0</x:v>
      </x:c>
      <x:c r="D10" s="43" t="n">
        <x:v>0.1016</x:v>
      </x:c>
      <x:c r="E10" s="43" t="n">
        <x:v>0.0357</x:v>
      </x:c>
      <x:c r="F10" s="43" t="n">
        <x:v>0.155575</x:v>
      </x:c>
      <x:c r="G10" s="43" t="n">
        <x:v>0.03997825920173667</x:v>
      </x:c>
      <x:c r="H10" s="43" t="n">
        <x:v>92764.09481028363</x:v>
      </x:c>
      <x:c r="I10" s="43" t="n">
        <x:v>114361608.80341993</x:v>
      </x:c>
      <x:c r="J10" s="43" t="str">
        <x:v>CLEARANCE</x:v>
      </x:c>
      <x:c r="K10" s="43" t="n">
        <x:v>-0.155575</x:v>
      </x:c>
      <x:c r="L10" s="43" t="n">
        <x:v>5</x:v>
      </x:c>
      <x:c r="M10" s="43" t="n">
        <x:v>61.05826198617164</x:v>
      </x:c>
      <x:c r="N10" s="43" t="n">
        <x:v>3663.4957191702983</x:v>
      </x:c>
      <x:c r="O10" s="43" t="str">
        <x:v>CALCULATED</x:v>
      </x:c>
    </x:row>
    <x:row r="11">
      <x:c r="A11" s="43" t="n">
        <x:v>2.5</x:v>
      </x:c>
      <x:c r="B11" s="43" t="n">
        <x:v>0.021253953482309997</x:v>
      </x:c>
      <x:c r="C11" s="43" t="n">
        <x:v>0</x:v>
      </x:c>
      <x:c r="D11" s="43" t="n">
        <x:v>0.1016</x:v>
      </x:c>
      <x:c r="E11" s="43" t="n">
        <x:v>0.0357</x:v>
      </x:c>
      <x:c r="F11" s="43" t="n">
        <x:v>0.155575</x:v>
      </x:c>
      <x:c r="G11" s="43" t="n">
        <x:v>0.032721046517690006</x:v>
      </x:c>
      <x:c r="H11" s="43" t="n">
        <x:v>83727.1263733173</x:v>
      </x:c>
      <x:c r="I11" s="43" t="n">
        <x:v>103220636.08902195</x:v>
      </x:c>
      <x:c r="J11" s="43" t="str">
        <x:v>CLEARANCE</x:v>
      </x:c>
      <x:c r="K11" s="43" t="n">
        <x:v>-0.155575</x:v>
      </x:c>
      <x:c r="L11" s="43" t="n">
        <x:v>6</x:v>
      </x:c>
      <x:c r="M11" s="43" t="n">
        <x:v>91.21960742752769</x:v>
      </x:c>
      <x:c r="N11" s="43" t="n">
        <x:v>5473.176445651661</x:v>
      </x:c>
      <x:c r="O11" s="43" t="str">
        <x:v>CALCULATED</x:v>
      </x:c>
    </x:row>
    <x:row r="12">
      <x:c r="A12" s="43" t="n">
        <x:v>3</x:v>
      </x:c>
      <x:c r="B12" s="43" t="n">
        <x:v>0.029739109434835303</x:v>
      </x:c>
      <x:c r="C12" s="43" t="n">
        <x:v>0</x:v>
      </x:c>
      <x:c r="D12" s="43" t="n">
        <x:v>0.1016</x:v>
      </x:c>
      <x:c r="E12" s="43" t="n">
        <x:v>0.0357</x:v>
      </x:c>
      <x:c r="F12" s="43" t="n">
        <x:v>0.155575</x:v>
      </x:c>
      <x:c r="G12" s="43" t="n">
        <x:v>0.024235890565164703</x:v>
      </x:c>
      <x:c r="H12" s="43" t="n">
        <x:v>75153.59221517012</x:v>
      </x:c>
      <x:c r="I12" s="43" t="n">
        <x:v>92650995.30869614</x:v>
      </x:c>
      <x:c r="J12" s="43" t="str">
        <x:v>CLEARANCE</x:v>
      </x:c>
      <x:c r="K12" s="43" t="n">
        <x:v>-0.155575</x:v>
      </x:c>
      <x:c r="L12" s="40"/>
      <x:c r="M12" s="40"/>
      <x:c r="N12" s="40"/>
      <x:c r="O12" s="40"/>
    </x:row>
    <x:row r="13">
      <x:c r="A13" s="43" t="n">
        <x:v>3.5</x:v>
      </x:c>
      <x:c r="B13" s="43" t="n">
        <x:v>0.03932646907760951</x:v>
      </x:c>
      <x:c r="C13" s="43" t="n">
        <x:v>0</x:v>
      </x:c>
      <x:c r="D13" s="43" t="n">
        <x:v>0.1016</x:v>
      </x:c>
      <x:c r="E13" s="43" t="n">
        <x:v>0.0357</x:v>
      </x:c>
      <x:c r="F13" s="43" t="n">
        <x:v>0.155575</x:v>
      </x:c>
      <x:c r="G13" s="43" t="n">
        <x:v>0.01464853092239049</x:v>
      </x:c>
      <x:c r="H13" s="43" t="n">
        <x:v>67043.49233583987</x:v>
      </x:c>
      <x:c r="I13" s="43" t="n">
        <x:v>82652686.46243969</x:v>
      </x:c>
      <x:c r="J13" s="43" t="str">
        <x:v>CLEARANCE</x:v>
      </x:c>
      <x:c r="K13" s="43" t="n">
        <x:v>-0.155575</x:v>
      </x:c>
      <x:c r="L13" s="40"/>
      <x:c r="M13" s="40"/>
      <x:c r="N13" s="40"/>
      <x:c r="O13" s="40"/>
    </x:row>
    <x:row r="14">
      <x:c r="A14" s="43" t="n">
        <x:v>4</x:v>
      </x:c>
      <x:c r="B14" s="43" t="n">
        <x:v>0.04989708956636123</x:v>
      </x:c>
      <x:c r="C14" s="43" t="n">
        <x:v>0</x:v>
      </x:c>
      <x:c r="D14" s="43" t="n">
        <x:v>0.1016</x:v>
      </x:c>
      <x:c r="E14" s="43" t="n">
        <x:v>0.0357</x:v>
      </x:c>
      <x:c r="F14" s="43" t="n">
        <x:v>0.155575</x:v>
      </x:c>
      <x:c r="G14" s="43" t="n">
        <x:v>0.004077910433638768</x:v>
      </x:c>
      <x:c r="H14" s="43" t="n">
        <x:v>59396.8267353245</x:v>
      </x:c>
      <x:c r="I14" s="43" t="n">
        <x:v>73225709.55025014</x:v>
      </x:c>
      <x:c r="J14" s="43" t="str">
        <x:v>CLEARANCE</x:v>
      </x:c>
      <x:c r="K14" s="43" t="n">
        <x:v>-0.155575</x:v>
      </x:c>
      <x:c r="L14" s="40"/>
      <x:c r="M14" s="40"/>
      <x:c r="N14" s="40"/>
      <x:c r="O14" s="40"/>
    </x:row>
    <x:row r="15">
      <x:c r="A15" s="43" t="n">
        <x:v>4.5</x:v>
      </x:c>
      <x:c r="B15" s="43" t="n">
        <x:v>0.06133882479077736</x:v>
      </x:c>
      <x:c r="C15" s="43" t="n">
        <x:v>0</x:v>
      </x:c>
      <x:c r="D15" s="43" t="n">
        <x:v>0.1016</x:v>
      </x:c>
      <x:c r="E15" s="43" t="n">
        <x:v>0.0357</x:v>
      </x:c>
      <x:c r="F15" s="43" t="n">
        <x:v>0.155575</x:v>
      </x:c>
      <x:c r="G15" s="43" t="n">
        <x:v>-0.007363824790777393</x:v>
      </x:c>
      <x:c r="H15" s="43" t="n">
        <x:v>52213.59541362901</x:v>
      </x:c>
      <x:c r="I15" s="43" t="n">
        <x:v>64370064.57213362</x:v>
      </x:c>
      <x:c r="J15" s="43" t="str">
        <x:v>OVERLAP INDICATION</x:v>
      </x:c>
      <x:c r="K15" s="43" t="n">
        <x:v>-0.155575</x:v>
      </x:c>
      <x:c r="L15" s="40"/>
      <x:c r="M15" s="40"/>
      <x:c r="N15" s="40"/>
      <x:c r="O15" s="40"/>
    </x:row>
    <x:row r="16">
      <x:c r="A16" s="43" t="n">
        <x:v>5</x:v>
      </x:c>
      <x:c r="B16" s="43" t="n">
        <x:v>0.0735463253745032</x:v>
      </x:c>
      <x:c r="C16" s="43" t="n">
        <x:v>0</x:v>
      </x:c>
      <x:c r="D16" s="43" t="n">
        <x:v>0.1016</x:v>
      </x:c>
      <x:c r="E16" s="43" t="n">
        <x:v>0.0357</x:v>
      </x:c>
      <x:c r="F16" s="43" t="n">
        <x:v>0.155575</x:v>
      </x:c>
      <x:c r="G16" s="43" t="n">
        <x:v>-0.019571325374503235</x:v>
      </x:c>
      <x:c r="H16" s="43" t="n">
        <x:v>45493.79837075503</x:v>
      </x:c>
      <x:c r="I16" s="43" t="n">
        <x:v>56085751.528092146</x:v>
      </x:c>
      <x:c r="J16" s="43" t="str">
        <x:v>OVERLAP INDICATION</x:v>
      </x:c>
      <x:c r="K16" s="43" t="n">
        <x:v>-0.155575</x:v>
      </x:c>
      <x:c r="L16" s="40"/>
      <x:c r="M16" s="40"/>
      <x:c r="N16" s="40"/>
      <x:c r="O16" s="40"/>
    </x:row>
    <x:row r="17">
      <x:c r="A17" s="43" t="n">
        <x:v>5.5</x:v>
      </x:c>
      <x:c r="B17" s="43" t="n">
        <x:v>0.08642103867514245</x:v>
      </x:c>
      <x:c r="C17" s="43" t="n">
        <x:v>0</x:v>
      </x:c>
      <x:c r="D17" s="43" t="n">
        <x:v>0.1016</x:v>
      </x:c>
      <x:c r="E17" s="43" t="n">
        <x:v>0.0357</x:v>
      </x:c>
      <x:c r="F17" s="43" t="n">
        <x:v>0.155575</x:v>
      </x:c>
      <x:c r="G17" s="43" t="n">
        <x:v>-0.03244603867514245</x:v>
      </x:c>
      <x:c r="H17" s="43" t="n">
        <x:v>39237.435606696425</x:v>
      </x:c>
      <x:c r="I17" s="43" t="n">
        <x:v>48372770.418118164</x:v>
      </x:c>
      <x:c r="J17" s="43" t="str">
        <x:v>OVERLAP INDICATION</x:v>
      </x:c>
      <x:c r="K17" s="43" t="n">
        <x:v>-0.155575</x:v>
      </x:c>
      <x:c r="L17" s="40"/>
      <x:c r="M17" s="40"/>
      <x:c r="N17" s="40"/>
      <x:c r="O17" s="40"/>
    </x:row>
    <x:row r="18">
      <x:c r="A18" s="43" t="n">
        <x:v>6</x:v>
      </x:c>
      <x:c r="B18" s="43" t="n">
        <x:v>0.0998712087842571</x:v>
      </x:c>
      <x:c r="C18" s="43" t="n">
        <x:v>0</x:v>
      </x:c>
      <x:c r="D18" s="43" t="n">
        <x:v>0.1016</x:v>
      </x:c>
      <x:c r="E18" s="43" t="n">
        <x:v>0.0357</x:v>
      </x:c>
      <x:c r="F18" s="43" t="n">
        <x:v>0.155575</x:v>
      </x:c>
      <x:c r="G18" s="43" t="n">
        <x:v>-0.04589620878425711</x:v>
      </x:c>
      <x:c r="H18" s="43" t="n">
        <x:v>33444.507121461706</x:v>
      </x:c>
      <x:c r="I18" s="43" t="n">
        <x:v>41231121.24222216</x:v>
      </x:c>
      <x:c r="J18" s="43" t="str">
        <x:v>OVERLAP INDICATION</x:v>
      </x:c>
      <x:c r="K18" s="43" t="n">
        <x:v>-0.155575</x:v>
      </x:c>
      <x:c r="L18" s="40"/>
      <x:c r="M18" s="40"/>
      <x:c r="N18" s="40"/>
      <x:c r="O18" s="40"/>
    </x:row>
    <x:row r="19">
      <x:c r="A19" s="43" t="n">
        <x:v>6.5</x:v>
      </x:c>
      <x:c r="B19" s="43" t="n">
        <x:v>0.11381187652736763</x:v>
      </x:c>
      <x:c r="C19" s="43" t="n">
        <x:v>0</x:v>
      </x:c>
      <x:c r="D19" s="43" t="n">
        <x:v>0.1016</x:v>
      </x:c>
      <x:c r="E19" s="43" t="n">
        <x:v>0.0357</x:v>
      </x:c>
      <x:c r="F19" s="43" t="n">
        <x:v>0.155575</x:v>
      </x:c>
      <x:c r="G19" s="43" t="n">
        <x:v>-0.05983687652736766</x:v>
      </x:c>
      <x:c r="H19" s="43" t="n">
        <x:v>28115.012915057498</x:v>
      </x:c>
      <x:c r="I19" s="43" t="n">
        <x:v>34660804.0004123</x:v>
      </x:c>
      <x:c r="J19" s="43" t="str">
        <x:v>OVERLAP INDICATION</x:v>
      </x:c>
      <x:c r="K19" s="43" t="n">
        <x:v>-0.155575</x:v>
      </x:c>
      <x:c r="L19" s="40"/>
      <x:c r="M19" s="40"/>
      <x:c r="N19" s="40"/>
      <x:c r="O19" s="40"/>
    </x:row>
    <x:row r="20">
      <x:c r="A20" s="43" t="n">
        <x:v>7</x:v>
      </x:c>
      <x:c r="B20" s="43" t="n">
        <x:v>0.128164879463953</x:v>
      </x:c>
      <x:c r="C20" s="43" t="n">
        <x:v>0</x:v>
      </x:c>
      <x:c r="D20" s="43" t="n">
        <x:v>0.1016</x:v>
      </x:c>
      <x:c r="E20" s="43" t="n">
        <x:v>0.0357</x:v>
      </x:c>
      <x:c r="F20" s="43" t="n">
        <x:v>0.155575</x:v>
      </x:c>
      <x:c r="G20" s="43" t="n">
        <x:v>-0.074189879463953</x:v>
      </x:c>
      <x:c r="H20" s="43" t="n">
        <x:v>23248.952987470555</x:v>
      </x:c>
      <x:c r="I20" s="43" t="n">
        <x:v>28661818.692672256</x:v>
      </x:c>
      <x:c r="J20" s="43" t="str">
        <x:v>OVERLAP INDICATION</x:v>
      </x:c>
      <x:c r="K20" s="43" t="n">
        <x:v>-0.155575</x:v>
      </x:c>
      <x:c r="L20" s="40"/>
      <x:c r="M20" s="40"/>
      <x:c r="N20" s="40"/>
      <x:c r="O20" s="40"/>
    </x:row>
    <x:row r="21">
      <x:c r="A21" s="43" t="n">
        <x:v>7.5</x:v>
      </x:c>
      <x:c r="B21" s="43" t="n">
        <x:v>0.14285885188745054</x:v>
      </x:c>
      <x:c r="C21" s="43" t="n">
        <x:v>0</x:v>
      </x:c>
      <x:c r="D21" s="43" t="n">
        <x:v>0.1016</x:v>
      </x:c>
      <x:c r="E21" s="43" t="n">
        <x:v>0.0357</x:v>
      </x:c>
      <x:c r="F21" s="43" t="n">
        <x:v>0.155575</x:v>
      </x:c>
      <x:c r="G21" s="43" t="n">
        <x:v>-0.08888385188745054</x:v>
      </x:c>
      <x:c r="H21" s="43" t="n">
        <x:v>18846.327338696145</x:v>
      </x:c>
      <x:c r="I21" s="43" t="n">
        <x:v>23234165.318996195</x:v>
      </x:c>
      <x:c r="J21" s="43" t="str">
        <x:v>OVERLAP INDICATION</x:v>
      </x:c>
      <x:c r="K21" s="43" t="n">
        <x:v>-0.155575</x:v>
      </x:c>
      <x:c r="L21" s="40"/>
      <x:c r="M21" s="40"/>
      <x:c r="N21" s="40"/>
      <x:c r="O21" s="40"/>
    </x:row>
    <x:row r="22">
      <x:c r="A22" s="43" t="n">
        <x:v>8</x:v>
      </x:c>
      <x:c r="B22" s="43" t="n">
        <x:v>0.15782922482525585</x:v>
      </x:c>
      <x:c r="C22" s="43" t="n">
        <x:v>0</x:v>
      </x:c>
      <x:c r="D22" s="43" t="n">
        <x:v>0.1016</x:v>
      </x:c>
      <x:c r="E22" s="43" t="n">
        <x:v>0.0357</x:v>
      </x:c>
      <x:c r="F22" s="43" t="n">
        <x:v>0.155575</x:v>
      </x:c>
      <x:c r="G22" s="43" t="n">
        <x:v>-0.10385422482525586</x:v>
      </x:c>
      <x:c r="H22" s="43" t="n">
        <x:v>14907.135968731425</x:v>
      </x:c>
      <x:c r="I22" s="43" t="n">
        <x:v>18377843.87938061</x:v>
      </x:c>
      <x:c r="J22" s="43" t="str">
        <x:v>OVERLAP INDICATION</x:v>
      </x:c>
      <x:c r="K22" s="43" t="n">
        <x:v>-0.155575</x:v>
      </x:c>
      <x:c r="L22" s="40"/>
      <x:c r="M22" s="40"/>
      <x:c r="N22" s="40"/>
      <x:c r="O22" s="40"/>
    </x:row>
    <x:row r="23">
      <x:c r="A23" s="43" t="n">
        <x:v>8.5</x:v>
      </x:c>
      <x:c r="B23" s="43" t="n">
        <x:v>0.17301822603872277</x:v>
      </x:c>
      <x:c r="C23" s="43" t="n">
        <x:v>0</x:v>
      </x:c>
      <x:c r="D23" s="43" t="n">
        <x:v>0.1016</x:v>
      </x:c>
      <x:c r="E23" s="43" t="n">
        <x:v>0.0357</x:v>
      </x:c>
      <x:c r="F23" s="43" t="n">
        <x:v>0.155575</x:v>
      </x:c>
      <x:c r="G23" s="43" t="n">
        <x:v>-0.1190432260387228</x:v>
      </x:c>
      <x:c r="H23" s="43" t="n">
        <x:v>11431.37887758397</x:v>
      </x:c>
      <x:c r="I23" s="43" t="n">
        <x:v>14092854.373834841</x:v>
      </x:c>
      <x:c r="J23" s="43" t="str">
        <x:v>OVERLAP INDICATION</x:v>
      </x:c>
      <x:c r="K23" s="43" t="n">
        <x:v>-0.155575</x:v>
      </x:c>
      <x:c r="L23" s="40"/>
      <x:c r="M23" s="40"/>
      <x:c r="N23" s="40"/>
      <x:c r="O23" s="40"/>
    </x:row>
    <x:row r="24">
      <x:c r="A24" s="43" t="n">
        <x:v>9</x:v>
      </x:c>
      <x:c r="B24" s="43" t="n">
        <x:v>0.18837488002316347</x:v>
      </x:c>
      <x:c r="C24" s="43" t="n">
        <x:v>0</x:v>
      </x:c>
      <x:c r="D24" s="43" t="n">
        <x:v>0.1016</x:v>
      </x:c>
      <x:c r="E24" s="43" t="n">
        <x:v>0.0357</x:v>
      </x:c>
      <x:c r="F24" s="43" t="n">
        <x:v>0.155575</x:v>
      </x:c>
      <x:c r="G24" s="43" t="n">
        <x:v>-0.1343998800231635</x:v>
      </x:c>
      <x:c r="H24" s="43" t="n">
        <x:v>8419.056065270812</x:v>
      </x:c>
      <x:c r="I24" s="43" t="n">
        <x:v>10379196.802379886</x:v>
      </x:c>
      <x:c r="J24" s="43" t="str">
        <x:v>OVERLAP INDICATION</x:v>
      </x:c>
      <x:c r="K24" s="43" t="n">
        <x:v>-0.155575</x:v>
      </x:c>
      <x:c r="L24" s="40"/>
      <x:c r="M24" s="40"/>
      <x:c r="N24" s="40"/>
      <x:c r="O24" s="40"/>
    </x:row>
    <x:row r="25">
      <x:c r="A25" s="43" t="n">
        <x:v>9.5</x:v>
      </x:c>
      <x:c r="B25" s="43" t="n">
        <x:v>0.2038550080078487</x:v>
      </x:c>
      <x:c r="C25" s="43" t="n">
        <x:v>0</x:v>
      </x:c>
      <x:c r="D25" s="43" t="n">
        <x:v>0.1016</x:v>
      </x:c>
      <x:c r="E25" s="43" t="n">
        <x:v>0.0357</x:v>
      </x:c>
      <x:c r="F25" s="43" t="n">
        <x:v>0.155575</x:v>
      </x:c>
      <x:c r="G25" s="43" t="n">
        <x:v>-0.1498800080078487</x:v>
      </x:c>
      <x:c r="H25" s="43" t="n">
        <x:v>5870.167531769239</x:v>
      </x:c>
      <x:c r="I25" s="43" t="n">
        <x:v>7236871.164987745</x:v>
      </x:c>
      <x:c r="J25" s="43" t="str">
        <x:v>OVERLAP INDICATION</x:v>
      </x:c>
      <x:c r="K25" s="43" t="n">
        <x:v>-0.155575</x:v>
      </x:c>
      <x:c r="L25" s="40"/>
      <x:c r="M25" s="40"/>
      <x:c r="N25" s="40"/>
      <x:c r="O25" s="40"/>
    </x:row>
    <x:row r="26">
      <x:c r="A26" s="43" t="n">
        <x:v>10</x:v>
      </x:c>
      <x:c r="B26" s="43" t="n">
        <x:v>0.2194212279560075</x:v>
      </x:c>
      <x:c r="C26" s="43" t="n">
        <x:v>0</x:v>
      </x:c>
      <x:c r="D26" s="43" t="n">
        <x:v>0.1016</x:v>
      </x:c>
      <x:c r="E26" s="43" t="n">
        <x:v>0.0357</x:v>
      </x:c>
      <x:c r="F26" s="43" t="n">
        <x:v>0.155575</x:v>
      </x:c>
      <x:c r="G26" s="43" t="n">
        <x:v>-0.1654462279560075</x:v>
      </x:c>
      <x:c r="H26" s="43" t="n">
        <x:v>3784.7132770792514</x:v>
      </x:c>
      <x:c r="I26" s="43" t="n">
        <x:v>4665877.461658416</x:v>
      </x:c>
      <x:c r="J26" s="43" t="str">
        <x:v>OVERLAP INDICATION</x:v>
      </x:c>
      <x:c r="K26" s="43" t="n">
        <x:v>-0.155575</x:v>
      </x:c>
      <x:c r="L26" s="40"/>
      <x:c r="M26" s="40"/>
      <x:c r="N26" s="40"/>
      <x:c r="O26" s="40"/>
    </x:row>
    <x:row r="27">
      <x:c r="A27" s="43" t="n">
        <x:v>10.5</x:v>
      </x:c>
      <x:c r="B27" s="43" t="n">
        <x:v>0.23504295456482713</x:v>
      </x:c>
      <x:c r="C27" s="43" t="n">
        <x:v>0</x:v>
      </x:c>
      <x:c r="D27" s="43" t="n">
        <x:v>0.1016</x:v>
      </x:c>
      <x:c r="E27" s="43" t="n">
        <x:v>0.0357</x:v>
      </x:c>
      <x:c r="F27" s="43" t="n">
        <x:v>0.155575</x:v>
      </x:c>
      <x:c r="G27" s="43" t="n">
        <x:v>-0.18106795456482713</x:v>
      </x:c>
      <x:c r="H27" s="43" t="n">
        <x:v>2162.693301187603</x:v>
      </x:c>
      <x:c r="I27" s="43" t="n">
        <x:v>2666215.6923755715</x:v>
      </x:c>
      <x:c r="J27" s="43" t="str">
        <x:v>OVERLAP INDICATION</x:v>
      </x:c>
      <x:c r="K27" s="43" t="n">
        <x:v>-0.155575</x:v>
      </x:c>
      <x:c r="L27" s="40"/>
      <x:c r="M27" s="40"/>
      <x:c r="N27" s="40"/>
      <x:c r="O27" s="40"/>
    </x:row>
    <x:row r="28">
      <x:c r="A28" s="43" t="n">
        <x:v>11</x:v>
      </x:c>
      <x:c r="B28" s="43" t="n">
        <x:v>0.25069639926545295</x:v>
      </x:c>
      <x:c r="C28" s="43" t="n">
        <x:v>0</x:v>
      </x:c>
      <x:c r="D28" s="43" t="n">
        <x:v>0.1016</x:v>
      </x:c>
      <x:c r="E28" s="43" t="n">
        <x:v>0.0357</x:v>
      </x:c>
      <x:c r="F28" s="43" t="n">
        <x:v>0.155575</x:v>
      </x:c>
      <x:c r="G28" s="43" t="n">
        <x:v>-0.19672139926545296</x:v>
      </x:c>
      <x:c r="H28" s="43" t="n">
        <x:v>1004.107604117003</x:v>
      </x:c>
      <x:c r="I28" s="43" t="n">
        <x:v>1237885.8571672065</x:v>
      </x:c>
      <x:c r="J28" s="43" t="str">
        <x:v>OVERLAP INDICATION</x:v>
      </x:c>
      <x:c r="K28" s="43" t="n">
        <x:v>-0.155575</x:v>
      </x:c>
      <x:c r="L28" s="40"/>
      <x:c r="M28" s="40"/>
      <x:c r="N28" s="40"/>
      <x:c r="O28" s="40"/>
    </x:row>
    <x:row r="29">
      <x:c r="A29" s="43" t="n">
        <x:v>11.5</x:v>
      </x:c>
      <x:c r="B29" s="43" t="n">
        <x:v>0.2663645702229887</x:v>
      </x:c>
      <x:c r="C29" s="43" t="n">
        <x:v>0</x:v>
      </x:c>
      <x:c r="D29" s="43" t="n">
        <x:v>0.1016</x:v>
      </x:c>
      <x:c r="E29" s="43" t="n">
        <x:v>0.0357</x:v>
      </x:c>
      <x:c r="F29" s="43" t="n">
        <x:v>0.155575</x:v>
      </x:c>
      <x:c r="G29" s="43" t="n">
        <x:v>-0.2123895702229887</x:v>
      </x:c>
      <x:c r="H29" s="43" t="n">
        <x:v>308.95618587312896</x:v>
      </x:c>
      <x:c r="I29" s="43" t="n">
        <x:v>380887.9560403209</x:v>
      </x:c>
      <x:c r="J29" s="43" t="str">
        <x:v>OVERLAP INDICATION</x:v>
      </x:c>
      <x:c r="K29" s="43" t="n">
        <x:v>-0.155575</x:v>
      </x:c>
      <x:c r="L29" s="40"/>
      <x:c r="M29" s="40"/>
      <x:c r="N29" s="40"/>
      <x:c r="O29" s="40"/>
    </x:row>
    <x:row r="30">
      <x:c r="A30" s="43" t="n">
        <x:v>12</x:v>
      </x:c>
      <x:c r="B30" s="43" t="n">
        <x:v>0.2820372723364966</x:v>
      </x:c>
      <x:c r="C30" s="43" t="n">
        <x:v>0</x:v>
      </x:c>
      <x:c r="D30" s="43" t="n">
        <x:v>0.1016</x:v>
      </x:c>
      <x:c r="E30" s="43" t="n">
        <x:v>0.0357</x:v>
      </x:c>
      <x:c r="F30" s="43" t="n">
        <x:v>0.155575</x:v>
      </x:c>
      <x:c r="G30" s="43" t="n">
        <x:v>-0.22806227233649662</x:v>
      </x:c>
      <x:c r="H30" s="43" t="n">
        <x:v>0</x:v>
      </x:c>
      <x:c r="I30" s="43" t="n">
        <x:v>0</x:v>
      </x:c>
      <x:c r="J30" s="43" t="str">
        <x:v>OVERLAP INDICATION</x:v>
      </x:c>
      <x:c r="K30" s="43" t="n">
        <x:v>-0.155575</x:v>
      </x:c>
      <x:c r="L30" s="40"/>
      <x:c r="M30" s="40"/>
      <x:c r="N30" s="40"/>
      <x:c r="O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</x:row>
    <x:row r="40">
      <x:c r="A40" s="42" t="str">
        <x:v>Frequency Hz</x:v>
      </x:c>
      <x:c r="B40" s="42" t="str">
        <x:v>Receptance m/N</x:v>
      </x:c>
      <x:c r="C40" s="42" t="str">
        <x:v>Phase deg</x:v>
      </x:c>
      <x:c r="D40" s="40"/>
      <x:c r="E40" s="42" t="str">
        <x:v>Order</x:v>
      </x:c>
      <x:c r="F40" s="42" t="str">
        <x:v>RPM</x:v>
      </x:c>
      <x:c r="G40" s="42" t="str">
        <x:v>Excitation Hz</x:v>
      </x:c>
      <x:c r="H40" s="42" t="str">
        <x:v>Nearest-mode margin Hz</x:v>
      </x:c>
      <x:c r="I40" s="40"/>
      <x:c r="J40" s="40"/>
      <x:c r="K40" s="40"/>
      <x:c r="L40" s="40"/>
      <x:c r="M40" s="40"/>
      <x:c r="N40" s="40"/>
      <x:c r="O40" s="40"/>
    </x:row>
    <x:row r="41">
      <x:c r="A41" s="43" t="n">
        <x:v>0.1</x:v>
      </x:c>
      <x:c r="B41" s="43" t="n">
        <x:v>0.000034077249799155976</x:v>
      </x:c>
      <x:c r="C41" s="43" t="n">
        <x:v>-0.2151889031612141</x:v>
      </x:c>
      <x:c r="D41" s="40"/>
      <x:c r="E41" s="43" t="n">
        <x:v>1</x:v>
      </x:c>
      <x:c r="F41" s="43" t="n">
        <x:v>0</x:v>
      </x:c>
      <x:c r="G41" s="43" t="n">
        <x:v>0</x:v>
      </x:c>
      <x:c r="H41" s="43" t="n">
        <x:v>1.0740750004335027</x:v>
      </x:c>
      <x:c r="I41" s="40"/>
      <x:c r="J41" s="40"/>
      <x:c r="K41" s="40"/>
      <x:c r="L41" s="40"/>
      <x:c r="M41" s="40"/>
      <x:c r="N41" s="40"/>
      <x:c r="O41" s="40"/>
    </x:row>
    <x:row r="42">
      <x:c r="A42" s="43" t="n">
        <x:v>0.8165063477006894</x:v>
      </x:c>
      <x:c r="B42" s="43" t="n">
        <x:v>0.00007850710114462538</x:v>
      </x:c>
      <x:c r="C42" s="43" t="n">
        <x:v>-4.090308625285615</x:v>
      </x:c>
      <x:c r="D42" s="40"/>
      <x:c r="E42" s="43" t="n">
        <x:v>1</x:v>
      </x:c>
      <x:c r="F42" s="43" t="n">
        <x:v>5</x:v>
      </x:c>
      <x:c r="G42" s="43" t="n">
        <x:v>0.08333333333333333</x:v>
      </x:c>
      <x:c r="H42" s="43" t="n">
        <x:v>0.9907416671001693</x:v>
      </x:c>
      <x:c r="I42" s="40"/>
      <x:c r="J42" s="40"/>
      <x:c r="K42" s="40"/>
      <x:c r="L42" s="40"/>
      <x:c r="M42" s="40"/>
      <x:c r="N42" s="40"/>
      <x:c r="O42" s="40"/>
    </x:row>
    <x:row r="43">
      <x:c r="A43" s="43" t="n">
        <x:v>1.533012695401379</x:v>
      </x:c>
      <x:c r="B43" s="43" t="n">
        <x:v>0.000030549427788994144</x:v>
      </x:c>
      <x:c r="C43" s="43" t="n">
        <x:v>-176.6270477947268</x:v>
      </x:c>
      <x:c r="D43" s="40"/>
      <x:c r="E43" s="43" t="n">
        <x:v>1</x:v>
      </x:c>
      <x:c r="F43" s="43" t="n">
        <x:v>10</x:v>
      </x:c>
      <x:c r="G43" s="43" t="n">
        <x:v>0.16666666666666666</x:v>
      </x:c>
      <x:c r="H43" s="43" t="n">
        <x:v>0.907408333766836</x:v>
      </x:c>
      <x:c r="I43" s="40"/>
      <x:c r="J43" s="40"/>
      <x:c r="K43" s="40"/>
      <x:c r="L43" s="40"/>
      <x:c r="M43" s="40"/>
      <x:c r="N43" s="40"/>
      <x:c r="O43" s="40"/>
    </x:row>
    <x:row r="44">
      <x:c r="A44" s="43" t="n">
        <x:v>2.2495190431020684</x:v>
      </x:c>
      <x:c r="B44" s="43" t="n">
        <x:v>0.000008598861504729244</x:v>
      </x:c>
      <x:c r="C44" s="43" t="n">
        <x:v>-177.73029687174989</x:v>
      </x:c>
      <x:c r="D44" s="40"/>
      <x:c r="E44" s="43" t="n">
        <x:v>1</x:v>
      </x:c>
      <x:c r="F44" s="43" t="n">
        <x:v>15</x:v>
      </x:c>
      <x:c r="G44" s="43" t="n">
        <x:v>0.25</x:v>
      </x:c>
      <x:c r="H44" s="43" t="n">
        <x:v>0.8240750004335027</x:v>
      </x:c>
      <x:c r="I44" s="40"/>
      <x:c r="J44" s="40"/>
      <x:c r="K44" s="40"/>
      <x:c r="L44" s="40"/>
      <x:c r="M44" s="40"/>
      <x:c r="N44" s="40"/>
      <x:c r="O44" s="40"/>
    </x:row>
    <x:row r="45">
      <x:c r="A45" s="43" t="n">
        <x:v>2.966025390802758</x:v>
      </x:c>
      <x:c r="B45" s="43" t="n">
        <x:v>0.0000037831151325297506</x:v>
      </x:c>
      <x:c r="C45" s="43" t="n">
        <x:v>-176.36981974931456</x:v>
      </x:c>
      <x:c r="D45" s="40"/>
      <x:c r="E45" s="43" t="n">
        <x:v>1</x:v>
      </x:c>
      <x:c r="F45" s="43" t="n">
        <x:v>20</x:v>
      </x:c>
      <x:c r="G45" s="43" t="n">
        <x:v>0.3333333333333333</x:v>
      </x:c>
      <x:c r="H45" s="43" t="n">
        <x:v>0.7407416671001694</x:v>
      </x:c>
      <x:c r="I45" s="40"/>
      <x:c r="J45" s="40"/>
      <x:c r="K45" s="40"/>
      <x:c r="L45" s="40"/>
      <x:c r="M45" s="40"/>
      <x:c r="N45" s="40"/>
      <x:c r="O45" s="40"/>
    </x:row>
    <x:row r="46">
      <x:c r="A46" s="43" t="n">
        <x:v>3.6825317385034473</x:v>
      </x:c>
      <x:c r="B46" s="43" t="n">
        <x:v>0.0000017678192414103863</x:v>
      </x:c>
      <x:c r="C46" s="43" t="n">
        <x:v>-170.6998780369183</x:v>
      </x:c>
      <x:c r="D46" s="40"/>
      <x:c r="E46" s="43" t="n">
        <x:v>1</x:v>
      </x:c>
      <x:c r="F46" s="43" t="n">
        <x:v>25</x:v>
      </x:c>
      <x:c r="G46" s="43" t="n">
        <x:v>0.4166666666666667</x:v>
      </x:c>
      <x:c r="H46" s="43" t="n">
        <x:v>0.6574083337668359</x:v>
      </x:c>
      <x:c r="I46" s="40"/>
      <x:c r="J46" s="40"/>
      <x:c r="K46" s="40"/>
      <x:c r="L46" s="40"/>
      <x:c r="M46" s="40"/>
      <x:c r="N46" s="40"/>
      <x:c r="O46" s="40"/>
    </x:row>
    <x:row r="47">
      <x:c r="A47" s="43" t="n">
        <x:v>4.399038086204136</x:v>
      </x:c>
      <x:c r="B47" s="43" t="n">
        <x:v>7.196582283094549e-7</x:v>
      </x:c>
      <x:c r="C47" s="43" t="n">
        <x:v>-142.92636205449165</x:v>
      </x:c>
      <x:c r="D47" s="40"/>
      <x:c r="E47" s="43" t="n">
        <x:v>1</x:v>
      </x:c>
      <x:c r="F47" s="43" t="n">
        <x:v>30</x:v>
      </x:c>
      <x:c r="G47" s="43" t="n">
        <x:v>0.5</x:v>
      </x:c>
      <x:c r="H47" s="43" t="n">
        <x:v>0.5740750004335027</x:v>
      </x:c>
      <x:c r="I47" s="40"/>
      <x:c r="J47" s="40"/>
      <x:c r="K47" s="40"/>
      <x:c r="L47" s="40"/>
      <x:c r="M47" s="40"/>
      <x:c r="N47" s="40"/>
      <x:c r="O47" s="40"/>
    </x:row>
    <x:row r="48">
      <x:c r="A48" s="43" t="n">
        <x:v>5.115544433904826</x:v>
      </x:c>
      <x:c r="B48" s="43" t="n">
        <x:v>8.37322750314479e-7</x:v>
      </x:c>
      <x:c r="C48" s="43" t="n">
        <x:v>-69.85767664191266</x:v>
      </x:c>
      <x:c r="D48" s="40"/>
      <x:c r="E48" s="43" t="n">
        <x:v>1</x:v>
      </x:c>
      <x:c r="F48" s="43" t="n">
        <x:v>35</x:v>
      </x:c>
      <x:c r="G48" s="43" t="n">
        <x:v>0.5833333333333334</x:v>
      </x:c>
      <x:c r="H48" s="43" t="n">
        <x:v>0.4907416671001693</x:v>
      </x:c>
      <x:c r="I48" s="40"/>
      <x:c r="J48" s="40"/>
      <x:c r="K48" s="40"/>
      <x:c r="L48" s="40"/>
      <x:c r="M48" s="40"/>
      <x:c r="N48" s="40"/>
      <x:c r="O48" s="40"/>
    </x:row>
    <x:row r="49">
      <x:c r="A49" s="43" t="n">
        <x:v>5.832050781605515</x:v>
      </x:c>
      <x:c r="B49" s="43" t="n">
        <x:v>0.0000019336304389633404</x:v>
      </x:c>
      <x:c r="C49" s="43" t="n">
        <x:v>-61.869360399532944</x:v>
      </x:c>
      <x:c r="D49" s="40"/>
      <x:c r="E49" s="43" t="n">
        <x:v>1</x:v>
      </x:c>
      <x:c r="F49" s="43" t="n">
        <x:v>40</x:v>
      </x:c>
      <x:c r="G49" s="43" t="n">
        <x:v>0.6666666666666666</x:v>
      </x:c>
      <x:c r="H49" s="43" t="n">
        <x:v>0.40740833376683605</x:v>
      </x:c>
      <x:c r="I49" s="40"/>
      <x:c r="J49" s="40"/>
      <x:c r="K49" s="40"/>
      <x:c r="L49" s="40"/>
      <x:c r="M49" s="40"/>
      <x:c r="N49" s="40"/>
      <x:c r="O49" s="40"/>
    </x:row>
    <x:row r="50">
      <x:c r="A50" s="43" t="n">
        <x:v>6.548557129306205</x:v>
      </x:c>
      <x:c r="B50" s="43" t="n">
        <x:v>0.0000033163782359906517</x:v>
      </x:c>
      <x:c r="C50" s="43" t="n">
        <x:v>-90.52622925653402</x:v>
      </x:c>
      <x:c r="D50" s="40"/>
      <x:c r="E50" s="43" t="n">
        <x:v>1</x:v>
      </x:c>
      <x:c r="F50" s="43" t="n">
        <x:v>45</x:v>
      </x:c>
      <x:c r="G50" s="43" t="n">
        <x:v>0.75</x:v>
      </x:c>
      <x:c r="H50" s="43" t="n">
        <x:v>0.3240750004335027</x:v>
      </x:c>
      <x:c r="I50" s="40"/>
      <x:c r="J50" s="40"/>
      <x:c r="K50" s="40"/>
      <x:c r="L50" s="40"/>
      <x:c r="M50" s="40"/>
      <x:c r="N50" s="40"/>
      <x:c r="O50" s="40"/>
    </x:row>
    <x:row r="51">
      <x:c r="A51" s="43" t="n">
        <x:v>7.265063477006894</x:v>
      </x:c>
      <x:c r="B51" s="43" t="n">
        <x:v>0.000003014913419210107</x:v>
      </x:c>
      <x:c r="C51" s="43" t="n">
        <x:v>-130.16763815151907</x:v>
      </x:c>
      <x:c r="D51" s="40"/>
      <x:c r="E51" s="43" t="n">
        <x:v>1</x:v>
      </x:c>
      <x:c r="F51" s="43" t="n">
        <x:v>50</x:v>
      </x:c>
      <x:c r="G51" s="43" t="n">
        <x:v>0.8333333333333334</x:v>
      </x:c>
      <x:c r="H51" s="43" t="n">
        <x:v>0.2407416671001693</x:v>
      </x:c>
      <x:c r="I51" s="40"/>
      <x:c r="J51" s="40"/>
      <x:c r="K51" s="40"/>
      <x:c r="L51" s="40"/>
      <x:c r="M51" s="40"/>
      <x:c r="N51" s="40"/>
      <x:c r="O51" s="40"/>
    </x:row>
    <x:row r="52">
      <x:c r="A52" s="43" t="n">
        <x:v>7.9815698247075835</x:v>
      </x:c>
      <x:c r="B52" s="43" t="n">
        <x:v>0.0000020640575509182526</x:v>
      </x:c>
      <x:c r="C52" s="43" t="n">
        <x:v>-149.76623839012186</x:v>
      </x:c>
      <x:c r="D52" s="40"/>
      <x:c r="E52" s="43" t="n">
        <x:v>1</x:v>
      </x:c>
      <x:c r="F52" s="43" t="n">
        <x:v>55</x:v>
      </x:c>
      <x:c r="G52" s="43" t="n">
        <x:v>0.9166666666666666</x:v>
      </x:c>
      <x:c r="H52" s="43" t="n">
        <x:v>0.15740833376683605</x:v>
      </x:c>
      <x:c r="I52" s="40"/>
      <x:c r="J52" s="40"/>
      <x:c r="K52" s="40"/>
      <x:c r="L52" s="40"/>
      <x:c r="M52" s="40"/>
      <x:c r="N52" s="40"/>
      <x:c r="O52" s="40"/>
    </x:row>
    <x:row r="53">
      <x:c r="A53" s="43" t="n">
        <x:v>8.698076172408273</x:v>
      </x:c>
      <x:c r="B53" s="43" t="n">
        <x:v>0.000001465920906564297</x:v>
      </x:c>
      <x:c r="C53" s="43" t="n">
        <x:v>-157.78722429925932</x:v>
      </x:c>
      <x:c r="D53" s="40"/>
      <x:c r="E53" s="43" t="n">
        <x:v>1</x:v>
      </x:c>
      <x:c r="F53" s="43" t="n">
        <x:v>60</x:v>
      </x:c>
      <x:c r="G53" s="43" t="n">
        <x:v>1</x:v>
      </x:c>
      <x:c r="H53" s="43" t="n">
        <x:v>0.07407500043350268</x:v>
      </x:c>
      <x:c r="I53" s="40"/>
      <x:c r="J53" s="40"/>
      <x:c r="K53" s="40"/>
      <x:c r="L53" s="40"/>
      <x:c r="M53" s="40"/>
      <x:c r="N53" s="40"/>
      <x:c r="O53" s="40"/>
    </x:row>
    <x:row r="54">
      <x:c r="A54" s="43" t="n">
        <x:v>9.414582520108963</x:v>
      </x:c>
      <x:c r="B54" s="43" t="n">
        <x:v>0.0000010998649251259258</x:v>
      </x:c>
      <x:c r="C54" s="43" t="n">
        <x:v>-161.1587573149694</x:v>
      </x:c>
      <x:c r="D54" s="40"/>
      <x:c r="E54" s="43" t="n">
        <x:v>1</x:v>
      </x:c>
      <x:c r="F54" s="43" t="n">
        <x:v>65</x:v>
      </x:c>
      <x:c r="G54" s="43" t="n">
        <x:v>1.0833333333333333</x:v>
      </x:c>
      <x:c r="H54" s="43" t="n">
        <x:v>0.00925833289983058</x:v>
      </x:c>
      <x:c r="I54" s="40"/>
      <x:c r="J54" s="40"/>
      <x:c r="K54" s="40"/>
      <x:c r="L54" s="40"/>
      <x:c r="M54" s="40"/>
      <x:c r="N54" s="40"/>
      <x:c r="O54" s="40"/>
    </x:row>
    <x:row r="55">
      <x:c r="A55" s="43" t="n">
        <x:v>10.131088867809652</x:v>
      </x:c>
      <x:c r="B55" s="43" t="n">
        <x:v>8.586630792735275e-7</x:v>
      </x:c>
      <x:c r="C55" s="43" t="n">
        <x:v>-162.23360671949163</x:v>
      </x:c>
      <x:c r="D55" s="40"/>
      <x:c r="E55" s="43" t="n">
        <x:v>1</x:v>
      </x:c>
      <x:c r="F55" s="43" t="n">
        <x:v>70</x:v>
      </x:c>
      <x:c r="G55" s="43" t="n">
        <x:v>1.1666666666666667</x:v>
      </x:c>
      <x:c r="H55" s="43" t="n">
        <x:v>0.09259166623316406</x:v>
      </x:c>
      <x:c r="I55" s="40"/>
      <x:c r="J55" s="40"/>
      <x:c r="K55" s="40"/>
      <x:c r="L55" s="40"/>
      <x:c r="M55" s="40"/>
      <x:c r="N55" s="40"/>
      <x:c r="O55" s="40"/>
    </x:row>
    <x:row r="56">
      <x:c r="A56" s="43" t="n">
        <x:v>10.847595215510342</x:v>
      </x:c>
      <x:c r="B56" s="43" t="n">
        <x:v>6.900972788163644e-7</x:v>
      </x:c>
      <x:c r="C56" s="43" t="n">
        <x:v>-161.85627338507743</x:v>
      </x:c>
      <x:c r="D56" s="40"/>
      <x:c r="E56" s="43" t="n">
        <x:v>1</x:v>
      </x:c>
      <x:c r="F56" s="43" t="n">
        <x:v>75</x:v>
      </x:c>
      <x:c r="G56" s="43" t="n">
        <x:v>1.25</x:v>
      </x:c>
      <x:c r="H56" s="43" t="n">
        <x:v>0.17592499956649732</x:v>
      </x:c>
      <x:c r="I56" s="40"/>
      <x:c r="J56" s="40"/>
      <x:c r="K56" s="40"/>
      <x:c r="L56" s="40"/>
      <x:c r="M56" s="40"/>
      <x:c r="N56" s="40"/>
      <x:c r="O56" s="40"/>
    </x:row>
    <x:row r="57">
      <x:c r="A57" s="43" t="n">
        <x:v>11.56410156321103</x:v>
      </x:c>
      <x:c r="B57" s="43" t="n">
        <x:v>5.678199573186009e-7</x:v>
      </x:c>
      <x:c r="C57" s="43" t="n">
        <x:v>-160.35403742621787</x:v>
      </x:c>
      <x:c r="D57" s="40"/>
      <x:c r="E57" s="43" t="n">
        <x:v>1</x:v>
      </x:c>
      <x:c r="F57" s="43" t="n">
        <x:v>80</x:v>
      </x:c>
      <x:c r="G57" s="43" t="n">
        <x:v>1.3333333333333333</x:v>
      </x:c>
      <x:c r="H57" s="43" t="n">
        <x:v>0.2592583328998306</x:v>
      </x:c>
      <x:c r="I57" s="40"/>
      <x:c r="J57" s="40"/>
      <x:c r="K57" s="40"/>
      <x:c r="L57" s="40"/>
      <x:c r="M57" s="40"/>
      <x:c r="N57" s="40"/>
      <x:c r="O57" s="40"/>
    </x:row>
    <x:row r="58">
      <x:c r="A58" s="43" t="n">
        <x:v>12.280607910911721</x:v>
      </x:c>
      <x:c r="B58" s="43" t="n">
        <x:v>4.775285356785245e-7</x:v>
      </x:c>
      <x:c r="C58" s="43" t="n">
        <x:v>-157.87307273464472</x:v>
      </x:c>
      <x:c r="D58" s="40"/>
      <x:c r="E58" s="43" t="n">
        <x:v>1</x:v>
      </x:c>
      <x:c r="F58" s="43" t="n">
        <x:v>85</x:v>
      </x:c>
      <x:c r="G58" s="43" t="n">
        <x:v>1.4166666666666667</x:v>
      </x:c>
      <x:c r="H58" s="43" t="n">
        <x:v>0.34259166623316406</x:v>
      </x:c>
      <x:c r="I58" s="40"/>
      <x:c r="J58" s="40"/>
      <x:c r="K58" s="40"/>
      <x:c r="L58" s="40"/>
      <x:c r="M58" s="40"/>
      <x:c r="N58" s="40"/>
      <x:c r="O58" s="40"/>
    </x:row>
    <x:row r="59">
      <x:c r="A59" s="43" t="n">
        <x:v>12.99711425861241</x:v>
      </x:c>
      <x:c r="B59" s="43" t="n">
        <x:v>4.1093313083106867e-7</x:v>
      </x:c>
      <x:c r="C59" s="43" t="n">
        <x:v>-154.53727427712698</x:v>
      </x:c>
      <x:c r="D59" s="40"/>
      <x:c r="E59" s="43" t="n">
        <x:v>1</x:v>
      </x:c>
      <x:c r="F59" s="43" t="n">
        <x:v>90</x:v>
      </x:c>
      <x:c r="G59" s="43" t="n">
        <x:v>1.5</x:v>
      </x:c>
      <x:c r="H59" s="43" t="n">
        <x:v>0.4259249995664973</x:v>
      </x:c>
      <x:c r="I59" s="40"/>
      <x:c r="J59" s="40"/>
      <x:c r="K59" s="40"/>
      <x:c r="L59" s="40"/>
      <x:c r="M59" s="40"/>
      <x:c r="N59" s="40"/>
      <x:c r="O59" s="40"/>
    </x:row>
    <x:row r="60">
      <x:c r="A60" s="43" t="n">
        <x:v>13.7136206063131</x:v>
      </x:c>
      <x:c r="B60" s="43" t="n">
        <x:v>3.628495725836075e-7</x:v>
      </x:c>
      <x:c r="C60" s="43" t="n">
        <x:v>-150.55352870469667</x:v>
      </x:c>
      <x:c r="D60" s="40"/>
      <x:c r="E60" s="43" t="n">
        <x:v>1</x:v>
      </x:c>
      <x:c r="F60" s="43" t="n">
        <x:v>95</x:v>
      </x:c>
      <x:c r="G60" s="43" t="n">
        <x:v>1.5833333333333333</x:v>
      </x:c>
      <x:c r="H60" s="43" t="n">
        <x:v>0.5092583328998306</x:v>
      </x:c>
      <x:c r="I60" s="40"/>
      <x:c r="J60" s="40"/>
      <x:c r="K60" s="40"/>
      <x:c r="L60" s="40"/>
      <x:c r="M60" s="40"/>
      <x:c r="N60" s="40"/>
      <x:c r="O60" s="40"/>
    </x:row>
    <x:row r="61">
      <x:c r="A61" s="43" t="n">
        <x:v>14.430126954013788</x:v>
      </x:c>
      <x:c r="B61" s="43" t="n">
        <x:v>3.2959144825057494e-7</x:v>
      </x:c>
      <x:c r="C61" s="43" t="n">
        <x:v>-146.2713086398956</x:v>
      </x:c>
      <x:c r="D61" s="40"/>
      <x:c r="E61" s="43" t="n">
        <x:v>1</x:v>
      </x:c>
      <x:c r="F61" s="43" t="n">
        <x:v>100</x:v>
      </x:c>
      <x:c r="G61" s="43" t="n">
        <x:v>1.6666666666666667</x:v>
      </x:c>
      <x:c r="H61" s="43" t="n">
        <x:v>0.5925916662331641</x:v>
      </x:c>
      <x:c r="I61" s="40"/>
      <x:c r="J61" s="40"/>
      <x:c r="K61" s="40"/>
      <x:c r="L61" s="40"/>
      <x:c r="M61" s="40"/>
      <x:c r="N61" s="40"/>
      <x:c r="O61" s="40"/>
    </x:row>
    <x:row r="62">
      <x:c r="A62" s="43" t="n">
        <x:v>15.146633301714477</x:v>
      </x:c>
      <x:c r="B62" s="43" t="n">
        <x:v>3.0801575444746424e-7</x:v>
      </x:c>
      <x:c r="C62" s="43" t="n">
        <x:v>-142.15979116140394</x:v>
      </x:c>
      <x:c r="D62" s="40"/>
      <x:c r="E62" s="43" t="n">
        <x:v>1</x:v>
      </x:c>
      <x:c r="F62" s="43" t="n">
        <x:v>105</x:v>
      </x:c>
      <x:c r="G62" s="43" t="n">
        <x:v>1.75</x:v>
      </x:c>
      <x:c r="H62" s="43" t="n">
        <x:v>0.6759249995664973</x:v>
      </x:c>
      <x:c r="I62" s="40"/>
      <x:c r="J62" s="40"/>
      <x:c r="K62" s="40"/>
      <x:c r="L62" s="40"/>
      <x:c r="M62" s="40"/>
      <x:c r="N62" s="40"/>
      <x:c r="O62" s="40"/>
    </x:row>
    <x:row r="63">
      <x:c r="A63" s="43" t="n">
        <x:v>15.863139649415167</x:v>
      </x:c>
      <x:c r="B63" s="43" t="n">
        <x:v>2.9505980759268985e-7</x:v>
      </x:c>
      <x:c r="C63" s="43" t="n">
        <x:v>-138.6915087707428</x:v>
      </x:c>
      <x:c r="D63" s="40"/>
      <x:c r="E63" s="43" t="n">
        <x:v>1</x:v>
      </x:c>
      <x:c r="F63" s="43" t="n">
        <x:v>110</x:v>
      </x:c>
      <x:c r="G63" s="43" t="n">
        <x:v>1.8333333333333333</x:v>
      </x:c>
      <x:c r="H63" s="43" t="n">
        <x:v>0.7592583328998306</x:v>
      </x:c>
      <x:c r="I63" s="40"/>
      <x:c r="J63" s="40"/>
      <x:c r="K63" s="40"/>
      <x:c r="L63" s="40"/>
      <x:c r="M63" s="40"/>
      <x:c r="N63" s="40"/>
      <x:c r="O63" s="40"/>
    </x:row>
    <x:row r="64">
      <x:c r="A64" s="43" t="n">
        <x:v>16.57964599711586</x:v>
      </x:c>
      <x:c r="B64" s="43" t="n">
        <x:v>2.8770751624972603e-7</x:v>
      </x:c>
      <x:c r="C64" s="43" t="n">
        <x:v>-136.1988658906322</x:v>
      </x:c>
      <x:c r="D64" s="40"/>
      <x:c r="E64" s="43" t="n">
        <x:v>1</x:v>
      </x:c>
      <x:c r="F64" s="43" t="n">
        <x:v>115</x:v>
      </x:c>
      <x:c r="G64" s="43" t="n">
        <x:v>1.9166666666666667</x:v>
      </x:c>
      <x:c r="H64" s="43" t="n">
        <x:v>0.8425916662331641</x:v>
      </x:c>
      <x:c r="I64" s="40"/>
      <x:c r="J64" s="40"/>
      <x:c r="K64" s="40"/>
      <x:c r="L64" s="40"/>
      <x:c r="M64" s="40"/>
      <x:c r="N64" s="40"/>
      <x:c r="O64" s="40"/>
    </x:row>
    <x:row r="65">
      <x:c r="A65" s="43" t="n">
        <x:v>17.296152344816548</x:v>
      </x:c>
      <x:c r="B65" s="43" t="n">
        <x:v>2.832234352148252e-7</x:v>
      </x:c>
      <x:c r="C65" s="43" t="n">
        <x:v>-134.7979241376482</x:v>
      </x:c>
      <x:c r="D65" s="40"/>
      <x:c r="E65" s="43" t="n">
        <x:v>1</x:v>
      </x:c>
      <x:c r="F65" s="43" t="n">
        <x:v>120</x:v>
      </x:c>
      <x:c r="G65" s="43" t="n">
        <x:v>2</x:v>
      </x:c>
      <x:c r="H65" s="43" t="n">
        <x:v>0.9259249995664973</x:v>
      </x:c>
      <x:c r="I65" s="40"/>
      <x:c r="J65" s="40"/>
      <x:c r="K65" s="40"/>
      <x:c r="L65" s="40"/>
      <x:c r="M65" s="40"/>
      <x:c r="N65" s="40"/>
      <x:c r="O65" s="40"/>
    </x:row>
    <x:row r="66">
      <x:c r="A66" s="43" t="n">
        <x:v>18.012658692517235</x:v>
      </x:c>
      <x:c r="B66" s="43" t="n">
        <x:v>2.794298433476181e-7</x:v>
      </x:c>
      <x:c r="C66" s="43" t="n">
        <x:v>-134.40872324341757</x:v>
      </x:c>
      <x:c r="D66" s="40"/>
      <x:c r="E66" s="43" t="n">
        <x:v>1</x:v>
      </x:c>
      <x:c r="F66" s="43" t="n">
        <x:v>125</x:v>
      </x:c>
      <x:c r="G66" s="43" t="n">
        <x:v>2.0833333333333335</x:v>
      </x:c>
      <x:c r="H66" s="43" t="n">
        <x:v>1.0092583328998308</x:v>
      </x:c>
      <x:c r="I66" s="40"/>
      <x:c r="J66" s="40"/>
      <x:c r="K66" s="40"/>
      <x:c r="L66" s="40"/>
      <x:c r="M66" s="40"/>
      <x:c r="N66" s="40"/>
      <x:c r="O66" s="40"/>
    </x:row>
    <x:row r="67">
      <x:c r="A67" s="43" t="n">
        <x:v>18.72916504021793</x:v>
      </x:c>
      <x:c r="B67" s="43" t="n">
        <x:v>2.7486823130084145e-7</x:v>
      </x:c>
      <x:c r="C67" s="43" t="n">
        <x:v>-134.8305380979524</x:v>
      </x:c>
      <x:c r="D67" s="40"/>
      <x:c r="E67" s="43" t="n">
        <x:v>1</x:v>
      </x:c>
      <x:c r="F67" s="43" t="n">
        <x:v>130</x:v>
      </x:c>
      <x:c r="G67" s="43" t="n">
        <x:v>2.1666666666666665</x:v>
      </x:c>
      <x:c r="H67" s="43" t="n">
        <x:v>1.0925916662331638</x:v>
      </x:c>
      <x:c r="I67" s="40"/>
      <x:c r="J67" s="40"/>
      <x:c r="K67" s="40"/>
      <x:c r="L67" s="40"/>
      <x:c r="M67" s="40"/>
      <x:c r="N67" s="40"/>
      <x:c r="O67" s="40"/>
    </x:row>
    <x:row r="68">
      <x:c r="A68" s="43" t="n">
        <x:v>19.44567138791862</x:v>
      </x:c>
      <x:c r="B68" s="43" t="n">
        <x:v>2.6879690993945195e-7</x:v>
      </x:c>
      <x:c r="C68" s="43" t="n">
        <x:v>-135.82050505677896</x:v>
      </x:c>
      <x:c r="D68" s="40"/>
      <x:c r="E68" s="43" t="n">
        <x:v>1</x:v>
      </x:c>
      <x:c r="F68" s="43" t="n">
        <x:v>135</x:v>
      </x:c>
      <x:c r="G68" s="43" t="n">
        <x:v>2.25</x:v>
      </x:c>
      <x:c r="H68" s="43" t="n">
        <x:v>1.1759249995664973</x:v>
      </x:c>
      <x:c r="I68" s="40"/>
      <x:c r="J68" s="40"/>
      <x:c r="K68" s="40"/>
      <x:c r="L68" s="40"/>
      <x:c r="M68" s="40"/>
      <x:c r="N68" s="40"/>
      <x:c r="O68" s="40"/>
    </x:row>
    <x:row r="69">
      <x:c r="A69" s="43" t="n">
        <x:v>20.162177735619306</x:v>
      </x:c>
      <x:c r="B69" s="43" t="n">
        <x:v>2.6105556817599264e-7</x:v>
      </x:c>
      <x:c r="C69" s="43" t="n">
        <x:v>-137.1493996811839</x:v>
      </x:c>
      <x:c r="D69" s="40"/>
      <x:c r="E69" s="43" t="n">
        <x:v>1</x:v>
      </x:c>
      <x:c r="F69" s="43" t="n">
        <x:v>140</x:v>
      </x:c>
      <x:c r="G69" s="43" t="n">
        <x:v>2.3333333333333335</x:v>
      </x:c>
      <x:c r="H69" s="43" t="n">
        <x:v>1.2592583328998308</x:v>
      </x:c>
      <x:c r="I69" s="40"/>
      <x:c r="J69" s="40"/>
      <x:c r="K69" s="40"/>
      <x:c r="L69" s="40"/>
      <x:c r="M69" s="40"/>
      <x:c r="N69" s="40"/>
      <x:c r="O69" s="40"/>
    </x:row>
    <x:row r="70">
      <x:c r="A70" s="43" t="n">
        <x:v>20.878684083319992</x:v>
      </x:c>
      <x:c r="B70" s="43" t="n">
        <x:v>2.5186515274389206e-7</x:v>
      </x:c>
      <x:c r="C70" s="43" t="n">
        <x:v>-138.63062768012654</x:v>
      </x:c>
      <x:c r="D70" s="40"/>
      <x:c r="E70" s="43" t="n">
        <x:v>1</x:v>
      </x:c>
      <x:c r="F70" s="43" t="n">
        <x:v>145</x:v>
      </x:c>
      <x:c r="G70" s="43" t="n">
        <x:v>2.4166666666666665</x:v>
      </x:c>
      <x:c r="H70" s="43" t="n">
        <x:v>1.3425916662331638</x:v>
      </x:c>
      <x:c r="I70" s="40"/>
      <x:c r="J70" s="40"/>
      <x:c r="K70" s="40"/>
      <x:c r="L70" s="40"/>
      <x:c r="M70" s="40"/>
      <x:c r="N70" s="40"/>
      <x:c r="O70" s="40"/>
    </x:row>
    <x:row r="71">
      <x:c r="A71" s="43" t="n">
        <x:v>21.595190431020686</x:v>
      </x:c>
      <x:c r="B71" s="43" t="n">
        <x:v>2.416324285063255e-7</x:v>
      </x:c>
      <x:c r="C71" s="43" t="n">
        <x:v>-140.12851951835853</x:v>
      </x:c>
      <x:c r="D71" s="40"/>
      <x:c r="E71" s="43" t="n">
        <x:v>1</x:v>
      </x:c>
      <x:c r="F71" s="43" t="n">
        <x:v>150</x:v>
      </x:c>
      <x:c r="G71" s="43" t="n">
        <x:v>2.5</x:v>
      </x:c>
      <x:c r="H71" s="43" t="n">
        <x:v>1.4259249995664973</x:v>
      </x:c>
      <x:c r="I71" s="40"/>
      <x:c r="J71" s="40"/>
      <x:c r="K71" s="40"/>
      <x:c r="L71" s="40"/>
      <x:c r="M71" s="40"/>
      <x:c r="N71" s="40"/>
      <x:c r="O71" s="40"/>
    </x:row>
    <x:row r="72">
      <x:c r="A72" s="43" t="n">
        <x:v>22.311696778721377</x:v>
      </x:c>
      <x:c r="B72" s="43" t="n">
        <x:v>2.3080307705164055e-7</x:v>
      </x:c>
      <x:c r="C72" s="43" t="n">
        <x:v>-141.5542312765827</x:v>
      </x:c>
      <x:c r="D72" s="40"/>
      <x:c r="E72" s="43" t="n">
        <x:v>1</x:v>
      </x:c>
      <x:c r="F72" s="43" t="n">
        <x:v>155</x:v>
      </x:c>
      <x:c r="G72" s="43" t="n">
        <x:v>2.5833333333333335</x:v>
      </x:c>
      <x:c r="H72" s="43" t="n">
        <x:v>1.5092583328998308</x:v>
      </x:c>
      <x:c r="I72" s="40"/>
      <x:c r="J72" s="40"/>
      <x:c r="K72" s="40"/>
      <x:c r="L72" s="40"/>
      <x:c r="M72" s="40"/>
      <x:c r="N72" s="40"/>
      <x:c r="O72" s="40"/>
    </x:row>
    <x:row r="73">
      <x:c r="A73" s="43" t="n">
        <x:v>23.028203126422063</x:v>
      </x:c>
      <x:c r="B73" s="43" t="n">
        <x:v>2.1977496706002007e-7</x:v>
      </x:c>
      <x:c r="C73" s="43" t="n">
        <x:v>-142.8562418815084</x:v>
      </x:c>
      <x:c r="D73" s="40"/>
      <x:c r="E73" s="43" t="n">
        <x:v>1</x:v>
      </x:c>
      <x:c r="F73" s="43" t="n">
        <x:v>160</x:v>
      </x:c>
      <x:c r="G73" s="43" t="n">
        <x:v>2.6666666666666665</x:v>
      </x:c>
      <x:c r="H73" s="43" t="n">
        <x:v>1.5925916662331638</x:v>
      </x:c>
      <x:c r="I73" s="40"/>
      <x:c r="J73" s="40"/>
      <x:c r="K73" s="40"/>
      <x:c r="L73" s="40"/>
      <x:c r="M73" s="40"/>
      <x:c r="N73" s="40"/>
      <x:c r="O73" s="40"/>
    </x:row>
    <x:row r="74">
      <x:c r="A74" s="43" t="n">
        <x:v>23.744709474122754</x:v>
      </x:c>
      <x:c r="B74" s="43" t="n">
        <x:v>2.0886124750129769e-7</x:v>
      </x:c>
      <x:c r="C74" s="43" t="n">
        <x:v>-144.00998870443823</x:v>
      </x:c>
      <x:c r="D74" s="40"/>
      <x:c r="E74" s="43" t="n">
        <x:v>1</x:v>
      </x:c>
      <x:c r="F74" s="43" t="n">
        <x:v>165</x:v>
      </x:c>
      <x:c r="G74" s="43" t="n">
        <x:v>2.75</x:v>
      </x:c>
      <x:c r="H74" s="43" t="n">
        <x:v>1.6759249995664973</x:v>
      </x:c>
      <x:c r="I74" s="40"/>
      <x:c r="J74" s="40"/>
      <x:c r="K74" s="40"/>
      <x:c r="L74" s="40"/>
      <x:c r="M74" s="40"/>
      <x:c r="N74" s="40"/>
      <x:c r="O74" s="40"/>
    </x:row>
    <x:row r="75">
      <x:c r="A75" s="43" t="n">
        <x:v>24.461215821823444</x:v>
      </x:c>
      <x:c r="B75" s="43" t="n">
        <x:v>1.9828538401611615e-7</x:v>
      </x:c>
      <x:c r="C75" s="43" t="n">
        <x:v>-145.00891032855165</x:v>
      </x:c>
      <x:c r="D75" s="40"/>
      <x:c r="E75" s="43" t="n">
        <x:v>1</x:v>
      </x:c>
      <x:c r="F75" s="43" t="n">
        <x:v>170</x:v>
      </x:c>
      <x:c r="G75" s="43" t="n">
        <x:v>2.8333333333333335</x:v>
      </x:c>
      <x:c r="H75" s="43" t="n">
        <x:v>1.7592583328998308</x:v>
      </x:c>
      <x:c r="I75" s="40"/>
      <x:c r="J75" s="40"/>
      <x:c r="K75" s="40"/>
      <x:c r="L75" s="40"/>
      <x:c r="M75" s="40"/>
      <x:c r="N75" s="40"/>
      <x:c r="O75" s="40"/>
    </x:row>
    <x:row r="76">
      <x:c r="A76" s="43" t="n">
        <x:v>25.177722169524134</x:v>
      </x:c>
      <x:c r="B76" s="43" t="n">
        <x:v>1.8819226868536015e-7</x:v>
      </x:c>
      <x:c r="C76" s="43" t="n">
        <x:v>-145.85761471933256</x:v>
      </x:c>
      <x:c r="D76" s="40"/>
      <x:c r="E76" s="43" t="n">
        <x:v>1</x:v>
      </x:c>
      <x:c r="F76" s="43" t="n">
        <x:v>175</x:v>
      </x:c>
      <x:c r="G76" s="43" t="n">
        <x:v>2.9166666666666665</x:v>
      </x:c>
      <x:c r="H76" s="43" t="n">
        <x:v>1.8425916662331638</x:v>
      </x:c>
      <x:c r="I76" s="40"/>
      <x:c r="J76" s="40"/>
      <x:c r="K76" s="40"/>
      <x:c r="L76" s="40"/>
      <x:c r="M76" s="40"/>
      <x:c r="N76" s="40"/>
      <x:c r="O76" s="40"/>
    </x:row>
    <x:row r="77">
      <x:c r="A77" s="43" t="n">
        <x:v>25.89422851722482</x:v>
      </x:c>
      <x:c r="B77" s="43" t="n">
        <x:v>1.786648386621073e-7</x:v>
      </x:c>
      <x:c r="C77" s="43" t="n">
        <x:v>-146.56707325667443</x:v>
      </x:c>
      <x:c r="D77" s="40"/>
      <x:c r="E77" s="43" t="n">
        <x:v>1</x:v>
      </x:c>
      <x:c r="F77" s="43" t="n">
        <x:v>180</x:v>
      </x:c>
      <x:c r="G77" s="43" t="n">
        <x:v>3</x:v>
      </x:c>
      <x:c r="H77" s="43" t="n">
        <x:v>1.9259249995664973</x:v>
      </x:c>
      <x:c r="I77" s="40"/>
      <x:c r="J77" s="40"/>
      <x:c r="K77" s="40"/>
      <x:c r="L77" s="40"/>
      <x:c r="M77" s="40"/>
      <x:c r="N77" s="40"/>
      <x:c r="O77" s="40"/>
    </x:row>
    <x:row r="78">
      <x:c r="A78" s="43" t="n">
        <x:v>26.61073486492551</x:v>
      </x:c>
      <x:c r="B78" s="43" t="n">
        <x:v>1.6974052877459317e-7</x:v>
      </x:c>
      <x:c r="C78" s="43" t="n">
        <x:v>-147.15143150745203</x:v>
      </x:c>
      <x:c r="D78" s="40"/>
      <x:c r="E78" s="43" t="n">
        <x:v>1</x:v>
      </x:c>
      <x:c r="F78" s="43" t="n">
        <x:v>185</x:v>
      </x:c>
      <x:c r="G78" s="43" t="n">
        <x:v>3.0833333333333335</x:v>
      </x:c>
      <x:c r="H78" s="43" t="n">
        <x:v>2.009258332899831</x:v>
      </x:c>
      <x:c r="I78" s="40"/>
      <x:c r="J78" s="40"/>
      <x:c r="K78" s="40"/>
      <x:c r="L78" s="40"/>
      <x:c r="M78" s="40"/>
      <x:c r="N78" s="40"/>
      <x:c r="O78" s="40"/>
    </x:row>
    <x:row r="79">
      <x:c r="A79" s="43" t="n">
        <x:v>27.327241212626202</x:v>
      </x:c>
      <x:c r="B79" s="43" t="n">
        <x:v>1.6142517419922035e-7</x:v>
      </x:c>
      <x:c r="C79" s="43" t="n">
        <x:v>-147.6259899185051</x:v>
      </x:c>
      <x:c r="D79" s="40"/>
      <x:c r="E79" s="43" t="n">
        <x:v>1</x:v>
      </x:c>
      <x:c r="F79" s="43" t="n">
        <x:v>190</x:v>
      </x:c>
      <x:c r="G79" s="43" t="n">
        <x:v>3.1666666666666665</x:v>
      </x:c>
      <x:c r="H79" s="43" t="n">
        <x:v>2.092591666233164</x:v>
      </x:c>
      <x:c r="I79" s="40"/>
      <x:c r="J79" s="40"/>
      <x:c r="K79" s="40"/>
      <x:c r="L79" s="40"/>
      <x:c r="M79" s="40"/>
      <x:c r="N79" s="40"/>
      <x:c r="O79" s="40"/>
    </x:row>
    <x:row r="80">
      <x:c r="A80" s="43" t="n">
        <x:v>28.043747560326892</x:v>
      </x:c>
      <x:c r="B80" s="43" t="n">
        <x:v>1.5370379419044438e-7</x:v>
      </x:c>
      <x:c r="C80" s="43" t="n">
        <x:v>-148.00598025960338</x:v>
      </x:c>
      <x:c r="D80" s="40"/>
      <x:c r="E80" s="43" t="n">
        <x:v>1</x:v>
      </x:c>
      <x:c r="F80" s="43" t="n">
        <x:v>195</x:v>
      </x:c>
      <x:c r="G80" s="43" t="n">
        <x:v>3.25</x:v>
      </x:c>
      <x:c r="H80" s="43" t="n">
        <x:v>2.1759249995664973</x:v>
      </x:c>
      <x:c r="I80" s="40"/>
      <x:c r="J80" s="40"/>
      <x:c r="K80" s="40"/>
      <x:c r="L80" s="40"/>
      <x:c r="M80" s="40"/>
      <x:c r="N80" s="40"/>
      <x:c r="O80" s="40"/>
    </x:row>
    <x:row r="81">
      <x:c r="A81" s="43" t="n">
        <x:v>28.76025390802758</x:v>
      </x:c>
      <x:c r="B81" s="43" t="n">
        <x:v>1.465485160708785e-7</x:v>
      </x:c>
      <x:c r="C81" s="43" t="n">
        <x:v>-148.30586098194888</x:v>
      </x:c>
      <x:c r="D81" s="40"/>
      <x:c r="E81" s="43" t="n">
        <x:v>1</x:v>
      </x:c>
      <x:c r="F81" s="43" t="n">
        <x:v>200</x:v>
      </x:c>
      <x:c r="G81" s="43" t="n">
        <x:v>3.3333333333333335</x:v>
      </x:c>
      <x:c r="H81" s="43" t="n">
        <x:v>2.259258332899831</x:v>
      </x:c>
      <x:c r="I81" s="40"/>
      <x:c r="J81" s="40"/>
      <x:c r="K81" s="40"/>
      <x:c r="L81" s="40"/>
      <x:c r="M81" s="40"/>
      <x:c r="N81" s="40"/>
      <x:c r="O81" s="40"/>
    </x:row>
    <x:row r="82">
      <x:c r="A82" s="43" t="n">
        <x:v>29.47676025572827</x:v>
      </x:c>
      <x:c r="B82" s="43" t="n">
        <x:v>1.3992417878649125e-7</x:v>
      </x:c>
      <x:c r="C82" s="43" t="n">
        <x:v>-148.53894092444617</x:v>
      </x:c>
      <x:c r="D82" s="40"/>
      <x:c r="E82" s="43" t="n">
        <x:v>1</x:v>
      </x:c>
      <x:c r="F82" s="43" t="n">
        <x:v>205</x:v>
      </x:c>
      <x:c r="G82" s="43" t="n">
        <x:v>3.4166666666666665</x:v>
      </x:c>
      <x:c r="H82" s="43" t="n">
        <x:v>2.342591666233164</x:v>
      </x:c>
      <x:c r="I82" s="40"/>
      <x:c r="J82" s="40"/>
      <x:c r="K82" s="40"/>
      <x:c r="L82" s="40"/>
      <x:c r="M82" s="40"/>
      <x:c r="N82" s="40"/>
      <x:c r="O82" s="40"/>
    </x:row>
    <x:row r="83">
      <x:c r="A83" s="43" t="n">
        <x:v>30.193266603428956</x:v>
      </x:c>
      <x:c r="B83" s="43" t="n">
        <x:v>1.3379217509994802e-7</x:v>
      </x:c>
      <x:c r="C83" s="43" t="n">
        <x:v>-148.71720614704796</x:v>
      </x:c>
      <x:c r="D83" s="40"/>
      <x:c r="E83" s="43" t="n">
        <x:v>1</x:v>
      </x:c>
      <x:c r="F83" s="43" t="n">
        <x:v>210</x:v>
      </x:c>
      <x:c r="G83" s="43" t="n">
        <x:v>3.5</x:v>
      </x:c>
      <x:c r="H83" s="43" t="n">
        <x:v>2.4259249995664973</x:v>
      </x:c>
      <x:c r="I83" s="40"/>
      <x:c r="J83" s="40"/>
      <x:c r="K83" s="40"/>
      <x:c r="L83" s="40"/>
      <x:c r="M83" s="40"/>
      <x:c r="N83" s="40"/>
      <x:c r="O83" s="40"/>
    </x:row>
    <x:row r="84">
      <x:c r="A84" s="43" t="n">
        <x:v>30.90977295112965</x:v>
      </x:c>
      <x:c r="B84" s="43" t="n">
        <x:v>1.281130103706258e-7</x:v>
      </x:c>
      <x:c r="C84" s="43" t="n">
        <x:v>-148.85127015234193</x:v>
      </x:c>
      <x:c r="D84" s="40"/>
      <x:c r="E84" s="43" t="n">
        <x:v>1</x:v>
      </x:c>
      <x:c r="F84" s="43" t="n">
        <x:v>215</x:v>
      </x:c>
      <x:c r="G84" s="43" t="n">
        <x:v>3.5833333333333335</x:v>
      </x:c>
      <x:c r="H84" s="43" t="n">
        <x:v>2.509258332899831</x:v>
      </x:c>
      <x:c r="I84" s="40"/>
      <x:c r="J84" s="40"/>
      <x:c r="K84" s="40"/>
      <x:c r="L84" s="40"/>
      <x:c r="M84" s="40"/>
      <x:c r="N84" s="40"/>
      <x:c r="O84" s="40"/>
    </x:row>
    <x:row r="85">
      <x:c r="A85" s="43" t="n">
        <x:v>31.626279298830337</x:v>
      </x:c>
      <x:c r="B85" s="43" t="n">
        <x:v>1.228479511444582e-7</x:v>
      </x:c>
      <x:c r="C85" s="43" t="n">
        <x:v>-148.95039776494943</x:v>
      </x:c>
      <x:c r="D85" s="40"/>
      <x:c r="E85" s="43" t="n">
        <x:v>1</x:v>
      </x:c>
      <x:c r="F85" s="43" t="n">
        <x:v>220</x:v>
      </x:c>
      <x:c r="G85" s="43" t="n">
        <x:v>3.6666666666666665</x:v>
      </x:c>
      <x:c r="H85" s="43" t="n">
        <x:v>2.592591666233164</x:v>
      </x:c>
      <x:c r="I85" s="40"/>
      <x:c r="J85" s="40"/>
      <x:c r="K85" s="40"/>
      <x:c r="L85" s="40"/>
      <x:c r="M85" s="40"/>
      <x:c r="N85" s="40"/>
      <x:c r="O85" s="40"/>
    </x:row>
    <x:row r="86">
      <x:c r="A86" s="43" t="n">
        <x:v>32.34278564653103</x:v>
      </x:c>
      <x:c r="B86" s="43" t="n">
        <x:v>1.1796004060449678e-7</x:v>
      </x:c>
      <x:c r="C86" s="43" t="n">
        <x:v>-149.0225720138467</x:v>
      </x:c>
      <x:c r="D86" s="40"/>
      <x:c r="E86" s="43" t="n">
        <x:v>1</x:v>
      </x:c>
      <x:c r="F86" s="43" t="n">
        <x:v>225</x:v>
      </x:c>
      <x:c r="G86" s="43" t="n">
        <x:v>3.75</x:v>
      </x:c>
      <x:c r="H86" s="43" t="n">
        <x:v>2.6759249995664973</x:v>
      </x:c>
      <x:c r="I86" s="40"/>
      <x:c r="J86" s="40"/>
      <x:c r="K86" s="40"/>
      <x:c r="L86" s="40"/>
      <x:c r="M86" s="40"/>
      <x:c r="N86" s="40"/>
      <x:c r="O86" s="40"/>
    </x:row>
    <x:row r="87">
      <x:c r="A87" s="43" t="n">
        <x:v>33.05929199423172</x:v>
      </x:c>
      <x:c r="B87" s="43" t="n">
        <x:v>1.1341468034127662e-7</x:v>
      </x:c>
      <x:c r="C87" s="43" t="n">
        <x:v>-149.07458516277396</x:v>
      </x:c>
      <x:c r="D87" s="40"/>
      <x:c r="E87" s="43" t="n">
        <x:v>1</x:v>
      </x:c>
      <x:c r="F87" s="43" t="n">
        <x:v>230</x:v>
      </x:c>
      <x:c r="G87" s="43" t="n">
        <x:v>3.8333333333333335</x:v>
      </x:c>
      <x:c r="H87" s="43" t="n">
        <x:v>2.759258332899831</x:v>
      </x:c>
      <x:c r="I87" s="40"/>
      <x:c r="J87" s="40"/>
      <x:c r="K87" s="40"/>
      <x:c r="L87" s="40"/>
      <x:c r="M87" s="40"/>
      <x:c r="N87" s="40"/>
      <x:c r="O87" s="40"/>
    </x:row>
    <x:row r="88">
      <x:c r="A88" s="43" t="n">
        <x:v>33.77579834193241</x:v>
      </x:c>
      <x:c r="B88" s="43" t="n">
        <x:v>1.0917991932224858e-7</x:v>
      </x:c>
      <x:c r="C88" s="43" t="n">
        <x:v>-149.11214219323043</x:v>
      </x:c>
      <x:c r="D88" s="40"/>
      <x:c r="E88" s="43" t="n">
        <x:v>1</x:v>
      </x:c>
      <x:c r="F88" s="43" t="n">
        <x:v>235</x:v>
      </x:c>
      <x:c r="G88" s="43" t="n">
        <x:v>3.9166666666666665</x:v>
      </x:c>
      <x:c r="H88" s="43" t="n">
        <x:v>2.8144531093335075</x:v>
      </x:c>
      <x:c r="I88" s="40"/>
      <x:c r="J88" s="40"/>
      <x:c r="K88" s="40"/>
      <x:c r="L88" s="40"/>
      <x:c r="M88" s="40"/>
      <x:c r="N88" s="40"/>
      <x:c r="O88" s="40"/>
    </x:row>
    <x:row r="89">
      <x:c r="A89" s="43" t="n">
        <x:v>34.492304689633094</x:v>
      </x:c>
      <x:c r="B89" s="43" t="n">
        <x:v>1.052265483763607e-7</x:v>
      </x:c>
      <x:c r="C89" s="43" t="n">
        <x:v>-149.1399693444703</x:v>
      </x:c>
      <x:c r="D89" s="40"/>
      <x:c r="E89" s="43" t="n">
        <x:v>1</x:v>
      </x:c>
      <x:c r="F89" s="43" t="n">
        <x:v>240</x:v>
      </x:c>
      <x:c r="G89" s="43" t="n">
        <x:v>4</x:v>
      </x:c>
      <x:c r="H89" s="43" t="n">
        <x:v>2.731119776000174</x:v>
      </x:c>
      <x:c r="I89" s="40"/>
      <x:c r="J89" s="40"/>
      <x:c r="K89" s="40"/>
      <x:c r="L89" s="40"/>
      <x:c r="M89" s="40"/>
      <x:c r="N89" s="40"/>
      <x:c r="O89" s="40"/>
    </x:row>
    <x:row r="90">
      <x:c r="A90" s="43" t="n">
        <x:v>35.20881103733378</x:v>
      </x:c>
      <x:c r="B90" s="43" t="n">
        <x:v>1.0152806828580947e-7</x:v>
      </x:c>
      <x:c r="C90" s="43" t="n">
        <x:v>-149.16192290555435</x:v>
      </x:c>
      <x:c r="D90" s="40"/>
      <x:c r="E90" s="43" t="n">
        <x:v>1</x:v>
      </x:c>
      <x:c r="F90" s="43" t="n">
        <x:v>245</x:v>
      </x:c>
      <x:c r="G90" s="43" t="n">
        <x:v>4.083333333333333</x:v>
      </x:c>
      <x:c r="H90" s="43" t="n">
        <x:v>2.647786442666841</x:v>
      </x:c>
      <x:c r="I90" s="40"/>
      <x:c r="J90" s="40"/>
      <x:c r="K90" s="40"/>
      <x:c r="L90" s="40"/>
      <x:c r="M90" s="40"/>
      <x:c r="N90" s="40"/>
      <x:c r="O90" s="40"/>
    </x:row>
    <x:row r="91">
      <x:c r="A91" s="43" t="n">
        <x:v>35.92531738503447</x:v>
      </x:c>
      <x:c r="B91" s="43" t="n">
        <x:v>9.806057840552201e-8</x:v>
      </x:c>
      <x:c r="C91" s="43" t="n">
        <x:v>-149.18109505185956</x:v>
      </x:c>
      <x:c r="D91" s="40"/>
      <x:c r="E91" s="43" t="n">
        <x:v>1</x:v>
      </x:c>
      <x:c r="F91" s="43" t="n">
        <x:v>250</x:v>
      </x:c>
      <x:c r="G91" s="43" t="n">
        <x:v>4.166666666666667</x:v>
      </x:c>
      <x:c r="H91" s="43" t="n">
        <x:v>2.564453109333507</x:v>
      </x:c>
      <x:c r="I91" s="40"/>
      <x:c r="J91" s="40"/>
      <x:c r="K91" s="40"/>
      <x:c r="L91" s="40"/>
      <x:c r="M91" s="40"/>
      <x:c r="N91" s="40"/>
      <x:c r="O91" s="40"/>
    </x:row>
    <x:row r="92">
      <x:c r="A92" s="43" t="n">
        <x:v>36.64182373273516</x:v>
      </x:c>
      <x:c r="B92" s="43" t="n">
        <x:v>9.480261800540105e-8</x:v>
      </x:c>
      <x:c r="C92" s="43" t="n">
        <x:v>-149.1999145499654</x:v>
      </x:c>
      <x:c r="D92" s="40"/>
      <x:c r="E92" s="43" t="n">
        <x:v>1</x:v>
      </x:c>
      <x:c r="F92" s="43" t="n">
        <x:v>255</x:v>
      </x:c>
      <x:c r="G92" s="43" t="n">
        <x:v>4.25</x:v>
      </x:c>
      <x:c r="H92" s="43" t="n">
        <x:v>2.481119776000174</x:v>
      </x:c>
      <x:c r="I92" s="40"/>
      <x:c r="J92" s="40"/>
      <x:c r="K92" s="40"/>
      <x:c r="L92" s="40"/>
      <x:c r="M92" s="40"/>
      <x:c r="N92" s="40"/>
      <x:c r="O92" s="40"/>
    </x:row>
    <x:row r="93">
      <x:c r="A93" s="43" t="n">
        <x:v>37.358330080435856</x:v>
      </x:c>
      <x:c r="B93" s="43" t="n">
        <x:v>9.17349823145239e-8</x:v>
      </x:c>
      <x:c r="C93" s="43" t="n">
        <x:v>-149.2202408674835</x:v>
      </x:c>
      <x:c r="D93" s="40"/>
      <x:c r="E93" s="43" t="n">
        <x:v>1</x:v>
      </x:c>
      <x:c r="F93" s="43" t="n">
        <x:v>260</x:v>
      </x:c>
      <x:c r="G93" s="43" t="n">
        <x:v>4.333333333333333</x:v>
      </x:c>
      <x:c r="H93" s="43" t="n">
        <x:v>2.397786442666841</x:v>
      </x:c>
      <x:c r="I93" s="40"/>
      <x:c r="J93" s="40"/>
      <x:c r="K93" s="40"/>
      <x:c r="L93" s="40"/>
      <x:c r="M93" s="40"/>
      <x:c r="N93" s="40"/>
      <x:c r="O93" s="40"/>
    </x:row>
    <x:row r="94">
      <x:c r="A94" s="43" t="n">
        <x:v>38.07483642813654</x:v>
      </x:c>
      <x:c r="B94" s="43" t="n">
        <x:v>8.88405281546683e-8</x:v>
      </x:c>
      <x:c r="C94" s="43" t="n">
        <x:v>-149.24345075229587</x:v>
      </x:c>
      <x:c r="D94" s="40"/>
      <x:c r="E94" s="43" t="n">
        <x:v>1</x:v>
      </x:c>
      <x:c r="F94" s="43" t="n">
        <x:v>265</x:v>
      </x:c>
      <x:c r="G94" s="43" t="n">
        <x:v>4.416666666666667</x:v>
      </x:c>
      <x:c r="H94" s="43" t="n">
        <x:v>2.314453109333507</x:v>
      </x:c>
      <x:c r="I94" s="40"/>
      <x:c r="J94" s="40"/>
      <x:c r="K94" s="40"/>
      <x:c r="L94" s="40"/>
      <x:c r="M94" s="40"/>
      <x:c r="N94" s="40"/>
      <x:c r="O94" s="40"/>
    </x:row>
    <x:row r="95">
      <x:c r="A95" s="43" t="n">
        <x:v>38.791342775837236</x:v>
      </x:c>
      <x:c r="B95" s="43" t="n">
        <x:v>8.610397911338749e-8</x:v>
      </x:c>
      <x:c r="C95" s="43" t="n">
        <x:v>-149.2705167584517</x:v>
      </x:c>
      <x:c r="D95" s="40"/>
      <x:c r="E95" s="43" t="n">
        <x:v>1</x:v>
      </x:c>
      <x:c r="F95" s="43" t="n">
        <x:v>270</x:v>
      </x:c>
      <x:c r="G95" s="43" t="n">
        <x:v>4.5</x:v>
      </x:c>
      <x:c r="H95" s="43" t="n">
        <x:v>2.231119776000174</x:v>
      </x:c>
      <x:c r="I95" s="40"/>
      <x:c r="J95" s="40"/>
      <x:c r="K95" s="40"/>
      <x:c r="L95" s="40"/>
      <x:c r="M95" s="40"/>
      <x:c r="N95" s="40"/>
      <x:c r="O95" s="40"/>
    </x:row>
    <x:row r="96">
      <x:c r="A96" s="43" t="n">
        <x:v>39.50784912353792</x:v>
      </x:c>
      <x:c r="B96" s="43" t="n">
        <x:v>8.351173675690479e-8</x:v>
      </x:c>
      <x:c r="C96" s="43" t="n">
        <x:v>-149.30207752745832</x:v>
      </x:c>
      <x:c r="D96" s="40"/>
      <x:c r="E96" s="43" t="n">
        <x:v>1</x:v>
      </x:c>
      <x:c r="F96" s="43" t="n">
        <x:v>275</x:v>
      </x:c>
      <x:c r="G96" s="43" t="n">
        <x:v>4.583333333333333</x:v>
      </x:c>
      <x:c r="H96" s="43" t="n">
        <x:v>2.147786442666841</x:v>
      </x:c>
      <x:c r="I96" s="40"/>
      <x:c r="J96" s="40"/>
      <x:c r="K96" s="40"/>
      <x:c r="L96" s="40"/>
      <x:c r="M96" s="40"/>
      <x:c r="N96" s="40"/>
      <x:c r="O96" s="40"/>
    </x:row>
    <x:row r="97">
      <x:c r="A97" s="43" t="n">
        <x:v>40.22435547123861</x:v>
      </x:c>
      <x:c r="B97" s="43" t="n">
        <x:v>8.105170196474943e-8</x:v>
      </x:c>
      <x:c r="C97" s="43" t="n">
        <x:v>-149.33849989963684</x:v>
      </x:c>
      <x:c r="D97" s="40"/>
      <x:c r="E97" s="43" t="n">
        <x:v>1</x:v>
      </x:c>
      <x:c r="F97" s="43" t="n">
        <x:v>280</x:v>
      </x:c>
      <x:c r="G97" s="43" t="n">
        <x:v>4.666666666666667</x:v>
      </x:c>
      <x:c r="H97" s="43" t="n">
        <x:v>2.064453109333507</x:v>
      </x:c>
      <x:c r="I97" s="40"/>
      <x:c r="J97" s="40"/>
      <x:c r="K97" s="40"/>
      <x:c r="L97" s="40"/>
      <x:c r="M97" s="40"/>
      <x:c r="N97" s="40"/>
      <x:c r="O97" s="40"/>
    </x:row>
    <x:row r="98">
      <x:c r="A98" s="43" t="n">
        <x:v>40.9408618189393</x:v>
      </x:c>
      <x:c r="B98" s="43" t="n">
        <x:v>7.871310877020102e-8</x:v>
      </x:c>
      <x:c r="C98" s="43" t="n">
        <x:v>-149.379933138366</x:v>
      </x:c>
      <x:c r="D98" s="40"/>
      <x:c r="E98" s="43" t="n">
        <x:v>1</x:v>
      </x:c>
      <x:c r="F98" s="43" t="n">
        <x:v>285</x:v>
      </x:c>
      <x:c r="G98" s="43" t="n">
        <x:v>4.75</x:v>
      </x:c>
      <x:c r="H98" s="43" t="n">
        <x:v>1.981119776000174</x:v>
      </x:c>
      <x:c r="I98" s="40"/>
      <x:c r="J98" s="40"/>
      <x:c r="K98" s="40"/>
      <x:c r="L98" s="40"/>
      <x:c r="M98" s="40"/>
      <x:c r="N98" s="40"/>
      <x:c r="O98" s="40"/>
    </x:row>
    <x:row r="99">
      <x:c r="A99" s="43" t="n">
        <x:v>41.65736816663998</x:v>
      </x:c>
      <x:c r="B99" s="43" t="n">
        <x:v>7.648637190194164e-8</x:v>
      </x:c>
      <x:c r="C99" s="43" t="n">
        <x:v>-149.42635570572017</x:v>
      </x:c>
      <x:c r="D99" s="40"/>
      <x:c r="E99" s="43" t="n">
        <x:v>1</x:v>
      </x:c>
      <x:c r="F99" s="43" t="n">
        <x:v>290</x:v>
      </x:c>
      <x:c r="G99" s="43" t="n">
        <x:v>4.833333333333333</x:v>
      </x:c>
      <x:c r="H99" s="43" t="n">
        <x:v>1.897786442666841</x:v>
      </x:c>
      <x:c r="I99" s="40"/>
      <x:c r="J99" s="40"/>
      <x:c r="K99" s="40"/>
      <x:c r="L99" s="40"/>
      <x:c r="M99" s="40"/>
      <x:c r="N99" s="40"/>
      <x:c r="O99" s="40"/>
    </x:row>
    <x:row r="100">
      <x:c r="A100" s="43" t="n">
        <x:v>42.37387451434068</x:v>
      </x:c>
      <x:c r="B100" s="43" t="n">
        <x:v>7.436294839581446e-8</x:v>
      </x:c>
      <x:c r="C100" s="43" t="n">
        <x:v>-149.47761513655976</x:v>
      </x:c>
      <x:c r="D100" s="40"/>
      <x:c r="E100" s="43" t="n">
        <x:v>1</x:v>
      </x:c>
      <x:c r="F100" s="43" t="n">
        <x:v>295</x:v>
      </x:c>
      <x:c r="G100" s="43" t="n">
        <x:v>4.916666666666667</x:v>
      </x:c>
      <x:c r="H100" s="43" t="n">
        <x:v>1.814453109333507</x:v>
      </x:c>
      <x:c r="I100" s="40"/>
      <x:c r="J100" s="40"/>
      <x:c r="K100" s="40"/>
      <x:c r="L100" s="40"/>
      <x:c r="M100" s="40"/>
      <x:c r="N100" s="40"/>
      <x:c r="O100" s="40"/>
    </x:row>
    <x:row r="101">
      <x:c r="A101" s="43" t="n">
        <x:v>43.09038086204137</x:v>
      </x:c>
      <x:c r="B101" s="43" t="n">
        <x:v>7.233521308098963e-8</x:v>
      </x:c>
      <x:c r="C101" s="43" t="n">
        <x:v>-149.5334616250862</x:v>
      </x:c>
      <x:c r="D101" s="40"/>
      <x:c r="E101" s="43" t="n">
        <x:v>1</x:v>
      </x:c>
      <x:c r="F101" s="43" t="n">
        <x:v>300</x:v>
      </x:c>
      <x:c r="G101" s="43" t="n">
        <x:v>5</x:v>
      </x:c>
      <x:c r="H101" s="43" t="n">
        <x:v>1.731119776000174</x:v>
      </x:c>
      <x:c r="I101" s="40"/>
      <x:c r="J101" s="40"/>
      <x:c r="K101" s="40"/>
      <x:c r="L101" s="40"/>
      <x:c r="M101" s="40"/>
      <x:c r="N101" s="40"/>
      <x:c r="O101" s="40"/>
    </x:row>
    <x:row r="102">
      <x:c r="A102" s="43" t="n">
        <x:v>43.80688720974206</x:v>
      </x:c>
      <x:c r="B102" s="43" t="n">
        <x:v>7.039634736944613e-8</x:v>
      </x:c>
      <x:c r="C102" s="43" t="n">
        <x:v>-149.59357596987255</x:v>
      </x:c>
      <x:c r="D102" s="40"/>
      <x:c r="E102" s="43" t="n">
        <x:v>2</x:v>
      </x:c>
      <x:c r="F102" s="43" t="n">
        <x:v>0</x:v>
      </x:c>
      <x:c r="G102" s="43" t="n">
        <x:v>0</x:v>
      </x:c>
      <x:c r="H102" s="43" t="n">
        <x:v>1.0740750004335027</x:v>
      </x:c>
      <x:c r="I102" s="40"/>
      <x:c r="J102" s="40"/>
      <x:c r="K102" s="40"/>
      <x:c r="L102" s="40"/>
      <x:c r="M102" s="40"/>
      <x:c r="N102" s="40"/>
      <x:c r="O102" s="40"/>
    </x:row>
    <x:row r="103">
      <x:c r="A103" s="43" t="n">
        <x:v>44.52339355744275</x:v>
      </x:c>
      <x:c r="B103" s="43" t="n">
        <x:v>6.854024054057103e-8</x:v>
      </x:c>
      <x:c r="C103" s="43" t="n">
        <x:v>-149.657592527044</x:v>
      </x:c>
      <x:c r="D103" s="40"/>
      <x:c r="E103" s="43" t="n">
        <x:v>2</x:v>
      </x:c>
      <x:c r="F103" s="43" t="n">
        <x:v>5</x:v>
      </x:c>
      <x:c r="G103" s="43" t="n">
        <x:v>0.16666666666666666</x:v>
      </x:c>
      <x:c r="H103" s="43" t="n">
        <x:v>0.907408333766836</x:v>
      </x:c>
      <x:c r="I103" s="40"/>
      <x:c r="J103" s="40"/>
      <x:c r="K103" s="40"/>
      <x:c r="L103" s="40"/>
      <x:c r="M103" s="40"/>
      <x:c r="N103" s="40"/>
      <x:c r="O103" s="40"/>
    </x:row>
    <x:row r="104">
      <x:c r="A104" s="43" t="n">
        <x:v>45.23989990514344</x:v>
      </x:c>
      <x:c r="B104" s="43" t="n">
        <x:v>6.67614025760297e-8</x:v>
      </x:c>
      <x:c r="C104" s="43" t="n">
        <x:v>-149.72511780327764</x:v>
      </x:c>
      <x:c r="D104" s="40"/>
      <x:c r="E104" s="43" t="n">
        <x:v>2</x:v>
      </x:c>
      <x:c r="F104" s="43" t="n">
        <x:v>10</x:v>
      </x:c>
      <x:c r="G104" s="43" t="n">
        <x:v>0.3333333333333333</x:v>
      </x:c>
      <x:c r="H104" s="43" t="n">
        <x:v>0.7407416671001694</x:v>
      </x:c>
      <x:c r="I104" s="40"/>
      <x:c r="J104" s="40"/>
      <x:c r="K104" s="40"/>
      <x:c r="L104" s="40"/>
      <x:c r="M104" s="40"/>
      <x:c r="N104" s="40"/>
      <x:c r="O104" s="40"/>
    </x:row>
    <x:row r="105">
      <x:c r="A105" s="43" t="n">
        <x:v>45.956406252844126</x:v>
      </x:c>
      <x:c r="B105" s="43" t="n">
        <x:v>6.505488753608155e-8</x:v>
      </x:c>
      <x:c r="C105" s="43" t="n">
        <x:v>-149.79574528611573</x:v>
      </x:c>
      <x:c r="D105" s="40"/>
      <x:c r="E105" s="43" t="n">
        <x:v>2</x:v>
      </x:c>
      <x:c r="F105" s="43" t="n">
        <x:v>15</x:v>
      </x:c>
      <x:c r="G105" s="43" t="n">
        <x:v>0.5</x:v>
      </x:c>
      <x:c r="H105" s="43" t="n">
        <x:v>0.5740750004335027</x:v>
      </x:c>
      <x:c r="I105" s="40"/>
      <x:c r="J105" s="40"/>
      <x:c r="K105" s="40"/>
      <x:c r="L105" s="40"/>
      <x:c r="M105" s="40"/>
      <x:c r="N105" s="40"/>
      <x:c r="O105" s="40"/>
    </x:row>
    <x:row r="106">
      <x:c r="A106" s="43" t="n">
        <x:v>46.67291260054481</x:v>
      </x:c>
      <x:c r="B106" s="43" t="n">
        <x:v>6.341622645625079e-8</x:v>
      </x:c>
      <x:c r="C106" s="43" t="n">
        <x:v>-149.869067064899</x:v>
      </x:c>
      <x:c r="D106" s="40"/>
      <x:c r="E106" s="43" t="n">
        <x:v>2</x:v>
      </x:c>
      <x:c r="F106" s="43" t="n">
        <x:v>20</x:v>
      </x:c>
      <x:c r="G106" s="43" t="n">
        <x:v>0.6666666666666666</x:v>
      </x:c>
      <x:c r="H106" s="43" t="n">
        <x:v>0.40740833376683605</x:v>
      </x:c>
      <x:c r="I106" s="40"/>
      <x:c r="J106" s="40"/>
      <x:c r="K106" s="40"/>
      <x:c r="L106" s="40"/>
      <x:c r="M106" s="40"/>
      <x:c r="N106" s="40"/>
      <x:c r="O106" s="40"/>
    </x:row>
    <x:row r="107">
      <x:c r="A107" s="43" t="n">
        <x:v>47.389418948245506</x:v>
      </x:c>
      <x:c r="B107" s="43" t="n">
        <x:v>6.184136876698392e-8</x:v>
      </x:c>
      <x:c r="C107" s="43" t="n">
        <x:v>-149.94468274468514</x:v>
      </x:c>
      <x:c r="D107" s="40"/>
      <x:c r="E107" s="43" t="n">
        <x:v>2</x:v>
      </x:c>
      <x:c r="F107" s="43" t="n">
        <x:v>25</x:v>
      </x:c>
      <x:c r="G107" s="43" t="n">
        <x:v>0.8333333333333334</x:v>
      </x:c>
      <x:c r="H107" s="43" t="n">
        <x:v>0.2407416671001693</x:v>
      </x:c>
      <x:c r="I107" s="40"/>
      <x:c r="J107" s="40"/>
      <x:c r="K107" s="40"/>
      <x:c r="L107" s="40"/>
      <x:c r="M107" s="40"/>
      <x:c r="N107" s="40"/>
      <x:c r="O107" s="40"/>
    </x:row>
    <x:row r="108">
      <x:c r="A108" s="43" t="n">
        <x:v>48.10592529594619</x:v>
      </x:c>
      <x:c r="B108" s="43" t="n">
        <x:v>6.032663128675975e-8</x:v>
      </x:c>
      <x:c r="C108" s="43" t="n">
        <x:v>-150.02220610242242</x:v>
      </x:c>
      <x:c r="D108" s="40"/>
      <x:c r="E108" s="43" t="n">
        <x:v>2</x:v>
      </x:c>
      <x:c r="F108" s="43" t="n">
        <x:v>30</x:v>
      </x:c>
      <x:c r="G108" s="43" t="n">
        <x:v>1</x:v>
      </x:c>
      <x:c r="H108" s="43" t="n">
        <x:v>0.07407500043350268</x:v>
      </x:c>
      <x:c r="I108" s="40"/>
      <x:c r="J108" s="40"/>
      <x:c r="K108" s="40"/>
      <x:c r="L108" s="40"/>
      <x:c r="M108" s="40"/>
      <x:c r="N108" s="40"/>
      <x:c r="O108" s="40"/>
    </x:row>
    <x:row r="109">
      <x:c r="A109" s="43" t="n">
        <x:v>48.82243164364689</x:v>
      </x:c>
      <x:c r="B109" s="43" t="n">
        <x:v>5.886865390210492e-8</x:v>
      </x:c>
      <x:c r="C109" s="43" t="n">
        <x:v>-150.10126988101928</x:v>
      </x:c>
      <x:c r="D109" s="40"/>
      <x:c r="E109" s="43" t="n">
        <x:v>2</x:v>
      </x:c>
      <x:c r="F109" s="43" t="n">
        <x:v>35</x:v>
      </x:c>
      <x:c r="G109" s="43" t="n">
        <x:v>1.1666666666666667</x:v>
      </x:c>
      <x:c r="H109" s="43" t="n">
        <x:v>0.09259166623316406</x:v>
      </x:c>
      <x:c r="I109" s="40"/>
      <x:c r="J109" s="40"/>
      <x:c r="K109" s="40"/>
      <x:c r="L109" s="40"/>
      <x:c r="M109" s="40"/>
      <x:c r="N109" s="40"/>
      <x:c r="O109" s="40"/>
    </x:row>
    <x:row r="110">
      <x:c r="A110" s="43" t="n">
        <x:v>49.538937991347574</x:v>
      </x:c>
      <x:c r="B110" s="43" t="n">
        <x:v>5.746436111923252e-8</x:v>
      </x:c>
      <x:c r="C110" s="43" t="n">
        <x:v>-150.1815290658191</x:v>
      </x:c>
      <x:c r="D110" s="40"/>
      <x:c r="E110" s="43" t="n">
        <x:v>2</x:v>
      </x:c>
      <x:c r="F110" s="43" t="n">
        <x:v>40</x:v>
      </x:c>
      <x:c r="G110" s="43" t="n">
        <x:v>1.3333333333333333</x:v>
      </x:c>
      <x:c r="H110" s="43" t="n">
        <x:v>0.2592583328998306</x:v>
      </x:c>
      <x:c r="I110" s="40"/>
      <x:c r="J110" s="40"/>
      <x:c r="K110" s="40"/>
      <x:c r="L110" s="40"/>
      <x:c r="M110" s="40"/>
      <x:c r="N110" s="40"/>
      <x:c r="O110" s="40"/>
    </x:row>
    <x:row r="111">
      <x:c r="A111" s="43" t="n">
        <x:v>50.25544433904827</x:v>
      </x:c>
      <x:c r="B111" s="43" t="n">
        <x:v>5.611092874716067e-8</x:v>
      </x:c>
      <x:c r="C111" s="43" t="n">
        <x:v>-150.2626629394135</x:v>
      </x:c>
      <x:c r="D111" s="40"/>
      <x:c r="E111" s="43" t="n">
        <x:v>2</x:v>
      </x:c>
      <x:c r="F111" s="43" t="n">
        <x:v>45</x:v>
      </x:c>
      <x:c r="G111" s="43" t="n">
        <x:v>1.5</x:v>
      </x:c>
      <x:c r="H111" s="43" t="n">
        <x:v>0.4259249995664973</x:v>
      </x:c>
      <x:c r="I111" s="40"/>
      <x:c r="J111" s="40"/>
      <x:c r="K111" s="40"/>
      <x:c r="L111" s="40"/>
      <x:c r="M111" s="40"/>
      <x:c r="N111" s="40"/>
      <x:c r="O111" s="40"/>
    </x:row>
    <x:row r="112">
      <x:c r="A112" s="43" t="n">
        <x:v>50.971950686748954</x:v>
      </x:c>
      <x:c r="B112" s="43" t="n">
        <x:v>5.48057550469303e-8</x:v>
      </x:c>
      <x:c r="C112" s="43" t="n">
        <x:v>-150.34437616680523</x:v>
      </x:c>
      <x:c r="D112" s="40"/>
      <x:c r="E112" s="43" t="n">
        <x:v>2</x:v>
      </x:c>
      <x:c r="F112" s="43" t="n">
        <x:v>50</x:v>
      </x:c>
      <x:c r="G112" s="43" t="n">
        <x:v>1.6666666666666667</x:v>
      </x:c>
      <x:c r="H112" s="43" t="n">
        <x:v>0.5925916662331641</x:v>
      </x:c>
      <x:c r="I112" s="40"/>
      <x:c r="J112" s="40"/>
      <x:c r="K112" s="40"/>
      <x:c r="L112" s="40"/>
      <x:c r="M112" s="40"/>
      <x:c r="N112" s="40"/>
      <x:c r="O112" s="40"/>
    </x:row>
    <x:row r="113">
      <x:c r="A113" s="43" t="n">
        <x:v>51.68845703444964</x:v>
      </x:c>
      <x:c r="B113" s="43" t="n">
        <x:v>5.354643575436773e-8</x:v>
      </x:c>
      <x:c r="C113" s="43" t="n">
        <x:v>-150.42639912287703</x:v>
      </x:c>
      <x:c r="D113" s="40"/>
      <x:c r="E113" s="43" t="n">
        <x:v>2</x:v>
      </x:c>
      <x:c r="F113" s="43" t="n">
        <x:v>55</x:v>
      </x:c>
      <x:c r="G113" s="43" t="n">
        <x:v>1.8333333333333333</x:v>
      </x:c>
      <x:c r="H113" s="43" t="n">
        <x:v>0.7592583328998306</x:v>
      </x:c>
      <x:c r="I113" s="40"/>
      <x:c r="J113" s="40"/>
      <x:c r="K113" s="40"/>
      <x:c r="L113" s="40"/>
      <x:c r="M113" s="40"/>
      <x:c r="N113" s="40"/>
      <x:c r="O113" s="40"/>
    </x:row>
    <x:row r="114">
      <x:c r="A114" s="43" t="n">
        <x:v>52.404963382150335</x:v>
      </x:c>
      <x:c r="B114" s="43" t="n">
        <x:v>5.233074245227223e-8</x:v>
      </x:c>
      <x:c r="C114" s="43" t="n">
        <x:v>-150.50848763902212</x:v>
      </x:c>
      <x:c r="D114" s="40"/>
      <x:c r="E114" s="43" t="n">
        <x:v>2</x:v>
      </x:c>
      <x:c r="F114" s="43" t="n">
        <x:v>60</x:v>
      </x:c>
      <x:c r="G114" s="43" t="n">
        <x:v>2</x:v>
      </x:c>
      <x:c r="H114" s="43" t="n">
        <x:v>0.9259249995664973</x:v>
      </x:c>
      <x:c r="I114" s="40"/>
      <x:c r="J114" s="40"/>
      <x:c r="K114" s="40"/>
      <x:c r="L114" s="40"/>
      <x:c r="M114" s="40"/>
      <x:c r="N114" s="40"/>
      <x:c r="O114" s="40"/>
    </x:row>
    <x:row r="115">
      <x:c r="A115" s="43" t="n">
        <x:v>53.12146972985102</x:v>
      </x:c>
      <x:c r="B115" s="43" t="n">
        <x:v>5.115660383161161e-8</x:v>
      </x:c>
      <x:c r="C115" s="43" t="n">
        <x:v>-150.5904223148243</x:v>
      </x:c>
      <x:c r="D115" s="40"/>
      <x:c r="E115" s="43" t="n">
        <x:v>2</x:v>
      </x:c>
      <x:c r="F115" s="43" t="n">
        <x:v>65</x:v>
      </x:c>
      <x:c r="G115" s="43" t="n">
        <x:v>2.1666666666666665</x:v>
      </x:c>
      <x:c r="H115" s="43" t="n">
        <x:v>1.0925916662331638</x:v>
      </x:c>
      <x:c r="I115" s="40"/>
      <x:c r="J115" s="40"/>
      <x:c r="K115" s="40"/>
      <x:c r="L115" s="40"/>
      <x:c r="M115" s="40"/>
      <x:c r="N115" s="40"/>
      <x:c r="O115" s="40"/>
    </x:row>
    <x:row r="116">
      <x:c r="A116" s="43" t="n">
        <x:v>53.837976077551716</x:v>
      </x:c>
      <x:c r="B116" s="43" t="n">
        <x:v>5.0022089439483556e-8</x:v>
      </x:c>
      <x:c r="C116" s="43" t="n">
        <x:v>-150.67200751405613</x:v>
      </x:c>
      <x:c r="D116" s="40"/>
      <x:c r="E116" s="43" t="n">
        <x:v>2</x:v>
      </x:c>
      <x:c r="F116" s="43" t="n">
        <x:v>70</x:v>
      </x:c>
      <x:c r="G116" s="43" t="n">
        <x:v>2.3333333333333335</x:v>
      </x:c>
      <x:c r="H116" s="43" t="n">
        <x:v>1.2592583328998308</x:v>
      </x:c>
      <x:c r="I116" s="40"/>
      <x:c r="J116" s="40"/>
      <x:c r="K116" s="40"/>
      <x:c r="L116" s="40"/>
      <x:c r="M116" s="40"/>
      <x:c r="N116" s="40"/>
      <x:c r="O116" s="40"/>
    </x:row>
    <x:row r="117">
      <x:c r="A117" s="43" t="n">
        <x:v>54.5544824252524</x:v>
      </x:c>
      <x:c r="B117" s="43" t="n">
        <x:v>4.892539556401615e-8</x:v>
      </x:c>
      <x:c r="C117" s="43" t="n">
        <x:v>-150.75307014147506</x:v>
      </x:c>
      <x:c r="D117" s="40"/>
      <x:c r="E117" s="43" t="n">
        <x:v>2</x:v>
      </x:c>
      <x:c r="F117" s="43" t="n">
        <x:v>75</x:v>
      </x:c>
      <x:c r="G117" s="43" t="n">
        <x:v>2.5</x:v>
      </x:c>
      <x:c r="H117" s="43" t="n">
        <x:v>1.4259249995664973</x:v>
      </x:c>
      <x:c r="I117" s="40"/>
      <x:c r="J117" s="40"/>
      <x:c r="K117" s="40"/>
      <x:c r="L117" s="40"/>
      <x:c r="M117" s="40"/>
      <x:c r="N117" s="40"/>
      <x:c r="O117" s="40"/>
    </x:row>
    <x:row r="118">
      <x:c r="A118" s="43" t="n">
        <x:v>55.27098877295309</x:v>
      </x:c>
      <x:c r="B118" s="43" t="n">
        <x:v>4.78648329533645e-8</x:v>
      </x:c>
      <x:c r="C118" s="43" t="n">
        <x:v>-150.83345827753416</x:v>
      </x:c>
      <x:c r="D118" s="40"/>
      <x:c r="E118" s="43" t="n">
        <x:v>2</x:v>
      </x:c>
      <x:c r="F118" s="43" t="n">
        <x:v>80</x:v>
      </x:c>
      <x:c r="G118" s="43" t="n">
        <x:v>2.6666666666666665</x:v>
      </x:c>
      <x:c r="H118" s="43" t="n">
        <x:v>1.5925916662331638</x:v>
      </x:c>
      <x:c r="I118" s="40"/>
      <x:c r="J118" s="40"/>
      <x:c r="K118" s="40"/>
      <x:c r="L118" s="40"/>
      <x:c r="M118" s="40"/>
      <x:c r="N118" s="40"/>
      <x:c r="O118" s="40"/>
    </x:row>
    <x:row r="119">
      <x:c r="A119" s="43" t="n">
        <x:v>55.98749512065378</x:v>
      </x:c>
      <x:c r="B119" s="43" t="n">
        <x:v>4.683881610753411e-8</x:v>
      </x:c>
      <x:c r="C119" s="43" t="n">
        <x:v>-150.91303973203946</x:v>
      </x:c>
      <x:c r="D119" s="40"/>
      <x:c r="E119" s="43" t="n">
        <x:v>2</x:v>
      </x:c>
      <x:c r="F119" s="43" t="n">
        <x:v>85</x:v>
      </x:c>
      <x:c r="G119" s="43" t="n">
        <x:v>2.8333333333333335</x:v>
      </x:c>
      <x:c r="H119" s="43" t="n">
        <x:v>1.7592583328998308</x:v>
      </x:c>
      <x:c r="I119" s="40"/>
      <x:c r="J119" s="40"/>
      <x:c r="K119" s="40"/>
      <x:c r="L119" s="40"/>
      <x:c r="M119" s="40"/>
      <x:c r="N119" s="40"/>
      <x:c r="O119" s="40"/>
    </x:row>
    <x:row r="120">
      <x:c r="A120" s="43" t="n">
        <x:v>56.70400146835446</x:v>
      </x:c>
      <x:c r="B120" s="43" t="n">
        <x:v>4.584585391828629e-8</x:v>
      </x:c>
      <x:c r="C120" s="43" t="n">
        <x:v>-150.9917005641699</x:v>
      </x:c>
      <x:c r="D120" s="40"/>
      <x:c r="E120" s="43" t="n">
        <x:v>2</x:v>
      </x:c>
      <x:c r="F120" s="43" t="n">
        <x:v>90</x:v>
      </x:c>
      <x:c r="G120" s="43" t="n">
        <x:v>3</x:v>
      </x:c>
      <x:c r="H120" s="43" t="n">
        <x:v>1.9259249995664973</x:v>
      </x:c>
      <x:c r="I120" s="40"/>
      <x:c r="J120" s="40"/>
      <x:c r="K120" s="40"/>
      <x:c r="L120" s="40"/>
      <x:c r="M120" s="40"/>
      <x:c r="N120" s="40"/>
      <x:c r="O120" s="40"/>
    </x:row>
    <x:row r="121">
      <x:c r="A121" s="43" t="n">
        <x:v>57.42050781605516</x:v>
      </x:c>
      <x:c r="B121" s="43" t="n">
        <x:v>4.488454146443397e-8</x:v>
      </x:c>
      <x:c r="C121" s="43" t="n">
        <x:v>-151.06934360526424</x:v>
      </x:c>
      <x:c r="D121" s="40"/>
      <x:c r="E121" s="43" t="n">
        <x:v>2</x:v>
      </x:c>
      <x:c r="F121" s="43" t="n">
        <x:v>95</x:v>
      </x:c>
      <x:c r="G121" s="43" t="n">
        <x:v>3.1666666666666665</x:v>
      </x:c>
      <x:c r="H121" s="43" t="n">
        <x:v>2.092591666233164</x:v>
      </x:c>
      <x:c r="I121" s="40"/>
      <x:c r="J121" s="40"/>
      <x:c r="K121" s="40"/>
      <x:c r="L121" s="40"/>
      <x:c r="M121" s="40"/>
      <x:c r="N121" s="40"/>
      <x:c r="O121" s="40"/>
    </x:row>
    <x:row r="122">
      <x:c r="A122" s="43" t="n">
        <x:v>58.13701416375585</x:v>
      </x:c>
      <x:c r="B122" s="43" t="n">
        <x:v>4.395355279758313e-8</x:v>
      </x:c>
      <x:c r="C122" s="43" t="n">
        <x:v>-151.14588701166332</x:v>
      </x:c>
      <x:c r="D122" s="40"/>
      <x:c r="E122" s="43" t="n">
        <x:v>2</x:v>
      </x:c>
      <x:c r="F122" s="43" t="n">
        <x:v>100</x:v>
      </x:c>
      <x:c r="G122" s="43" t="n">
        <x:v>3.3333333333333335</x:v>
      </x:c>
      <x:c r="H122" s="43" t="n">
        <x:v>2.259258332899831</x:v>
      </x:c>
      <x:c r="I122" s="40"/>
      <x:c r="J122" s="40"/>
      <x:c r="K122" s="40"/>
      <x:c r="L122" s="40"/>
      <x:c r="M122" s="40"/>
      <x:c r="N122" s="40"/>
      <x:c r="O122" s="40"/>
    </x:row>
    <x:row r="123">
      <x:c r="A123" s="43" t="n">
        <x:v>58.85352051145654</x:v>
      </x:c>
      <x:c r="B123" s="43" t="n">
        <x:v>4.3051634577457614e-8</x:v>
      </x:c>
      <x:c r="C123" s="43" t="n">
        <x:v>-151.22126286749491</x:v>
      </x:c>
      <x:c r="D123" s="40"/>
      <x:c r="E123" s="43" t="n">
        <x:v>2</x:v>
      </x:c>
      <x:c r="F123" s="43" t="n">
        <x:v>105</x:v>
      </x:c>
      <x:c r="G123" s="43" t="n">
        <x:v>3.5</x:v>
      </x:c>
      <x:c r="H123" s="43" t="n">
        <x:v>2.4259249995664973</x:v>
      </x:c>
      <x:c r="I123" s="40"/>
      <x:c r="J123" s="40"/>
      <x:c r="K123" s="40"/>
      <x:c r="L123" s="40"/>
      <x:c r="M123" s="40"/>
      <x:c r="N123" s="40"/>
      <x:c r="O123" s="40"/>
    </x:row>
    <x:row r="124">
      <x:c r="A124" s="43" t="n">
        <x:v>59.57002685915723</x:v>
      </x:c>
      <x:c r="B124" s="43" t="n">
        <x:v>4.21776004367111e-8</x:v>
      </x:c>
      <x:c r="C124" s="43" t="n">
        <x:v>-151.29541585141652</x:v>
      </x:c>
      <x:c r="D124" s="40"/>
      <x:c r="E124" s="43" t="n">
        <x:v>2</x:v>
      </x:c>
      <x:c r="F124" s="43" t="n">
        <x:v>110</x:v>
      </x:c>
      <x:c r="G124" s="43" t="n">
        <x:v>3.6666666666666665</x:v>
      </x:c>
      <x:c r="H124" s="43" t="n">
        <x:v>2.592591666233164</x:v>
      </x:c>
      <x:c r="I124" s="40"/>
      <x:c r="J124" s="40"/>
      <x:c r="K124" s="40"/>
      <x:c r="L124" s="40"/>
      <x:c r="M124" s="40"/>
      <x:c r="N124" s="40"/>
      <x:c r="O124" s="40"/>
    </x:row>
    <x:row r="125">
      <x:c r="A125" s="43" t="n">
        <x:v>60.28653320685791</x:v>
      </x:c>
      <x:c r="B125" s="43" t="n">
        <x:v>4.133032597289977e-8</x:v>
      </x:c>
      <x:c r="C125" s="43" t="n">
        <x:v>-151.3683019765523</x:v>
      </x:c>
      <x:c r="D125" s="40"/>
      <x:c r="E125" s="43" t="n">
        <x:v>2</x:v>
      </x:c>
      <x:c r="F125" s="43" t="n">
        <x:v>115</x:v>
      </x:c>
      <x:c r="G125" s="43" t="n">
        <x:v>3.8333333333333335</x:v>
      </x:c>
      <x:c r="H125" s="43" t="n">
        <x:v>2.759258332899831</x:v>
      </x:c>
      <x:c r="I125" s="40"/>
      <x:c r="J125" s="40"/>
      <x:c r="K125" s="40"/>
      <x:c r="L125" s="40"/>
      <x:c r="M125" s="40"/>
      <x:c r="N125" s="40"/>
      <x:c r="O125" s="40"/>
    </x:row>
    <x:row r="126">
      <x:c r="A126" s="43" t="n">
        <x:v>61.003039554558605</x:v>
      </x:c>
      <x:c r="B126" s="43" t="n">
        <x:v>4.0508744280566694e-8</x:v>
      </x:c>
      <x:c r="C126" s="43" t="n">
        <x:v>-151.43988740925818</x:v>
      </x:c>
      <x:c r="D126" s="40"/>
      <x:c r="E126" s="43" t="n">
        <x:v>2</x:v>
      </x:c>
      <x:c r="F126" s="43" t="n">
        <x:v>120</x:v>
      </x:c>
      <x:c r="G126" s="43" t="n">
        <x:v>4</x:v>
      </x:c>
      <x:c r="H126" s="43" t="n">
        <x:v>2.731119776000174</x:v>
      </x:c>
      <x:c r="I126" s="40"/>
      <x:c r="J126" s="40"/>
      <x:c r="K126" s="40"/>
      <x:c r="L126" s="40"/>
      <x:c r="M126" s="40"/>
      <x:c r="N126" s="40"/>
      <x:c r="O126" s="40"/>
    </x:row>
    <x:row r="127">
      <x:c r="A127" s="43" t="n">
        <x:v>61.7195459022593</x:v>
      </x:c>
      <x:c r="B127" s="43" t="n">
        <x:v>3.9711841949415604e-8</x:v>
      </x:c>
      <x:c r="C127" s="43" t="n">
        <x:v>-151.51014736931327</x:v>
      </x:c>
      <x:c r="D127" s="40"/>
      <x:c r="E127" s="43" t="n">
        <x:v>2</x:v>
      </x:c>
      <x:c r="F127" s="43" t="n">
        <x:v>125</x:v>
      </x:c>
      <x:c r="G127" s="43" t="n">
        <x:v>4.166666666666667</x:v>
      </x:c>
      <x:c r="H127" s="43" t="n">
        <x:v>2.564453109333507</x:v>
      </x:c>
      <x:c r="I127" s="40"/>
      <x:c r="J127" s="40"/>
      <x:c r="K127" s="40"/>
      <x:c r="L127" s="40"/>
      <x:c r="M127" s="40"/>
      <x:c r="N127" s="40"/>
      <x:c r="O127" s="40"/>
    </x:row>
    <x:row r="128">
      <x:c r="A128" s="43" t="n">
        <x:v>62.43605224995998</x:v>
      </x:c>
      <x:c r="B128" s="43" t="n">
        <x:v>3.893865546561722e-8</x:v>
      </x:c>
      <x:c r="C128" s="43" t="n">
        <x:v>-151.57906511210737</x:v>
      </x:c>
      <x:c r="D128" s="40"/>
      <x:c r="E128" s="43" t="n">
        <x:v>2</x:v>
      </x:c>
      <x:c r="F128" s="43" t="n">
        <x:v>130</x:v>
      </x:c>
      <x:c r="G128" s="43" t="n">
        <x:v>4.333333333333333</x:v>
      </x:c>
      <x:c r="H128" s="43" t="n">
        <x:v>2.397786442666841</x:v>
      </x:c>
      <x:c r="I128" s="40"/>
      <x:c r="J128" s="40"/>
      <x:c r="K128" s="40"/>
      <x:c r="L128" s="40"/>
      <x:c r="M128" s="40"/>
      <x:c r="N128" s="40"/>
      <x:c r="O128" s="40"/>
    </x:row>
    <x:row r="129">
      <x:c r="A129" s="43" t="n">
        <x:v>63.15255859766067</x:v>
      </x:c>
      <x:c r="B129" s="43" t="n">
        <x:v>3.8188267962744596e-8</x:v>
      </x:c>
      <x:c r="C129" s="43" t="n">
        <x:v>-151.64663099159543</x:v>
      </x:c>
      <x:c r="D129" s="40"/>
      <x:c r="E129" s="43" t="n">
        <x:v>2</x:v>
      </x:c>
      <x:c r="F129" s="43" t="n">
        <x:v>135</x:v>
      </x:c>
      <x:c r="G129" s="43" t="n">
        <x:v>4.5</x:v>
      </x:c>
      <x:c r="H129" s="43" t="n">
        <x:v>2.231119776000174</x:v>
      </x:c>
      <x:c r="I129" s="40"/>
      <x:c r="J129" s="40"/>
      <x:c r="K129" s="40"/>
      <x:c r="L129" s="40"/>
      <x:c r="M129" s="40"/>
      <x:c r="N129" s="40"/>
      <x:c r="O129" s="40"/>
    </x:row>
    <x:row r="130">
      <x:c r="A130" s="43" t="n">
        <x:v>63.869064945361366</x:v>
      </x:c>
      <x:c r="B130" s="43" t="n">
        <x:v>3.745980627683572e-8</x:v>
      </x:c>
      <x:c r="C130" s="43" t="n">
        <x:v>-151.71284160166908</x:v>
      </x:c>
      <x:c r="D130" s="40"/>
      <x:c r="E130" s="43" t="n">
        <x:v>2</x:v>
      </x:c>
      <x:c r="F130" s="43" t="n">
        <x:v>140</x:v>
      </x:c>
      <x:c r="G130" s="43" t="n">
        <x:v>4.666666666666667</x:v>
      </x:c>
      <x:c r="H130" s="43" t="n">
        <x:v>2.064453109333507</x:v>
      </x:c>
      <x:c r="I130" s="40"/>
      <x:c r="J130" s="40"/>
      <x:c r="K130" s="40"/>
      <x:c r="L130" s="40"/>
      <x:c r="M130" s="40"/>
      <x:c r="N130" s="40"/>
      <x:c r="O130" s="40"/>
    </x:row>
    <x:row r="131">
      <x:c r="A131" s="43" t="n">
        <x:v>64.58557129306205</x:v>
      </x:c>
      <x:c r="B131" s="43" t="n">
        <x:v>3.675243826683992e-8</x:v>
      </x:c>
      <x:c r="C131" s="43" t="n">
        <x:v>-151.7776989926482</x:v>
      </x:c>
      <x:c r="D131" s="40"/>
      <x:c r="E131" s="43" t="n">
        <x:v>2</x:v>
      </x:c>
      <x:c r="F131" s="43" t="n">
        <x:v>145</x:v>
      </x:c>
      <x:c r="G131" s="43" t="n">
        <x:v>4.833333333333333</x:v>
      </x:c>
      <x:c r="H131" s="43" t="n">
        <x:v>1.897786442666841</x:v>
      </x:c>
      <x:c r="I131" s="40"/>
      <x:c r="J131" s="40"/>
      <x:c r="K131" s="40"/>
      <x:c r="L131" s="40"/>
      <x:c r="M131" s="40"/>
      <x:c r="N131" s="40"/>
      <x:c r="O131" s="40"/>
    </x:row>
    <x:row r="132">
      <x:c r="A132" s="43" t="n">
        <x:v>65.30207764076273</x:v>
      </x:c>
      <x:c r="B132" s="43" t="n">
        <x:v>3.606537036748113e-8</x:v>
      </x:c>
      <x:c r="C132" s="43" t="n">
        <x:v>-151.8412099591439</x:v>
      </x:c>
      <x:c r="D132" s="40"/>
      <x:c r="E132" s="43" t="n">
        <x:v>2</x:v>
      </x:c>
      <x:c r="F132" s="43" t="n">
        <x:v>150</x:v>
      </x:c>
      <x:c r="G132" s="43" t="n">
        <x:v>5</x:v>
      </x:c>
      <x:c r="H132" s="43" t="n">
        <x:v>1.731119776000174</x:v>
      </x:c>
      <x:c r="I132" s="40"/>
      <x:c r="J132" s="40"/>
      <x:c r="K132" s="40"/>
      <x:c r="L132" s="40"/>
      <x:c r="M132" s="40"/>
      <x:c r="N132" s="40"/>
      <x:c r="O132" s="40"/>
    </x:row>
    <x:row r="133">
      <x:c r="A133" s="43" t="n">
        <x:v>66.01858398846343</x:v>
      </x:c>
      <x:c r="B133" s="43" t="n">
        <x:v>3.5397845346399746e-8</x:v>
      </x:c>
      <x:c r="C133" s="43" t="n">
        <x:v>-151.90338539502784</x:v>
      </x:c>
      <x:c r="D133" s="40"/>
      <x:c r="E133" s="43" t="n">
        <x:v>2</x:v>
      </x:c>
      <x:c r="F133" s="43" t="n">
        <x:v>155</x:v>
      </x:c>
      <x:c r="G133" s="43" t="n">
        <x:v>5.166666666666667</x:v>
      </x:c>
      <x:c r="H133" s="43" t="n">
        <x:v>1.564453109333507</x:v>
      </x:c>
      <x:c r="I133" s="40"/>
      <x:c r="J133" s="40"/>
      <x:c r="K133" s="40"/>
      <x:c r="L133" s="40"/>
      <x:c r="M133" s="40"/>
      <x:c r="N133" s="40"/>
      <x:c r="O133" s="40"/>
    </x:row>
    <x:row r="134">
      <x:c r="A134" s="43" t="n">
        <x:v>66.7350903361641</x:v>
      </x:c>
      <x:c r="B134" s="43" t="n">
        <x:v>3.4749140241550596e-8</x:v>
      </x:c>
      <x:c r="C134" s="43" t="n">
        <x:v>-151.96423971118594</x:v>
      </x:c>
      <x:c r="D134" s="40"/>
      <x:c r="E134" s="43" t="n">
        <x:v>2</x:v>
      </x:c>
      <x:c r="F134" s="43" t="n">
        <x:v>160</x:v>
      </x:c>
      <x:c r="G134" s="43" t="n">
        <x:v>5.333333333333333</x:v>
      </x:c>
      <x:c r="H134" s="43" t="n">
        <x:v>1.397786442666841</x:v>
      </x:c>
      <x:c r="I134" s="40"/>
      <x:c r="J134" s="40"/>
      <x:c r="K134" s="40"/>
      <x:c r="L134" s="40"/>
      <x:c r="M134" s="40"/>
      <x:c r="N134" s="40"/>
      <x:c r="O134" s="40"/>
    </x:row>
    <x:row r="135">
      <x:c r="A135" s="43" t="n">
        <x:v>67.4515966838648</x:v>
      </x:c>
      <x:c r="B135" s="43" t="n">
        <x:v>3.4118564458303795e-8</x:v>
      </x:c>
      <x:c r="C135" s="43" t="n">
        <x:v>-152.02379031161286</x:v>
      </x:c>
      <x:c r="D135" s="40"/>
      <x:c r="E135" s="43" t="n">
        <x:v>2</x:v>
      </x:c>
      <x:c r="F135" s="43" t="n">
        <x:v>165</x:v>
      </x:c>
      <x:c r="G135" s="43" t="n">
        <x:v>5.5</x:v>
      </x:c>
      <x:c r="H135" s="43" t="n">
        <x:v>1.231119776000174</x:v>
      </x:c>
      <x:c r="I135" s="40"/>
      <x:c r="J135" s="40"/>
      <x:c r="K135" s="40"/>
      <x:c r="L135" s="40"/>
      <x:c r="M135" s="40"/>
      <x:c r="N135" s="40"/>
      <x:c r="O135" s="40"/>
    </x:row>
    <x:row r="136">
      <x:c r="A136" s="43" t="n">
        <x:v>68.1681030315655</x:v>
      </x:c>
      <x:c r="B136" s="43" t="n">
        <x:v>3.350545800862483e-8</x:v>
      </x:c>
      <x:c r="C136" s="43" t="n">
        <x:v>-152.0820571234125</x:v>
      </x:c>
      <x:c r="D136" s="40"/>
      <x:c r="E136" s="43" t="n">
        <x:v>2</x:v>
      </x:c>
      <x:c r="F136" s="43" t="n">
        <x:v>170</x:v>
      </x:c>
      <x:c r="G136" s="43" t="n">
        <x:v>5.666666666666667</x:v>
      </x:c>
      <x:c r="H136" s="43" t="n">
        <x:v>1.064453109333507</x:v>
      </x:c>
      <x:c r="I136" s="40"/>
      <x:c r="J136" s="40"/>
      <x:c r="K136" s="40"/>
      <x:c r="L136" s="40"/>
      <x:c r="M136" s="40"/>
      <x:c r="N136" s="40"/>
      <x:c r="O136" s="40"/>
    </x:row>
    <x:row r="137">
      <x:c r="A137" s="43" t="n">
        <x:v>68.88460937926618</x:v>
      </x:c>
      <x:c r="B137" s="43" t="n">
        <x:v>3.290918987717021e-8</x:v>
      </x:c>
      <x:c r="C137" s="43" t="n">
        <x:v>-152.13906217648992</x:v>
      </x:c>
      <x:c r="D137" s="40"/>
      <x:c r="E137" s="43" t="n">
        <x:v>2</x:v>
      </x:c>
      <x:c r="F137" s="43" t="n">
        <x:v>175</x:v>
      </x:c>
      <x:c r="G137" s="43" t="n">
        <x:v>5.833333333333333</x:v>
      </x:c>
      <x:c r="H137" s="43" t="n">
        <x:v>0.8977864426668409</x:v>
      </x:c>
      <x:c r="I137" s="40"/>
      <x:c r="J137" s="40"/>
      <x:c r="K137" s="40"/>
      <x:c r="L137" s="40"/>
      <x:c r="M137" s="40"/>
      <x:c r="N137" s="40"/>
      <x:c r="O137" s="40"/>
    </x:row>
    <x:row r="138">
      <x:c r="A138" s="43" t="n">
        <x:v>69.60111572696688</x:v>
      </x:c>
      <x:c r="B138" s="43" t="n">
        <x:v>3.2329156501261937e-8</x:v>
      </x:c>
      <x:c r="C138" s="43" t="n">
        <x:v>-152.19482922872157</x:v>
      </x:c>
      <x:c r="D138" s="40"/>
      <x:c r="E138" s="43" t="n">
        <x:v>2</x:v>
      </x:c>
      <x:c r="F138" s="43" t="n">
        <x:v>180</x:v>
      </x:c>
      <x:c r="G138" s="43" t="n">
        <x:v>6</x:v>
      </x:c>
      <x:c r="H138" s="43" t="n">
        <x:v>0.731119776000174</x:v>
      </x:c>
      <x:c r="I138" s="40"/>
      <x:c r="J138" s="40"/>
      <x:c r="K138" s="40"/>
      <x:c r="L138" s="40"/>
      <x:c r="M138" s="40"/>
      <x:c r="N138" s="40"/>
      <x:c r="O138" s="40"/>
    </x:row>
    <x:row r="139">
      <x:c r="A139" s="43" t="n">
        <x:v>70.31762207466755</x:v>
      </x:c>
      <x:c r="B139" s="43" t="n">
        <x:v>3.176478035343061e-8</x:v>
      </x:c>
      <x:c r="C139" s="43" t="n">
        <x:v>-152.24938343276654</x:v>
      </x:c>
      <x:c r="D139" s="40"/>
      <x:c r="E139" s="43" t="n">
        <x:v>2</x:v>
      </x:c>
      <x:c r="F139" s="43" t="n">
        <x:v>185</x:v>
      </x:c>
      <x:c r="G139" s="43" t="n">
        <x:v>6.166666666666667</x:v>
      </x:c>
      <x:c r="H139" s="43" t="n">
        <x:v>0.564453109333507</x:v>
      </x:c>
      <x:c r="I139" s="40"/>
      <x:c r="J139" s="40"/>
      <x:c r="K139" s="40"/>
      <x:c r="L139" s="40"/>
      <x:c r="M139" s="40"/>
      <x:c r="N139" s="40"/>
      <x:c r="O139" s="40"/>
    </x:row>
    <x:row r="140">
      <x:c r="A140" s="43" t="n">
        <x:v>71.03412842236825</x:v>
      </x:c>
      <x:c r="B140" s="43" t="n">
        <x:v>3.12155086167424e-8</x:v>
      </x:c>
      <x:c r="C140" s="43" t="n">
        <x:v>-152.30275104073735</x:v>
      </x:c>
      <x:c r="D140" s="40"/>
      <x:c r="E140" s="43" t="n">
        <x:v>2</x:v>
      </x:c>
      <x:c r="F140" s="43" t="n">
        <x:v>190</x:v>
      </x:c>
      <x:c r="G140" s="43" t="n">
        <x:v>6.333333333333333</x:v>
      </x:c>
      <x:c r="H140" s="43" t="n">
        <x:v>0.39778644266684093</x:v>
      </x:c>
      <x:c r="I140" s="40"/>
      <x:c r="J140" s="40"/>
      <x:c r="K140" s="40"/>
      <x:c r="L140" s="40"/>
      <x:c r="M140" s="40"/>
      <x:c r="N140" s="40"/>
      <x:c r="O140" s="40"/>
    </x:row>
    <x:row r="141">
      <x:c r="A141" s="43" t="n">
        <x:v>71.75063477006893</x:v>
      </x:c>
      <x:c r="B141" s="43" t="n">
        <x:v>3.0680811944391666e-8</x:v>
      </x:c>
      <x:c r="C141" s="43" t="n">
        <x:v>-152.35495914330536</x:v>
      </x:c>
      <x:c r="D141" s="40"/>
      <x:c r="E141" s="43" t="n">
        <x:v>2</x:v>
      </x:c>
      <x:c r="F141" s="43" t="n">
        <x:v>195</x:v>
      </x:c>
      <x:c r="G141" s="43" t="n">
        <x:v>6.5</x:v>
      </x:c>
      <x:c r="H141" s="43" t="n">
        <x:v>0.23111977600017397</x:v>
      </x:c>
      <x:c r="I141" s="40"/>
      <x:c r="J141" s="40"/>
      <x:c r="K141" s="40"/>
      <x:c r="L141" s="40"/>
      <x:c r="M141" s="40"/>
      <x:c r="N141" s="40"/>
      <x:c r="O141" s="40"/>
    </x:row>
    <x:row r="142">
      <x:c r="A142" s="43" t="n">
        <x:v>72.46714111776963</x:v>
      </x:c>
      <x:c r="B142" s="43" t="n">
        <x:v>3.016018329610288e-8</x:v>
      </x:c>
      <x:c r="C142" s="43" t="n">
        <x:v>-152.40603543996284</x:v>
      </x:c>
      <x:c r="D142" s="40"/>
      <x:c r="E142" s="43" t="n">
        <x:v>2</x:v>
      </x:c>
      <x:c r="F142" s="43" t="n">
        <x:v>200</x:v>
      </x:c>
      <x:c r="G142" s="43" t="n">
        <x:v>6.666666666666667</x:v>
      </x:c>
      <x:c r="H142" s="43" t="n">
        <x:v>0.06445310933350701</x:v>
      </x:c>
      <x:c r="I142" s="40"/>
      <x:c r="J142" s="40"/>
      <x:c r="K142" s="40"/>
      <x:c r="L142" s="40"/>
      <x:c r="M142" s="40"/>
      <x:c r="N142" s="40"/>
      <x:c r="O142" s="40"/>
    </x:row>
    <x:row r="143">
      <x:c r="A143" s="43" t="n">
        <x:v>73.18364746547032</x:v>
      </x:c>
      <x:c r="B143" s="43" t="n">
        <x:v>2.965313684480856e-8</x:v>
      </x:c>
      <x:c r="C143" s="43" t="n">
        <x:v>-152.45600803746274</x:v>
      </x:c>
      <x:c r="D143" s="40"/>
      <x:c r="E143" s="43" t="n">
        <x:v>2</x:v>
      </x:c>
      <x:c r="F143" s="43" t="n">
        <x:v>205</x:v>
      </x:c>
      <x:c r="G143" s="43" t="n">
        <x:v>6.833333333333333</x:v>
      </x:c>
      <x:c r="H143" s="43" t="n">
        <x:v>0.10221355733315907</x:v>
      </x:c>
      <x:c r="I143" s="40"/>
      <x:c r="J143" s="40"/>
      <x:c r="K143" s="40"/>
      <x:c r="L143" s="40"/>
      <x:c r="M143" s="40"/>
      <x:c r="N143" s="40"/>
      <x:c r="O143" s="40"/>
    </x:row>
    <x:row r="144">
      <x:c r="A144" s="43" t="n">
        <x:v>73.900153813171</x:v>
      </x:c>
      <x:c r="B144" s="43" t="n">
        <x:v>2.9159206947858845e-8</x:v>
      </x:c>
      <x:c r="C144" s="43" t="n">
        <x:v>-152.50490527365963</x:v>
      </x:c>
      <x:c r="D144" s="40"/>
      <x:c r="E144" s="43" t="n">
        <x:v>2</x:v>
      </x:c>
      <x:c r="F144" s="43" t="n">
        <x:v>210</x:v>
      </x:c>
      <x:c r="G144" s="43" t="n">
        <x:v>7</x:v>
      </x:c>
      <x:c r="H144" s="43" t="n">
        <x:v>0.26888022399982603</x:v>
      </x:c>
      <x:c r="I144" s="40"/>
      <x:c r="J144" s="40"/>
      <x:c r="K144" s="40"/>
      <x:c r="L144" s="40"/>
      <x:c r="M144" s="40"/>
      <x:c r="N144" s="40"/>
      <x:c r="O144" s="40"/>
    </x:row>
    <x:row r="145">
      <x:c r="A145" s="43" t="n">
        <x:v>74.6166601608717</x:v>
      </x:c>
      <x:c r="B145" s="43" t="n">
        <x:v>2.8677947177653097e-8</x:v>
      </x:c>
      <x:c r="C145" s="43" t="n">
        <x:v>-152.55275556418368</x:v>
      </x:c>
      <x:c r="D145" s="40"/>
      <x:c r="E145" s="43" t="n">
        <x:v>2</x:v>
      </x:c>
      <x:c r="F145" s="43" t="n">
        <x:v>215</x:v>
      </x:c>
      <x:c r="G145" s="43" t="n">
        <x:v>7.166666666666667</x:v>
      </x:c>
      <x:c r="H145" s="43" t="n">
        <x:v>0.435546890666493</x:v>
      </x:c>
      <x:c r="I145" s="40"/>
      <x:c r="J145" s="40"/>
      <x:c r="K145" s="40"/>
      <x:c r="L145" s="40"/>
      <x:c r="M145" s="40"/>
      <x:c r="N145" s="40"/>
      <x:c r="O145" s="40"/>
    </x:row>
    <x:row r="146">
      <x:c r="A146" s="43" t="n">
        <x:v>75.33316650857239</x:v>
      </x:c>
      <x:c r="B146" s="43" t="n">
        <x:v>2.82089294071925e-8</x:v>
      </x:c>
      <x:c r="C146" s="43" t="n">
        <x:v>-152.59958726963274</x:v>
      </x:c>
      <x:c r="D146" s="40"/>
      <x:c r="E146" s="43" t="n">
        <x:v>2</x:v>
      </x:c>
      <x:c r="F146" s="43" t="n">
        <x:v>220</x:v>
      </x:c>
      <x:c r="G146" s="43" t="n">
        <x:v>7.333333333333333</x:v>
      </x:c>
      <x:c r="H146" s="43" t="n">
        <x:v>0.6022135573331591</x:v>
      </x:c>
      <x:c r="I146" s="40"/>
      <x:c r="J146" s="40"/>
      <x:c r="K146" s="40"/>
      <x:c r="L146" s="40"/>
      <x:c r="M146" s="40"/>
      <x:c r="N146" s="40"/>
      <x:c r="O146" s="40"/>
    </x:row>
    <x:row r="147">
      <x:c r="A147" s="43" t="n">
        <x:v>76.04967285627308</x:v>
      </x:c>
      <x:c r="B147" s="43" t="n">
        <x:v>2.7751742946497167e-8</x:v>
      </x:c>
      <x:c r="C147" s="43" t="n">
        <x:v>-152.64542858112637</x:v>
      </x:c>
      <x:c r="D147" s="40"/>
      <x:c r="E147" s="43" t="n">
        <x:v>2</x:v>
      </x:c>
      <x:c r="F147" s="43" t="n">
        <x:v>225</x:v>
      </x:c>
      <x:c r="G147" s="43" t="n">
        <x:v>7.5</x:v>
      </x:c>
      <x:c r="H147" s="43" t="n">
        <x:v>0.768880223999826</x:v>
      </x:c>
      <x:c r="I147" s="40"/>
      <x:c r="J147" s="40"/>
      <x:c r="K147" s="40"/>
      <x:c r="L147" s="40"/>
      <x:c r="M147" s="40"/>
      <x:c r="N147" s="40"/>
      <x:c r="O147" s="40"/>
    </x:row>
    <x:row r="148">
      <x:c r="A148" s="43" t="n">
        <x:v>76.76617920397376</x:v>
      </x:c>
      <x:c r="B148" s="43" t="n">
        <x:v>2.7305993726291482e-8</x:v>
      </x:c>
      <x:c r="C148" s="43" t="n">
        <x:v>-152.69030742229998</x:v>
      </x:c>
      <x:c r="D148" s="40"/>
      <x:c r="E148" s="43" t="n">
        <x:v>2</x:v>
      </x:c>
      <x:c r="F148" s="43" t="n">
        <x:v>230</x:v>
      </x:c>
      <x:c r="G148" s="43" t="n">
        <x:v>7.666666666666667</x:v>
      </x:c>
      <x:c r="H148" s="43" t="n">
        <x:v>0.935546890666493</x:v>
      </x:c>
      <x:c r="I148" s="40"/>
      <x:c r="J148" s="40"/>
      <x:c r="K148" s="40"/>
      <x:c r="L148" s="40"/>
      <x:c r="M148" s="40"/>
      <x:c r="N148" s="40"/>
      <x:c r="O148" s="40"/>
    </x:row>
    <x:row r="149">
      <x:c r="A149" s="43" t="n">
        <x:v>77.48268555167446</x:v>
      </x:c>
      <x:c r="B149" s="43" t="n">
        <x:v>2.6871303525685346e-8</x:v>
      </x:c>
      <x:c r="C149" s="43" t="n">
        <x:v>-152.7342513659283</x:v>
      </x:c>
      <x:c r="D149" s="40"/>
      <x:c r="E149" s="43" t="n">
        <x:v>2</x:v>
      </x:c>
      <x:c r="F149" s="43" t="n">
        <x:v>235</x:v>
      </x:c>
      <x:c r="G149" s="43" t="n">
        <x:v>7.833333333333333</x:v>
      </x:c>
      <x:c r="H149" s="43" t="n">
        <x:v>1.102213557333159</x:v>
      </x:c>
      <x:c r="I149" s="40"/>
      <x:c r="J149" s="40"/>
      <x:c r="K149" s="40"/>
      <x:c r="L149" s="40"/>
      <x:c r="M149" s="40"/>
      <x:c r="N149" s="40"/>
      <x:c r="O149" s="40"/>
    </x:row>
    <x:row r="150">
      <x:c r="A150" s="43" t="n">
        <x:v>78.19919189937514</x:v>
      </x:c>
      <x:c r="B150" s="43" t="n">
        <x:v>2.6447309240917413e-8</x:v>
      </x:c>
      <x:c r="C150" s="43" t="n">
        <x:v>-152.7772875636264</x:v>
      </x:c>
      <x:c r="D150" s="40"/>
      <x:c r="E150" s="43" t="n">
        <x:v>2</x:v>
      </x:c>
      <x:c r="F150" s="43" t="n">
        <x:v>240</x:v>
      </x:c>
      <x:c r="G150" s="43" t="n">
        <x:v>8</x:v>
      </x:c>
      <x:c r="H150" s="43" t="n">
        <x:v>1.268880223999826</x:v>
      </x:c>
      <x:c r="I150" s="40"/>
      <x:c r="J150" s="40"/>
      <x:c r="K150" s="40"/>
      <x:c r="L150" s="40"/>
      <x:c r="M150" s="40"/>
      <x:c r="N150" s="40"/>
      <x:c r="O150" s="40"/>
    </x:row>
    <x:row r="151">
      <x:c r="A151" s="43" t="n">
        <x:v>78.91569824707584</x:v>
      </x:c>
      <x:c r="B151" s="43" t="n">
        <x:v>2.6033662192499998e-8</x:v>
      </x:c>
      <x:c r="C151" s="43" t="n">
        <x:v>-152.81944268710325</x:v>
      </x:c>
      <x:c r="D151" s="40"/>
      <x:c r="E151" s="43" t="n">
        <x:v>2</x:v>
      </x:c>
      <x:c r="F151" s="43" t="n">
        <x:v>245</x:v>
      </x:c>
      <x:c r="G151" s="43" t="n">
        <x:v>8.166666666666666</x:v>
      </x:c>
      <x:c r="H151" s="43" t="n">
        <x:v>1.435546890666492</x:v>
      </x:c>
      <x:c r="I151" s="40"/>
      <x:c r="J151" s="40"/>
      <x:c r="K151" s="40"/>
      <x:c r="L151" s="40"/>
      <x:c r="M151" s="40"/>
      <x:c r="N151" s="40"/>
      <x:c r="O151" s="40"/>
    </x:row>
    <x:row r="152">
      <x:c r="A152" s="43" t="n">
        <x:v>79.63220459477652</x:v>
      </x:c>
      <x:c r="B152" s="43" t="n">
        <x:v>2.563002746831304e-8</x:v>
      </x:c>
      <x:c r="C152" s="43" t="n">
        <x:v>-152.8607428797415</x:v>
      </x:c>
      <x:c r="D152" s="40"/>
      <x:c r="E152" s="43" t="n">
        <x:v>2</x:v>
      </x:c>
      <x:c r="F152" s="43" t="n">
        <x:v>250</x:v>
      </x:c>
      <x:c r="G152" s="43" t="n">
        <x:v>8.333333333333334</x:v>
      </x:c>
      <x:c r="H152" s="43" t="n">
        <x:v>1.60221355733316</x:v>
      </x:c>
      <x:c r="I152" s="40"/>
      <x:c r="J152" s="40"/>
      <x:c r="K152" s="40"/>
      <x:c r="L152" s="40"/>
      <x:c r="M152" s="40"/>
      <x:c r="N152" s="40"/>
      <x:c r="O152" s="40"/>
    </x:row>
    <x:row r="153">
      <x:c r="A153" s="43" t="n">
        <x:v>80.34871094247721</x:v>
      </x:c>
      <x:c r="B153" s="43" t="n">
        <x:v>2.5236083300446483e-8</x:v>
      </x:c>
      <x:c r="C153" s="43" t="n">
        <x:v>-152.90121371723146</x:v>
      </x:c>
      <x:c r="D153" s="40"/>
      <x:c r="E153" s="43" t="n">
        <x:v>2</x:v>
      </x:c>
      <x:c r="F153" s="43" t="n">
        <x:v>255</x:v>
      </x:c>
      <x:c r="G153" s="43" t="n">
        <x:v>8.5</x:v>
      </x:c>
      <x:c r="H153" s="43" t="n">
        <x:v>1.768880223999826</x:v>
      </x:c>
      <x:c r="I153" s="40"/>
      <x:c r="J153" s="40"/>
      <x:c r="K153" s="40"/>
      <x:c r="L153" s="40"/>
      <x:c r="M153" s="40"/>
      <x:c r="N153" s="40"/>
      <x:c r="O153" s="40"/>
    </x:row>
    <x:row r="154">
      <x:c r="A154" s="43" t="n">
        <x:v>81.06521729017791</x:v>
      </x:c>
      <x:c r="B154" s="43" t="n">
        <x:v>2.485152047373698e-8</x:v>
      </x:c>
      <x:c r="C154" s="43" t="n">
        <x:v>-152.94088017624455</x:v>
      </x:c>
      <x:c r="D154" s="40"/>
      <x:c r="E154" s="43" t="n">
        <x:v>2</x:v>
      </x:c>
      <x:c r="F154" s="43" t="n">
        <x:v>260</x:v>
      </x:c>
      <x:c r="G154" s="43" t="n">
        <x:v>8.666666666666666</x:v>
      </x:c>
      <x:c r="H154" s="43" t="n">
        <x:v>1.935546890666492</x:v>
      </x:c>
      <x:c r="I154" s="40"/>
      <x:c r="J154" s="40"/>
      <x:c r="K154" s="40"/>
      <x:c r="L154" s="40"/>
      <x:c r="M154" s="40"/>
      <x:c r="N154" s="40"/>
      <x:c r="O154" s="40"/>
    </x:row>
    <x:row r="155">
      <x:c r="A155" s="43" t="n">
        <x:v>81.78172363787859</x:v>
      </x:c>
      <x:c r="B155" s="43" t="n">
        <x:v>2.4476041764126196e-8</x:v>
      </x:c>
      <x:c r="C155" s="43" t="n">
        <x:v>-152.9797666101631</x:v>
      </x:c>
      <x:c r="D155" s="40"/>
      <x:c r="E155" s="43" t="n">
        <x:v>2</x:v>
      </x:c>
      <x:c r="F155" s="43" t="n">
        <x:v>265</x:v>
      </x:c>
      <x:c r="G155" s="43" t="n">
        <x:v>8.833333333333334</x:v>
      </x:c>
      <x:c r="H155" s="43" t="n">
        <x:v>2.10221355733316</x:v>
      </x:c>
      <x:c r="I155" s="40"/>
      <x:c r="J155" s="40"/>
      <x:c r="K155" s="40"/>
      <x:c r="L155" s="40"/>
      <x:c r="M155" s="40"/>
      <x:c r="N155" s="40"/>
      <x:c r="O155" s="40"/>
    </x:row>
    <x:row r="156">
      <x:c r="A156" s="43" t="n">
        <x:v>82.49822998557929</x:v>
      </x:c>
      <x:c r="B156" s="43" t="n">
        <x:v>2.4109361405112046e-8</x:v>
      </x:c>
      <x:c r="C156" s="43" t="n">
        <x:v>-153.01789673102007</x:v>
      </x:c>
      <x:c r="D156" s="40"/>
      <x:c r="E156" s="43" t="n">
        <x:v>2</x:v>
      </x:c>
      <x:c r="F156" s="43" t="n">
        <x:v>270</x:v>
      </x:c>
      <x:c r="G156" s="43" t="n">
        <x:v>9</x:v>
      </x:c>
      <x:c r="H156" s="43" t="n">
        <x:v>2.268880223999826</x:v>
      </x:c>
      <x:c r="I156" s="40"/>
      <x:c r="J156" s="40"/>
      <x:c r="K156" s="40"/>
      <x:c r="L156" s="40"/>
      <x:c r="M156" s="40"/>
      <x:c r="N156" s="40"/>
      <x:c r="O156" s="40"/>
    </x:row>
    <x:row r="157">
      <x:c r="A157" s="43" t="n">
        <x:v>83.21473633327996</x:v>
      </x:c>
      <x:c r="B157" s="43" t="n">
        <x:v>2.3751204580674987e-8</x:v>
      </x:c>
      <x:c r="C157" s="43" t="n">
        <x:v>-153.05529359685468</x:v>
      </x:c>
      <x:c r="D157" s="40"/>
      <x:c r="E157" s="43" t="n">
        <x:v>2</x:v>
      </x:c>
      <x:c r="F157" s="43" t="n">
        <x:v>275</x:v>
      </x:c>
      <x:c r="G157" s="43" t="n">
        <x:v>9.166666666666666</x:v>
      </x:c>
      <x:c r="H157" s="43" t="n">
        <x:v>2.435546890666492</x:v>
      </x:c>
      <x:c r="I157" s="40"/>
      <x:c r="J157" s="40"/>
      <x:c r="K157" s="40"/>
      <x:c r="L157" s="40"/>
      <x:c r="M157" s="40"/>
      <x:c r="N157" s="40"/>
      <x:c r="O157" s="40"/>
    </x:row>
    <x:row r="158">
      <x:c r="A158" s="43" t="n">
        <x:v>83.93124268098066</x:v>
      </x:c>
      <x:c r="B158" s="43" t="n">
        <x:v>2.340130694320235e-8</x:v>
      </x:c>
      <x:c r="C158" s="43" t="n">
        <x:v>-153.09197960379996</x:v>
      </x:c>
      <x:c r="D158" s="40"/>
      <x:c r="E158" s="43" t="n">
        <x:v>2</x:v>
      </x:c>
      <x:c r="F158" s="43" t="n">
        <x:v>280</x:v>
      </x:c>
      <x:c r="G158" s="43" t="n">
        <x:v>9.333333333333334</x:v>
      </x:c>
      <x:c r="H158" s="43" t="n">
        <x:v>2.60221355733316</x:v>
      </x:c>
      <x:c r="I158" s="40"/>
      <x:c r="J158" s="40"/>
      <x:c r="K158" s="40"/>
      <x:c r="L158" s="40"/>
      <x:c r="M158" s="40"/>
      <x:c r="N158" s="40"/>
      <x:c r="O158" s="40"/>
    </x:row>
    <x:row r="159">
      <x:c r="A159" s="43" t="n">
        <x:v>84.64774902868135</x:v>
      </x:c>
      <x:c r="B159" s="43" t="n">
        <x:v>2.3059414155020183e-8</x:v>
      </x:c>
      <x:c r="C159" s="43" t="n">
        <x:v>-153.12797648229215</x:v>
      </x:c>
      <x:c r="D159" s="40"/>
      <x:c r="E159" s="43" t="n">
        <x:v>2</x:v>
      </x:c>
      <x:c r="F159" s="43" t="n">
        <x:v>285</x:v>
      </x:c>
      <x:c r="G159" s="43" t="n">
        <x:v>9.5</x:v>
      </x:c>
      <x:c r="H159" s="43" t="n">
        <x:v>2.768880223999826</x:v>
      </x:c>
      <x:c r="I159" s="40"/>
      <x:c r="J159" s="40"/>
      <x:c r="K159" s="40"/>
      <x:c r="L159" s="40"/>
      <x:c r="M159" s="40"/>
      <x:c r="N159" s="40"/>
      <x:c r="O159" s="40"/>
    </x:row>
    <x:row r="160">
      <x:c r="A160" s="43" t="n">
        <x:v>85.36425537638203</x:v>
      </x:c>
      <x:c r="B160" s="43" t="n">
        <x:v>2.2725281452235467e-8</x:v>
      </x:c>
      <x:c r="C160" s="43" t="n">
        <x:v>-153.16330529682907</x:v>
      </x:c>
      <x:c r="D160" s="40"/>
      <x:c r="E160" s="43" t="n">
        <x:v>2</x:v>
      </x:c>
      <x:c r="F160" s="43" t="n">
        <x:v>290</x:v>
      </x:c>
      <x:c r="G160" s="43" t="n">
        <x:v>9.666666666666666</x:v>
      </x:c>
      <x:c r="H160" s="43" t="n">
        <x:v>2.935546890666492</x:v>
      </x:c>
      <x:c r="I160" s="40"/>
      <x:c r="J160" s="40"/>
      <x:c r="K160" s="40"/>
      <x:c r="L160" s="40"/>
      <x:c r="M160" s="40"/>
      <x:c r="N160" s="40"/>
      <x:c r="O160" s="40"/>
    </x:row>
    <x:row r="161">
      <x:c r="A161" s="43" t="n">
        <x:v>86.08076172408273</x:v>
      </x:c>
      <x:c r="B161" s="43" t="n">
        <x:v>2.2398673229688273e-8</x:v>
      </x:c>
      <x:c r="C161" s="43" t="n">
        <x:v>-153.19798644880152</x:v>
      </x:c>
      <x:c r="D161" s="40"/>
      <x:c r="E161" s="43" t="n">
        <x:v>2</x:v>
      </x:c>
      <x:c r="F161" s="43" t="n">
        <x:v>295</x:v>
      </x:c>
      <x:c r="G161" s="43" t="n">
        <x:v>9.833333333333334</x:v>
      </x:c>
      <x:c r="H161" s="43" t="n">
        <x:v>3.10221355733316</x:v>
      </x:c>
      <x:c r="I161" s="40"/>
      <x:c r="J161" s="40"/>
      <x:c r="K161" s="40"/>
      <x:c r="L161" s="40"/>
      <x:c r="M161" s="40"/>
      <x:c r="N161" s="40"/>
      <x:c r="O161" s="40"/>
    </x:row>
    <x:row r="162">
      <x:c r="A162" s="43" t="n">
        <x:v>86.79726807178342</x:v>
      </x:c>
      <x:c r="B162" s="43" t="n">
        <x:v>2.2079362645876256e-8</x:v>
      </x:c>
      <x:c r="C162" s="43" t="n">
        <x:v>-153.2320396819403</x:v>
      </x:c>
      <x:c r="D162" s="40"/>
      <x:c r="E162" s="43" t="n">
        <x:v>2</x:v>
      </x:c>
      <x:c r="F162" s="43" t="n">
        <x:v>300</x:v>
      </x:c>
      <x:c r="G162" s="43" t="n">
        <x:v>10</x:v>
      </x:c>
      <x:c r="H162" s="43" t="n">
        <x:v>3.268880223999826</x:v>
      </x:c>
      <x:c r="I162" s="40"/>
      <x:c r="J162" s="40"/>
      <x:c r="K162" s="40"/>
      <x:c r="L162" s="40"/>
      <x:c r="M162" s="40"/>
      <x:c r="N162" s="40"/>
      <x:c r="O162" s="40"/>
    </x:row>
    <x:row r="163">
      <x:c r="A163" s="43" t="n">
        <x:v>87.51377441948411</x:v>
      </x:c>
      <x:c r="B163" s="43" t="n">
        <x:v>2.1767131246798608e-8</x:v>
      </x:c>
      <x:c r="C163" s="43" t="n">
        <x:v>-153.26548409001396</x:v>
      </x:c>
      <x:c r="D163" s="40"/>
      <x:c r="E163" s="43" t="n">
        <x:v>3</x:v>
      </x:c>
      <x:c r="F163" s="43" t="n">
        <x:v>0</x:v>
      </x:c>
      <x:c r="G163" s="43" t="n">
        <x:v>0</x:v>
      </x:c>
      <x:c r="H163" s="43" t="n">
        <x:v>1.0740750004335027</x:v>
      </x:c>
      <x:c r="I163" s="40"/>
      <x:c r="J163" s="40"/>
      <x:c r="K163" s="40"/>
      <x:c r="L163" s="40"/>
      <x:c r="M163" s="40"/>
      <x:c r="N163" s="40"/>
      <x:c r="O163" s="40"/>
    </x:row>
    <x:row r="164">
      <x:c r="A164" s="43" t="n">
        <x:v>88.2302807671848</x:v>
      </x:c>
      <x:c r="B164" s="43" t="n">
        <x:v>2.146176860771771e-8</x:v>
      </x:c>
      <x:c r="C164" s="43" t="n">
        <x:v>-153.29833812640567</x:v>
      </x:c>
      <x:c r="D164" s="40"/>
      <x:c r="E164" s="43" t="n">
        <x:v>3</x:v>
      </x:c>
      <x:c r="F164" s="43" t="n">
        <x:v>5</x:v>
      </x:c>
      <x:c r="G164" s="43" t="n">
        <x:v>0.25</x:v>
      </x:c>
      <x:c r="H164" s="43" t="n">
        <x:v>0.8240750004335027</x:v>
      </x:c>
      <x:c r="I164" s="40"/>
      <x:c r="J164" s="40"/>
      <x:c r="K164" s="40"/>
      <x:c r="L164" s="40"/>
      <x:c r="M164" s="40"/>
      <x:c r="N164" s="40"/>
      <x:c r="O164" s="40"/>
    </x:row>
    <x:row r="165">
      <x:c r="A165" s="43" t="n">
        <x:v>88.9467871148855</x:v>
      </x:c>
      <x:c r="B165" s="43" t="n">
        <x:v>2.1163071991909398e-8</x:v>
      </x:c>
      <x:c r="C165" s="43" t="n">
        <x:v>-153.33061961525956</x:v>
      </x:c>
      <x:c r="D165" s="40"/>
      <x:c r="E165" s="43" t="n">
        <x:v>3</x:v>
      </x:c>
      <x:c r="F165" s="43" t="n">
        <x:v>10</x:v>
      </x:c>
      <x:c r="G165" s="43" t="n">
        <x:v>0.5</x:v>
      </x:c>
      <x:c r="H165" s="43" t="n">
        <x:v>0.5740750004335027</x:v>
      </x:c>
      <x:c r="I165" s="40"/>
      <x:c r="J165" s="40"/>
      <x:c r="K165" s="40"/>
      <x:c r="L165" s="40"/>
      <x:c r="M165" s="40"/>
      <x:c r="N165" s="40"/>
      <x:c r="O165" s="40"/>
    </x:row>
    <x:row r="166">
      <x:c r="A166" s="43" t="n">
        <x:v>89.66329346258617</x:v>
      </x:c>
      <x:c r="B166" s="43" t="n">
        <x:v>2.087084602551893e-8</x:v>
      </x:c>
      <x:c r="C166" s="43" t="n">
        <x:v>-153.36234576395856</x:v>
      </x:c>
      <x:c r="D166" s="40"/>
      <x:c r="E166" s="43" t="n">
        <x:v>3</x:v>
      </x:c>
      <x:c r="F166" s="43" t="n">
        <x:v>15</x:v>
      </x:c>
      <x:c r="G166" s="43" t="n">
        <x:v>0.75</x:v>
      </x:c>
      <x:c r="H166" s="43" t="n">
        <x:v>0.3240750004335027</x:v>
      </x:c>
      <x:c r="I166" s="40"/>
      <x:c r="J166" s="40"/>
      <x:c r="K166" s="40"/>
      <x:c r="L166" s="40"/>
      <x:c r="M166" s="40"/>
      <x:c r="N166" s="40"/>
      <x:c r="O166" s="40"/>
    </x:row>
    <x:row r="167">
      <x:c r="A167" s="43" t="n">
        <x:v>90.37979981028687</x:v>
      </x:c>
      <x:c r="B167" s="43" t="n">
        <x:v>2.0584902387695183e-8</x:v>
      </x:c>
      <x:c r="C167" s="43" t="n">
        <x:v>-153.39353317665876</x:v>
      </x:c>
      <x:c r="D167" s="40"/>
      <x:c r="E167" s="43" t="n">
        <x:v>3</x:v>
      </x:c>
      <x:c r="F167" s="43" t="n">
        <x:v>20</x:v>
      </x:c>
      <x:c r="G167" s="43" t="n">
        <x:v>1</x:v>
      </x:c>
      <x:c r="H167" s="43" t="n">
        <x:v>0.07407500043350268</x:v>
      </x:c>
      <x:c r="I167" s="40"/>
      <x:c r="J167" s="40"/>
      <x:c r="K167" s="40"/>
      <x:c r="L167" s="40"/>
      <x:c r="M167" s="40"/>
      <x:c r="N167" s="40"/>
      <x:c r="O167" s="40"/>
    </x:row>
    <x:row r="168">
      <x:c r="A168" s="43" t="n">
        <x:v>91.09630615798756</x:v>
      </x:c>
      <x:c r="B168" s="43" t="n">
        <x:v>2.0305059515220014e-8</x:v>
      </x:c>
      <x:c r="C168" s="43" t="n">
        <x:v>-153.4241978686724</x:v>
      </x:c>
      <x:c r="D168" s="40"/>
      <x:c r="E168" s="43" t="n">
        <x:v>3</x:v>
      </x:c>
      <x:c r="F168" s="43" t="n">
        <x:v>25</x:v>
      </x:c>
      <x:c r="G168" s="43" t="n">
        <x:v>1.25</x:v>
      </x:c>
      <x:c r="H168" s="43" t="n">
        <x:v>0.17592499956649732</x:v>
      </x:c>
      <x:c r="I168" s="40"/>
      <x:c r="J168" s="40"/>
      <x:c r="K168" s="40"/>
      <x:c r="L168" s="40"/>
      <x:c r="M168" s="40"/>
      <x:c r="N168" s="40"/>
      <x:c r="O168" s="40"/>
    </x:row>
    <x:row r="169">
      <x:c r="A169" s="43" t="n">
        <x:v>91.81281250568824</x:v>
      </x:c>
      <x:c r="B169" s="43" t="n">
        <x:v>2.003114232089622e-8</x:v>
      </x:c>
      <x:c r="C169" s="43" t="n">
        <x:v>-153.45435528153473</x:v>
      </x:c>
      <x:c r="D169" s="40"/>
      <x:c r="E169" s="43" t="n">
        <x:v>3</x:v>
      </x:c>
      <x:c r="F169" s="43" t="n">
        <x:v>30</x:v>
      </x:c>
      <x:c r="G169" s="43" t="n">
        <x:v>1.5</x:v>
      </x:c>
      <x:c r="H169" s="43" t="n">
        <x:v>0.4259249995664973</x:v>
      </x:c>
      <x:c r="I169" s="40"/>
      <x:c r="J169" s="40"/>
      <x:c r="K169" s="40"/>
      <x:c r="L169" s="40"/>
      <x:c r="M169" s="40"/>
      <x:c r="N169" s="40"/>
      <x:c r="O169" s="40"/>
    </x:row>
    <x:row r="170">
      <x:c r="A170" s="43" t="n">
        <x:v>92.52931885338894</x:v>
      </x:c>
      <x:c r="B170" s="43" t="n">
        <x:v>1.9762981925002056e-8</x:v>
      </x:c>
      <x:c r="C170" s="43" t="n">
        <x:v>-153.48402029857493</x:v>
      </x:c>
      <x:c r="D170" s="40"/>
      <x:c r="E170" s="43" t="n">
        <x:v>3</x:v>
      </x:c>
      <x:c r="F170" s="43" t="n">
        <x:v>35</x:v>
      </x:c>
      <x:c r="G170" s="43" t="n">
        <x:v>1.75</x:v>
      </x:c>
      <x:c r="H170" s="43" t="n">
        <x:v>0.6759249995664973</x:v>
      </x:c>
      <x:c r="I170" s="40"/>
      <x:c r="J170" s="40"/>
      <x:c r="K170" s="40"/>
      <x:c r="L170" s="40"/>
      <x:c r="M170" s="40"/>
      <x:c r="N170" s="40"/>
      <x:c r="O170" s="40"/>
    </x:row>
    <x:row r="171">
      <x:c r="A171" s="43" t="n">
        <x:v>93.24582520108962</x:v>
      </x:c>
      <x:c r="B171" s="43" t="n">
        <x:v>1.950041539914733e-8</x:v>
      </x:c>
      <x:c r="C171" s="43" t="n">
        <x:v>-153.51320726084606</x:v>
      </x:c>
      <x:c r="D171" s="40"/>
      <x:c r="E171" s="43" t="n">
        <x:v>3</x:v>
      </x:c>
      <x:c r="F171" s="43" t="n">
        <x:v>40</x:v>
      </x:c>
      <x:c r="G171" s="43" t="n">
        <x:v>2</x:v>
      </x:c>
      <x:c r="H171" s="43" t="n">
        <x:v>0.9259249995664973</x:v>
      </x:c>
      <x:c r="I171" s="40"/>
      <x:c r="J171" s="40"/>
      <x:c r="K171" s="40"/>
      <x:c r="L171" s="40"/>
      <x:c r="M171" s="40"/>
      <x:c r="N171" s="40"/>
      <x:c r="O171" s="40"/>
    </x:row>
    <x:row r="172">
      <x:c r="A172" s="43" t="n">
        <x:v>93.96233154879032</x:v>
      </x:c>
      <x:c r="B172" s="43" t="n">
        <x:v>1.924328552191524e-8</x:v>
      </x:c>
      <x:c r="C172" s="43" t="n">
        <x:v>-153.54192998330262</x:v>
      </x:c>
      <x:c r="D172" s="40"/>
      <x:c r="E172" s="43" t="n">
        <x:v>3</x:v>
      </x:c>
      <x:c r="F172" s="43" t="n">
        <x:v>45</x:v>
      </x:c>
      <x:c r="G172" s="43" t="n">
        <x:v>2.25</x:v>
      </x:c>
      <x:c r="H172" s="43" t="n">
        <x:v>1.1759249995664973</x:v>
      </x:c>
      <x:c r="I172" s="40"/>
      <x:c r="J172" s="40"/>
      <x:c r="K172" s="40"/>
      <x:c r="L172" s="40"/>
      <x:c r="M172" s="40"/>
      <x:c r="N172" s="40"/>
      <x:c r="O172" s="40"/>
    </x:row>
    <x:row r="173">
      <x:c r="A173" s="43" t="n">
        <x:v>94.678837896491</x:v>
      </x:c>
      <x:c r="B173" s="43" t="n">
        <x:v>1.8991440545701356e-8</x:v>
      </x:c>
      <x:c r="C173" s="43" t="n">
        <x:v>-153.57020177109752</x:v>
      </x:c>
      <x:c r="D173" s="40"/>
      <x:c r="E173" s="43" t="n">
        <x:v>3</x:v>
      </x:c>
      <x:c r="F173" s="43" t="n">
        <x:v>50</x:v>
      </x:c>
      <x:c r="G173" s="43" t="n">
        <x:v>2.5</x:v>
      </x:c>
      <x:c r="H173" s="43" t="n">
        <x:v>1.4259249995664973</x:v>
      </x:c>
      <x:c r="I173" s="40"/>
      <x:c r="J173" s="40"/>
      <x:c r="K173" s="40"/>
      <x:c r="L173" s="40"/>
      <x:c r="M173" s="40"/>
      <x:c r="N173" s="40"/>
      <x:c r="O173" s="40"/>
    </x:row>
    <x:row r="174">
      <x:c r="A174" s="43" t="n">
        <x:v>95.39534424419169</x:v>
      </x:c>
      <x:c r="B174" s="43" t="n">
        <x:v>1.8744733974188346e-8</x:v>
      </x:c>
      <x:c r="C174" s="43" t="n">
        <x:v>-153.5980354359388</x:v>
      </x:c>
      <x:c r="D174" s="40"/>
      <x:c r="E174" s="43" t="n">
        <x:v>3</x:v>
      </x:c>
      <x:c r="F174" s="43" t="n">
        <x:v>55</x:v>
      </x:c>
      <x:c r="G174" s="43" t="n">
        <x:v>2.75</x:v>
      </x:c>
      <x:c r="H174" s="43" t="n">
        <x:v>1.6759249995664973</x:v>
      </x:c>
      <x:c r="I174" s="40"/>
      <x:c r="J174" s="40"/>
      <x:c r="K174" s="40"/>
      <x:c r="L174" s="40"/>
      <x:c r="M174" s="40"/>
      <x:c r="N174" s="40"/>
      <x:c r="O174" s="40"/>
    </x:row>
    <x:row r="175">
      <x:c r="A175" s="43" t="n">
        <x:v>96.11185059189238</x:v>
      </x:c>
      <x:c r="B175" s="43" t="n">
        <x:v>1.850302434993972e-8</x:v>
      </x:c>
      <x:c r="C175" s="43" t="n">
        <x:v>-153.62544331237302</x:v>
      </x:c>
      <x:c r="D175" s="40"/>
      <x:c r="E175" s="43" t="n">
        <x:v>3</x:v>
      </x:c>
      <x:c r="F175" s="43" t="n">
        <x:v>60</x:v>
      </x:c>
      <x:c r="G175" s="43" t="n">
        <x:v>3</x:v>
      </x:c>
      <x:c r="H175" s="43" t="n">
        <x:v>1.9259249995664973</x:v>
      </x:c>
      <x:c r="I175" s="40"/>
      <x:c r="J175" s="40"/>
      <x:c r="K175" s="40"/>
      <x:c r="L175" s="40"/>
      <x:c r="M175" s="40"/>
      <x:c r="N175" s="40"/>
      <x:c r="O175" s="40"/>
    </x:row>
    <x:row r="176">
      <x:c r="A176" s="43" t="n">
        <x:v>96.82835693959306</x:v>
      </x:c>
      <x:c r="B176" s="43" t="n">
        <x:v>1.8266175051601375e-8</x:v>
      </x:c>
      <x:c r="C176" s="43" t="n">
        <x:v>-153.65243727398678</x:v>
      </x:c>
      <x:c r="D176" s="40"/>
      <x:c r="E176" s="43" t="n">
        <x:v>3</x:v>
      </x:c>
      <x:c r="F176" s="43" t="n">
        <x:v>65</x:v>
      </x:c>
      <x:c r="G176" s="43" t="n">
        <x:v>3.25</x:v>
      </x:c>
      <x:c r="H176" s="43" t="n">
        <x:v>2.1759249995664973</x:v>
      </x:c>
      <x:c r="I176" s="40"/>
      <x:c r="J176" s="40"/>
      <x:c r="K176" s="40"/>
      <x:c r="L176" s="40"/>
      <x:c r="M176" s="40"/>
      <x:c r="N176" s="40"/>
      <x:c r="O176" s="40"/>
    </x:row>
    <x:row r="177">
      <x:c r="A177" s="43" t="n">
        <x:v>97.54486328729377</x:v>
      </x:c>
      <x:c r="B177" s="43" t="n">
        <x:v>1.8034054100251893e-8</x:v>
      </x:c>
      <x:c r="C177" s="43" t="n">
        <x:v>-153.67902874941285</x:v>
      </x:c>
      <x:c r="D177" s="40"/>
      <x:c r="E177" s="43" t="n">
        <x:v>3</x:v>
      </x:c>
      <x:c r="F177" s="43" t="n">
        <x:v>70</x:v>
      </x:c>
      <x:c r="G177" s="43" t="n">
        <x:v>3.5</x:v>
      </x:c>
      <x:c r="H177" s="43" t="n">
        <x:v>2.4259249995664973</x:v>
      </x:c>
      <x:c r="I177" s="40"/>
      <x:c r="J177" s="40"/>
      <x:c r="K177" s="40"/>
      <x:c r="L177" s="40"/>
      <x:c r="M177" s="40"/>
      <x:c r="N177" s="40"/>
      <x:c r="O177" s="40"/>
    </x:row>
    <x:row r="178">
      <x:c r="A178" s="43" t="n">
        <x:v>98.26136963499445</x:v>
      </x:c>
      <x:c r="B178" s="43" t="n">
        <x:v>1.7806533974443463e-8</x:v>
      </x:c>
      <x:c r="C178" s="43" t="n">
        <x:v>-153.7052287381374</x:v>
      </x:c>
      <x:c r="D178" s="40"/>
      <x:c r="E178" s="43" t="n">
        <x:v>3</x:v>
      </x:c>
      <x:c r="F178" s="43" t="n">
        <x:v>75</x:v>
      </x:c>
      <x:c r="G178" s="43" t="n">
        <x:v>3.75</x:v>
      </x:c>
      <x:c r="H178" s="43" t="n">
        <x:v>2.6759249995664973</x:v>
      </x:c>
      <x:c r="I178" s="40"/>
      <x:c r="J178" s="40"/>
      <x:c r="K178" s="40"/>
      <x:c r="L178" s="40"/>
      <x:c r="M178" s="40"/>
      <x:c r="N178" s="40"/>
      <x:c r="O178" s="40"/>
    </x:row>
    <x:row r="179">
      <x:c r="A179" s="43" t="n">
        <x:v>98.97787598269514</x:v>
      </x:c>
      <x:c r="B179" s="43" t="n">
        <x:v>1.758349143351467e-8</x:v>
      </x:c>
      <x:c r="C179" s="43" t="n">
        <x:v>-153.7310478260173</x:v>
      </x:c>
      <x:c r="D179" s="40"/>
      <x:c r="E179" s="43" t="n">
        <x:v>3</x:v>
      </x:c>
      <x:c r="F179" s="43" t="n">
        <x:v>80</x:v>
      </x:c>
      <x:c r="G179" s="43" t="n">
        <x:v>4</x:v>
      </x:c>
      <x:c r="H179" s="43" t="n">
        <x:v>2.731119776000174</x:v>
      </x:c>
      <x:c r="I179" s="40"/>
      <x:c r="J179" s="40"/>
      <x:c r="K179" s="40"/>
      <x:c r="L179" s="40"/>
      <x:c r="M179" s="40"/>
      <x:c r="N179" s="40"/>
      <x:c r="O179" s="40"/>
    </x:row>
    <x:row r="180">
      <x:c r="A180" s="43" t="n">
        <x:v>99.69438233039583</x:v>
      </x:c>
      <x:c r="B180" s="43" t="n">
        <x:v>1.7364807348771856e-8</x:v>
      </x:c>
      <x:c r="C180" s="43" t="n">
        <x:v>-153.75649620052062</x:v>
      </x:c>
      <x:c r="D180" s="40"/>
      <x:c r="E180" s="43" t="n">
        <x:v>3</x:v>
      </x:c>
      <x:c r="F180" s="43" t="n">
        <x:v>85</x:v>
      </x:c>
      <x:c r="G180" s="43" t="n">
        <x:v>4.25</x:v>
      </x:c>
      <x:c r="H180" s="43" t="n">
        <x:v>2.481119776000174</x:v>
      </x:c>
      <x:c r="I180" s="40"/>
      <x:c r="J180" s="40"/>
      <x:c r="K180" s="40"/>
      <x:c r="L180" s="40"/>
      <x:c r="M180" s="40"/>
      <x:c r="N180" s="40"/>
      <x:c r="O180" s="40"/>
    </x:row>
    <x:row r="181">
      <x:c r="A181" s="43" t="n">
        <x:v>100.41088867809653</x:v>
      </x:c>
      <x:c r="B181" s="43" t="n">
        <x:v>1.715036654215838e-8</x:v>
      </x:c>
      <x:c r="C181" s="43" t="n">
        <x:v>-153.78158366563332</x:v>
      </x:c>
      <x:c r="D181" s="40"/>
      <x:c r="E181" s="43" t="n">
        <x:v>3</x:v>
      </x:c>
      <x:c r="F181" s="43" t="n">
        <x:v>90</x:v>
      </x:c>
      <x:c r="G181" s="43" t="n">
        <x:v>4.5</x:v>
      </x:c>
      <x:c r="H181" s="43" t="n">
        <x:v>2.231119776000174</x:v>
      </x:c>
      <x:c r="I181" s="40"/>
      <x:c r="J181" s="40"/>
      <x:c r="K181" s="40"/>
      <x:c r="L181" s="40"/>
      <x:c r="M181" s="40"/>
      <x:c r="N181" s="40"/>
      <x:c r="O181" s="40"/>
    </x:row>
    <x:row r="182">
      <x:c r="A182" s="43" t="n">
        <x:v>101.12739502579721</x:v>
      </x:c>
      <x:c r="B182" s="43" t="n">
        <x:v>1.6940057632049943e-8</x:v>
      </x:c>
      <x:c r="C182" s="43" t="n">
        <x:v>-153.8063196564122</x:v>
      </x:c>
      <x:c r="D182" s="40"/>
      <x:c r="E182" s="43" t="n">
        <x:v>3</x:v>
      </x:c>
      <x:c r="F182" s="43" t="n">
        <x:v>95</x:v>
      </x:c>
      <x:c r="G182" s="43" t="n">
        <x:v>4.75</x:v>
      </x:c>
      <x:c r="H182" s="43" t="n">
        <x:v>1.981119776000174</x:v>
      </x:c>
      <x:c r="I182" s="40"/>
      <x:c r="J182" s="40"/>
      <x:c r="K182" s="40"/>
      <x:c r="L182" s="40"/>
      <x:c r="M182" s="40"/>
      <x:c r="N182" s="40"/>
      <x:c r="O182" s="40"/>
    </x:row>
    <x:row r="183">
      <x:c r="A183" s="43" t="n">
        <x:v>101.8439013734979</x:v>
      </x:c>
      <x:c r="B183" s="43" t="n">
        <x:v>1.6733772885832697e-8</x:v>
      </x:c>
      <x:c r="C183" s="43" t="n">
        <x:v>-153.83071325317155</x:v>
      </x:c>
      <x:c r="D183" s="40"/>
      <x:c r="E183" s="43" t="n">
        <x:v>3</x:v>
      </x:c>
      <x:c r="F183" s="43" t="n">
        <x:v>100</x:v>
      </x:c>
      <x:c r="G183" s="43" t="n">
        <x:v>5</x:v>
      </x:c>
      <x:c r="H183" s="43" t="n">
        <x:v>1.731119776000174</x:v>
      </x:c>
      <x:c r="I183" s="40"/>
      <x:c r="J183" s="40"/>
      <x:c r="K183" s="40"/>
      <x:c r="L183" s="40"/>
      <x:c r="M183" s="40"/>
      <x:c r="N183" s="40"/>
      <x:c r="O183" s="40"/>
    </x:row>
    <x:row r="184">
      <x:c r="A184" s="43" t="n">
        <x:v>102.56040772119859</x:v>
      </x:c>
      <x:c r="B184" s="43" t="n">
        <x:v>1.6531408078937315e-8</x:v>
      </x:c>
      <x:c r="C184" s="43" t="n">
        <x:v>-153.8547731952879</x:v>
      </x:c>
      <x:c r="D184" s="40"/>
      <x:c r="E184" s="43" t="n">
        <x:v>3</x:v>
      </x:c>
      <x:c r="F184" s="43" t="n">
        <x:v>105</x:v>
      </x:c>
      <x:c r="G184" s="43" t="n">
        <x:v>5.25</x:v>
      </x:c>
      <x:c r="H184" s="43" t="n">
        <x:v>1.481119776000174</x:v>
      </x:c>
      <x:c r="I184" s="40"/>
      <x:c r="J184" s="40"/>
      <x:c r="K184" s="40"/>
      <x:c r="L184" s="40"/>
      <x:c r="M184" s="40"/>
      <x:c r="N184" s="40"/>
      <x:c r="O184" s="40"/>
    </x:row>
    <x:row r="185">
      <x:c r="A185" s="43" t="n">
        <x:v>103.27691406889927</x:v>
      </x:c>
      <x:c r="B185" s="43" t="n">
        <x:v>1.633286236002652e-8</x:v>
      </x:c>
      <x:c r="C185" s="43" t="n">
        <x:v>-153.8785078946152</x:v>
      </x:c>
      <x:c r="D185" s="40"/>
      <x:c r="E185" s="43" t="n">
        <x:v>3</x:v>
      </x:c>
      <x:c r="F185" s="43" t="n">
        <x:v>110</x:v>
      </x:c>
      <x:c r="G185" s="43" t="n">
        <x:v>5.5</x:v>
      </x:c>
      <x:c r="H185" s="43" t="n">
        <x:v>1.231119776000174</x:v>
      </x:c>
      <x:c r="I185" s="40"/>
      <x:c r="J185" s="40"/>
      <x:c r="K185" s="40"/>
      <x:c r="L185" s="40"/>
      <x:c r="M185" s="40"/>
      <x:c r="N185" s="40"/>
      <x:c r="O185" s="40"/>
    </x:row>
    <x:row r="186">
      <x:c r="A186" s="43" t="n">
        <x:v>103.99342041659997</x:v>
      </x:c>
      <x:c r="B186" s="43" t="n">
        <x:v>1.6138038122033493e-8</x:v>
      </x:c>
      <x:c r="C186" s="43" t="n">
        <x:v>-153.90192544848367</x:v>
      </x:c>
      <x:c r="D186" s="40"/>
      <x:c r="E186" s="43" t="n">
        <x:v>3</x:v>
      </x:c>
      <x:c r="F186" s="43" t="n">
        <x:v>115</x:v>
      </x:c>
      <x:c r="G186" s="43" t="n">
        <x:v>5.75</x:v>
      </x:c>
      <x:c r="H186" s="43" t="n">
        <x:v>0.981119776000174</x:v>
      </x:c>
      <x:c r="I186" s="40"/>
      <x:c r="J186" s="40"/>
      <x:c r="K186" s="40"/>
      <x:c r="L186" s="40"/>
      <x:c r="M186" s="40"/>
      <x:c r="N186" s="40"/>
      <x:c r="O186" s="40"/>
    </x:row>
    <x:row r="187">
      <x:c r="A187" s="43" t="n">
        <x:v>104.70992676430066</x:v>
      </x:c>
      <x:c r="B187" s="43" t="n">
        <x:v>1.5946840878781207e-8</x:v>
      </x:c>
      <x:c r="C187" s="43" t="n">
        <x:v>-153.9250336523228</x:v>
      </x:c>
      <x:c r="D187" s="40"/>
      <x:c r="E187" s="43" t="n">
        <x:v>3</x:v>
      </x:c>
      <x:c r="F187" s="43" t="n">
        <x:v>120</x:v>
      </x:c>
      <x:c r="G187" s="43" t="n">
        <x:v>6</x:v>
      </x:c>
      <x:c r="H187" s="43" t="n">
        <x:v>0.731119776000174</x:v>
      </x:c>
      <x:c r="I187" s="40"/>
      <x:c r="J187" s="40"/>
      <x:c r="K187" s="40"/>
      <x:c r="L187" s="40"/>
      <x:c r="M187" s="40"/>
      <x:c r="N187" s="40"/>
      <x:c r="O187" s="40"/>
    </x:row>
    <x:row r="188">
      <x:c r="A188" s="43" t="n">
        <x:v>105.42643311200133</x:v>
      </x:c>
      <x:c r="B188" s="43" t="n">
        <x:v>1.5759179146915568e-8</x:v>
      </x:c>
      <x:c r="C188" s="43" t="n">
        <x:v>-153.94784001184888</x:v>
      </x:c>
      <x:c r="D188" s="40"/>
      <x:c r="E188" s="43" t="n">
        <x:v>3</x:v>
      </x:c>
      <x:c r="F188" s="43" t="n">
        <x:v>125</x:v>
      </x:c>
      <x:c r="G188" s="43" t="n">
        <x:v>6.25</x:v>
      </x:c>
      <x:c r="H188" s="43" t="n">
        <x:v>0.48111977600017397</x:v>
      </x:c>
      <x:c r="I188" s="40"/>
      <x:c r="J188" s="40"/>
      <x:c r="K188" s="40"/>
      <x:c r="L188" s="40"/>
      <x:c r="M188" s="40"/>
      <x:c r="N188" s="40"/>
      <x:c r="O188" s="40"/>
    </x:row>
    <x:row r="189">
      <x:c r="A189" s="43" t="n">
        <x:v>106.14293945970203</x:v>
      </x:c>
      <x:c r="B189" s="43" t="n">
        <x:v>1.5574964332901237e-8</x:v>
      </x:c>
      <x:c r="C189" s="43" t="n">
        <x:v>-153.97035175487105</x:v>
      </x:c>
      <x:c r="D189" s="40"/>
      <x:c r="E189" s="43" t="n">
        <x:v>3</x:v>
      </x:c>
      <x:c r="F189" s="43" t="n">
        <x:v>130</x:v>
      </x:c>
      <x:c r="G189" s="43" t="n">
        <x:v>6.5</x:v>
      </x:c>
      <x:c r="H189" s="43" t="n">
        <x:v>0.23111977600017397</x:v>
      </x:c>
      <x:c r="I189" s="40"/>
      <x:c r="J189" s="40"/>
      <x:c r="K189" s="40"/>
      <x:c r="L189" s="40"/>
      <x:c r="M189" s="40"/>
      <x:c r="N189" s="40"/>
      <x:c r="O189" s="40"/>
    </x:row>
    <x:row r="190">
      <x:c r="A190" s="43" t="n">
        <x:v>106.85944580740272</x:v>
      </x:c>
      <x:c r="B190" s="43" t="n">
        <x:v>1.539411062484108e-8</x:v>
      </x:c>
      <x:c r="C190" s="43" t="n">
        <x:v>-153.9925758426646</x:v>
      </x:c>
      <x:c r="D190" s="40"/>
      <x:c r="E190" s="43" t="n">
        <x:v>3</x:v>
      </x:c>
      <x:c r="F190" s="43" t="n">
        <x:v>135</x:v>
      </x:c>
      <x:c r="G190" s="43" t="n">
        <x:v>6.75</x:v>
      </x:c>
      <x:c r="H190" s="43" t="n">
        <x:v>0.01888022399982603</x:v>
      </x:c>
      <x:c r="I190" s="40"/>
      <x:c r="J190" s="40"/>
      <x:c r="K190" s="40"/>
      <x:c r="L190" s="40"/>
      <x:c r="M190" s="40"/>
      <x:c r="N190" s="40"/>
      <x:c r="O190" s="40"/>
    </x:row>
    <x:row r="191">
      <x:c r="A191" s="43" t="n">
        <x:v>107.57595215510342</x:v>
      </x:c>
      <x:c r="B191" s="43" t="n">
        <x:v>1.5216534888898544e-8</x:v>
      </x:c>
      <x:c r="C191" s="43" t="n">
        <x:v>-154.01451898098256</x:v>
      </x:c>
      <x:c r="D191" s="40"/>
      <x:c r="E191" s="43" t="n">
        <x:v>3</x:v>
      </x:c>
      <x:c r="F191" s="43" t="n">
        <x:v>140</x:v>
      </x:c>
      <x:c r="G191" s="43" t="n">
        <x:v>7</x:v>
      </x:c>
      <x:c r="H191" s="43" t="n">
        <x:v>0.26888022399982603</x:v>
      </x:c>
      <x:c r="I191" s="40"/>
      <x:c r="J191" s="40"/>
      <x:c r="K191" s="40"/>
      <x:c r="L191" s="40"/>
      <x:c r="M191" s="40"/>
      <x:c r="N191" s="40"/>
      <x:c r="O191" s="40"/>
    </x:row>
    <x:row r="192">
      <x:c r="A192" s="43" t="n">
        <x:v>108.29245850280411</x:v>
      </x:c>
      <x:c r="B192" s="43" t="n">
        <x:v>1.5042156570099863e-8</x:v>
      </x:c>
      <x:c r="C192" s="43" t="n">
        <x:v>-154.03618763064074</x:v>
      </x:c>
      <x:c r="D192" s="40"/>
      <x:c r="E192" s="43" t="n">
        <x:v>3</x:v>
      </x:c>
      <x:c r="F192" s="43" t="n">
        <x:v>145</x:v>
      </x:c>
      <x:c r="G192" s="43" t="n">
        <x:v>7.25</x:v>
      </x:c>
      <x:c r="H192" s="43" t="n">
        <x:v>0.518880223999826</x:v>
      </x:c>
      <x:c r="I192" s="40"/>
      <x:c r="J192" s="40"/>
      <x:c r="K192" s="40"/>
      <x:c r="L192" s="40"/>
      <x:c r="M192" s="40"/>
      <x:c r="N192" s="40"/>
      <x:c r="O192" s="40"/>
    </x:row>
    <x:row r="193">
      <x:c r="A193" s="43" t="n">
        <x:v>109.0089648505048</x:v>
      </x:c>
      <x:c r="B193" s="43" t="n">
        <x:v>1.4870897597319692e-8</x:v>
      </x:c>
      <x:c r="C193" s="43" t="n">
        <x:v>-154.05758801772137</x:v>
      </x:c>
      <x:c r="D193" s="40"/>
      <x:c r="E193" s="43" t="n">
        <x:v>3</x:v>
      </x:c>
      <x:c r="F193" s="43" t="n">
        <x:v>150</x:v>
      </x:c>
      <x:c r="G193" s="43" t="n">
        <x:v>7.5</x:v>
      </x:c>
      <x:c r="H193" s="43" t="n">
        <x:v>0.768880223999826</x:v>
      </x:c>
      <x:c r="I193" s="40"/>
      <x:c r="J193" s="40"/>
      <x:c r="K193" s="40"/>
      <x:c r="L193" s="40"/>
      <x:c r="M193" s="40"/>
      <x:c r="N193" s="40"/>
      <x:c r="O193" s="40"/>
    </x:row>
    <x:row r="194">
      <x:c r="A194" s="43" t="n">
        <x:v>109.72547119820547</x:v>
      </x:c>
      <x:c r="B194" s="43" t="n">
        <x:v>1.4702682292251641e-8</x:v>
      </x:c>
      <x:c r="C194" s="43" t="n">
        <x:v>-154.07872614340894</x:v>
      </x:c>
      <x:c r="D194" s="40"/>
      <x:c r="E194" s="43" t="n">
        <x:v>3</x:v>
      </x:c>
      <x:c r="F194" s="43" t="n">
        <x:v>155</x:v>
      </x:c>
      <x:c r="G194" s="43" t="n">
        <x:v>7.75</x:v>
      </x:c>
      <x:c r="H194" s="43" t="n">
        <x:v>1.018880223999826</x:v>
      </x:c>
      <x:c r="I194" s="40"/>
      <x:c r="J194" s="40"/>
      <x:c r="K194" s="40"/>
      <x:c r="L194" s="40"/>
      <x:c r="M194" s="40"/>
      <x:c r="N194" s="40"/>
      <x:c r="O194" s="40"/>
    </x:row>
    <x:row r="195">
      <x:c r="A195" s="43" t="n">
        <x:v>110.44197754590617</x:v>
      </x:c>
      <x:c r="B195" s="43" t="n">
        <x:v>1.4537437282182305e-8</x:v>
      </x:c>
      <x:c r="C195" s="43" t="n">
        <x:v>-154.09960779343592</x:v>
      </x:c>
      <x:c r="D195" s="40"/>
      <x:c r="E195" s="43" t="n">
        <x:v>3</x:v>
      </x:c>
      <x:c r="F195" s="43" t="n">
        <x:v>160</x:v>
      </x:c>
      <x:c r="G195" s="43" t="n">
        <x:v>8</x:v>
      </x:c>
      <x:c r="H195" s="43" t="n">
        <x:v>1.268880223999826</x:v>
      </x:c>
      <x:c r="I195" s="40"/>
      <x:c r="J195" s="40"/>
      <x:c r="K195" s="40"/>
      <x:c r="L195" s="40"/>
      <x:c r="M195" s="40"/>
      <x:c r="N195" s="40"/>
      <x:c r="O195" s="40"/>
    </x:row>
    <x:row r="196">
      <x:c r="A196" s="43" t="n">
        <x:v>111.15848389360686</x:v>
      </x:c>
      <x:c r="B196" s="43" t="n">
        <x:v>1.4375091416390814e-8</x:v>
      </x:c>
      <x:c r="C196" s="43" t="n">
        <x:v>-154.12023854716932</x:v>
      </x:c>
      <x:c r="D196" s="40"/>
      <x:c r="E196" s="43" t="n">
        <x:v>3</x:v>
      </x:c>
      <x:c r="F196" s="43" t="n">
        <x:v>165</x:v>
      </x:c>
      <x:c r="G196" s="43" t="n">
        <x:v>8.25</x:v>
      </x:c>
      <x:c r="H196" s="43" t="n">
        <x:v>1.518880223999826</x:v>
      </x:c>
      <x:c r="I196" s="40"/>
      <x:c r="J196" s="40"/>
      <x:c r="K196" s="40"/>
      <x:c r="L196" s="40"/>
      <x:c r="M196" s="40"/>
      <x:c r="N196" s="40"/>
      <x:c r="O196" s="40"/>
    </x:row>
    <x:row r="197">
      <x:c r="A197" s="43" t="n">
        <x:v>111.87499024130756</x:v>
      </x:c>
      <x:c r="B197" s="43" t="n">
        <x:v>1.4215575686010389e-8</x:v>
      </x:c>
      <x:c r="C197" s="43" t="n">
        <x:v>-154.14062378634384</x:v>
      </x:c>
      <x:c r="D197" s="40"/>
      <x:c r="E197" s="43" t="n">
        <x:v>3</x:v>
      </x:c>
      <x:c r="F197" s="43" t="n">
        <x:v>170</x:v>
      </x:c>
      <x:c r="G197" s="43" t="n">
        <x:v>8.5</x:v>
      </x:c>
      <x:c r="H197" s="43" t="n">
        <x:v>1.768880223999826</x:v>
      </x:c>
      <x:c r="I197" s="40"/>
      <x:c r="J197" s="40"/>
      <x:c r="K197" s="40"/>
      <x:c r="L197" s="40"/>
      <x:c r="M197" s="40"/>
      <x:c r="N197" s="40"/>
      <x:c r="O197" s="40"/>
    </x:row>
    <x:row r="198">
      <x:c r="A198" s="43" t="n">
        <x:v>112.59149658900824</x:v>
      </x:c>
      <x:c r="B198" s="43" t="n">
        <x:v>1.40588231471909e-8</x:v>
      </x:c>
      <x:c r="C198" s="43" t="n">
        <x:v>-154.16076870343875</x:v>
      </x:c>
      <x:c r="D198" s="40"/>
      <x:c r="E198" s="43" t="n">
        <x:v>3</x:v>
      </x:c>
      <x:c r="F198" s="43" t="n">
        <x:v>175</x:v>
      </x:c>
      <x:c r="G198" s="43" t="n">
        <x:v>8.75</x:v>
      </x:c>
      <x:c r="H198" s="43" t="n">
        <x:v>2.018880223999826</x:v>
      </x:c>
      <x:c r="I198" s="40"/>
      <x:c r="J198" s="40"/>
      <x:c r="K198" s="40"/>
      <x:c r="L198" s="40"/>
      <x:c r="M198" s="40"/>
      <x:c r="N198" s="40"/>
      <x:c r="O198" s="40"/>
    </x:row>
    <x:row r="199">
      <x:c r="A199" s="43" t="n">
        <x:v>113.30800293670892</x:v>
      </x:c>
      <x:c r="B199" s="43" t="n">
        <x:v>1.3904768847415434e-8</x:v>
      </x:c>
      <x:c r="C199" s="43" t="n">
        <x:v>-154.18067830973408</x:v>
      </x:c>
      <x:c r="D199" s="40"/>
      <x:c r="E199" s="43" t="n">
        <x:v>3</x:v>
      </x:c>
      <x:c r="F199" s="43" t="n">
        <x:v>180</x:v>
      </x:c>
      <x:c r="G199" s="43" t="n">
        <x:v>9</x:v>
      </x:c>
      <x:c r="H199" s="43" t="n">
        <x:v>2.268880223999826</x:v>
      </x:c>
      <x:c r="I199" s="40"/>
      <x:c r="J199" s="40"/>
      <x:c r="K199" s="40"/>
      <x:c r="L199" s="40"/>
      <x:c r="M199" s="40"/>
      <x:c r="N199" s="40"/>
      <x:c r="O199" s="40"/>
    </x:row>
    <x:row r="200">
      <x:c r="A200" s="43" t="n">
        <x:v>114.02450928440962</x:v>
      </x:c>
      <x:c r="B200" s="43" t="n">
        <x:v>1.3753349754823215e-8</x:v>
      </x:c>
      <x:c r="C200" s="43" t="n">
        <x:v>-154.20035744301464</x:v>
      </x:c>
      <x:c r="D200" s="40"/>
      <x:c r="E200" s="43" t="n">
        <x:v>3</x:v>
      </x:c>
      <x:c r="F200" s="43" t="n">
        <x:v>185</x:v>
      </x:c>
      <x:c r="G200" s="43" t="n">
        <x:v>9.25</x:v>
      </x:c>
      <x:c r="H200" s="43" t="n">
        <x:v>2.518880223999826</x:v>
      </x:c>
      <x:c r="I200" s="40"/>
      <x:c r="J200" s="40"/>
      <x:c r="K200" s="40"/>
      <x:c r="L200" s="40"/>
      <x:c r="M200" s="40"/>
      <x:c r="N200" s="40"/>
      <x:c r="O200" s="40"/>
    </x:row>
    <x:row r="201">
      <x:c r="A201" s="40"/>
      <x:c r="B201" s="40"/>
      <x:c r="C201" s="40"/>
      <x:c r="D201" s="40"/>
      <x:c r="E201" s="43" t="n">
        <x:v>3</x:v>
      </x:c>
      <x:c r="F201" s="43" t="n">
        <x:v>190</x:v>
      </x:c>
      <x:c r="G201" s="43" t="n">
        <x:v>9.5</x:v>
      </x:c>
      <x:c r="H201" s="43" t="n">
        <x:v>2.768880223999826</x:v>
      </x:c>
      <x:c r="I201" s="40"/>
      <x:c r="J201" s="40"/>
      <x:c r="K201" s="40"/>
      <x:c r="L201" s="40"/>
      <x:c r="M201" s="40"/>
      <x:c r="N201" s="40"/>
      <x:c r="O201" s="40"/>
    </x:row>
    <x:row r="202">
      <x:c r="A202" s="40"/>
      <x:c r="B202" s="40"/>
      <x:c r="C202" s="40"/>
      <x:c r="D202" s="40"/>
      <x:c r="E202" s="43" t="n">
        <x:v>3</x:v>
      </x:c>
      <x:c r="F202" s="43" t="n">
        <x:v>195</x:v>
      </x:c>
      <x:c r="G202" s="43" t="n">
        <x:v>9.75</x:v>
      </x:c>
      <x:c r="H202" s="43" t="n">
        <x:v>3.018880223999826</x:v>
      </x:c>
      <x:c r="I202" s="40"/>
      <x:c r="J202" s="40"/>
      <x:c r="K202" s="40"/>
      <x:c r="L202" s="40"/>
      <x:c r="M202" s="40"/>
      <x:c r="N202" s="40"/>
      <x:c r="O202" s="40"/>
    </x:row>
    <x:row r="203">
      <x:c r="A203" s="40"/>
      <x:c r="B203" s="40"/>
      <x:c r="C203" s="40"/>
      <x:c r="D203" s="40"/>
      <x:c r="E203" s="43" t="n">
        <x:v>3</x:v>
      </x:c>
      <x:c r="F203" s="43" t="n">
        <x:v>200</x:v>
      </x:c>
      <x:c r="G203" s="43" t="n">
        <x:v>10</x:v>
      </x:c>
      <x:c r="H203" s="43" t="n">
        <x:v>3.268880223999826</x:v>
      </x:c>
      <x:c r="I203" s="40"/>
      <x:c r="J203" s="40"/>
      <x:c r="K203" s="40"/>
      <x:c r="L203" s="40"/>
      <x:c r="M203" s="40"/>
      <x:c r="N203" s="40"/>
      <x:c r="O203" s="40"/>
    </x:row>
    <x:row r="204">
      <x:c r="A204" s="40"/>
      <x:c r="B204" s="40"/>
      <x:c r="C204" s="40"/>
      <x:c r="D204" s="40"/>
      <x:c r="E204" s="43" t="n">
        <x:v>3</x:v>
      </x:c>
      <x:c r="F204" s="43" t="n">
        <x:v>205</x:v>
      </x:c>
      <x:c r="G204" s="43" t="n">
        <x:v>10.25</x:v>
      </x:c>
      <x:c r="H204" s="43" t="n">
        <x:v>3.518880223999826</x:v>
      </x:c>
      <x:c r="I204" s="40"/>
      <x:c r="J204" s="40"/>
      <x:c r="K204" s="40"/>
      <x:c r="L204" s="40"/>
      <x:c r="M204" s="40"/>
      <x:c r="N204" s="40"/>
      <x:c r="O204" s="40"/>
    </x:row>
    <x:row r="205">
      <x:c r="A205" s="40"/>
      <x:c r="B205" s="40"/>
      <x:c r="C205" s="40"/>
      <x:c r="D205" s="40"/>
      <x:c r="E205" s="43" t="n">
        <x:v>3</x:v>
      </x:c>
      <x:c r="F205" s="43" t="n">
        <x:v>210</x:v>
      </x:c>
      <x:c r="G205" s="43" t="n">
        <x:v>10.5</x:v>
      </x:c>
      <x:c r="H205" s="43" t="n">
        <x:v>3.768880223999826</x:v>
      </x:c>
      <x:c r="I205" s="40"/>
      <x:c r="J205" s="40"/>
      <x:c r="K205" s="40"/>
      <x:c r="L205" s="40"/>
      <x:c r="M205" s="40"/>
      <x:c r="N205" s="40"/>
      <x:c r="O205" s="40"/>
    </x:row>
    <x:row r="206">
      <x:c r="A206" s="40"/>
      <x:c r="B206" s="40"/>
      <x:c r="C206" s="40"/>
      <x:c r="D206" s="40"/>
      <x:c r="E206" s="43" t="n">
        <x:v>3</x:v>
      </x:c>
      <x:c r="F206" s="43" t="n">
        <x:v>215</x:v>
      </x:c>
      <x:c r="G206" s="43" t="n">
        <x:v>10.75</x:v>
      </x:c>
      <x:c r="H206" s="43" t="n">
        <x:v>4.018880223999826</x:v>
      </x:c>
      <x:c r="I206" s="40"/>
      <x:c r="J206" s="40"/>
      <x:c r="K206" s="40"/>
      <x:c r="L206" s="40"/>
      <x:c r="M206" s="40"/>
      <x:c r="N206" s="40"/>
      <x:c r="O206" s="40"/>
    </x:row>
    <x:row r="207">
      <x:c r="A207" s="40"/>
      <x:c r="B207" s="40"/>
      <x:c r="C207" s="40"/>
      <x:c r="D207" s="40"/>
      <x:c r="E207" s="43" t="n">
        <x:v>3</x:v>
      </x:c>
      <x:c r="F207" s="43" t="n">
        <x:v>220</x:v>
      </x:c>
      <x:c r="G207" s="43" t="n">
        <x:v>11</x:v>
      </x:c>
      <x:c r="H207" s="43" t="n">
        <x:v>4.268880223999826</x:v>
      </x:c>
      <x:c r="I207" s="40"/>
      <x:c r="J207" s="40"/>
      <x:c r="K207" s="40"/>
      <x:c r="L207" s="40"/>
      <x:c r="M207" s="40"/>
      <x:c r="N207" s="40"/>
      <x:c r="O207" s="40"/>
    </x:row>
    <x:row r="208">
      <x:c r="A208" s="40"/>
      <x:c r="B208" s="40"/>
      <x:c r="C208" s="40"/>
      <x:c r="D208" s="40"/>
      <x:c r="E208" s="43" t="n">
        <x:v>3</x:v>
      </x:c>
      <x:c r="F208" s="43" t="n">
        <x:v>225</x:v>
      </x:c>
      <x:c r="G208" s="43" t="n">
        <x:v>11.25</x:v>
      </x:c>
      <x:c r="H208" s="43" t="n">
        <x:v>4.518880223999826</x:v>
      </x:c>
      <x:c r="I208" s="40"/>
      <x:c r="J208" s="40"/>
      <x:c r="K208" s="40"/>
      <x:c r="L208" s="40"/>
      <x:c r="M208" s="40"/>
      <x:c r="N208" s="40"/>
      <x:c r="O208" s="40"/>
    </x:row>
    <x:row r="209">
      <x:c r="A209" s="40"/>
      <x:c r="B209" s="40"/>
      <x:c r="C209" s="40"/>
      <x:c r="D209" s="40"/>
      <x:c r="E209" s="43" t="n">
        <x:v>3</x:v>
      </x:c>
      <x:c r="F209" s="43" t="n">
        <x:v>230</x:v>
      </x:c>
      <x:c r="G209" s="43" t="n">
        <x:v>11.5</x:v>
      </x:c>
      <x:c r="H209" s="43" t="n">
        <x:v>4.768880223999826</x:v>
      </x:c>
      <x:c r="I209" s="40"/>
      <x:c r="J209" s="40"/>
      <x:c r="K209" s="40"/>
      <x:c r="L209" s="40"/>
      <x:c r="M209" s="40"/>
      <x:c r="N209" s="40"/>
      <x:c r="O209" s="40"/>
    </x:row>
    <x:row r="210">
      <x:c r="A210" s="40"/>
      <x:c r="B210" s="40"/>
      <x:c r="C210" s="40"/>
      <x:c r="D210" s="40"/>
      <x:c r="E210" s="43" t="n">
        <x:v>3</x:v>
      </x:c>
      <x:c r="F210" s="43" t="n">
        <x:v>235</x:v>
      </x:c>
      <x:c r="G210" s="43" t="n">
        <x:v>11.75</x:v>
      </x:c>
      <x:c r="H210" s="43" t="n">
        <x:v>5.018880223999826</x:v>
      </x:c>
      <x:c r="I210" s="40"/>
      <x:c r="J210" s="40"/>
      <x:c r="K210" s="40"/>
      <x:c r="L210" s="40"/>
      <x:c r="M210" s="40"/>
      <x:c r="N210" s="40"/>
      <x:c r="O210" s="40"/>
    </x:row>
    <x:row r="211">
      <x:c r="A211" s="40"/>
      <x:c r="B211" s="40"/>
      <x:c r="C211" s="40"/>
      <x:c r="D211" s="40"/>
      <x:c r="E211" s="43" t="n">
        <x:v>3</x:v>
      </x:c>
      <x:c r="F211" s="43" t="n">
        <x:v>240</x:v>
      </x:c>
      <x:c r="G211" s="43" t="n">
        <x:v>12</x:v>
      </x:c>
      <x:c r="H211" s="43" t="n">
        <x:v>5.268880223999826</x:v>
      </x:c>
      <x:c r="I211" s="40"/>
      <x:c r="J211" s="40"/>
      <x:c r="K211" s="40"/>
      <x:c r="L211" s="40"/>
      <x:c r="M211" s="40"/>
      <x:c r="N211" s="40"/>
      <x:c r="O211" s="40"/>
    </x:row>
    <x:row r="212">
      <x:c r="A212" s="40"/>
      <x:c r="B212" s="40"/>
      <x:c r="C212" s="40"/>
      <x:c r="D212" s="40"/>
      <x:c r="E212" s="43" t="n">
        <x:v>3</x:v>
      </x:c>
      <x:c r="F212" s="43" t="n">
        <x:v>245</x:v>
      </x:c>
      <x:c r="G212" s="43" t="n">
        <x:v>12.25</x:v>
      </x:c>
      <x:c r="H212" s="43" t="n">
        <x:v>5.518880223999826</x:v>
      </x:c>
      <x:c r="I212" s="40"/>
      <x:c r="J212" s="40"/>
      <x:c r="K212" s="40"/>
      <x:c r="L212" s="40"/>
      <x:c r="M212" s="40"/>
      <x:c r="N212" s="40"/>
      <x:c r="O212" s="40"/>
    </x:row>
    <x:row r="213">
      <x:c r="A213" s="40"/>
      <x:c r="B213" s="40"/>
      <x:c r="C213" s="40"/>
      <x:c r="D213" s="40"/>
      <x:c r="E213" s="43" t="n">
        <x:v>3</x:v>
      </x:c>
      <x:c r="F213" s="43" t="n">
        <x:v>250</x:v>
      </x:c>
      <x:c r="G213" s="43" t="n">
        <x:v>12.5</x:v>
      </x:c>
      <x:c r="H213" s="43" t="n">
        <x:v>5.768880223999826</x:v>
      </x:c>
      <x:c r="I213" s="40"/>
      <x:c r="J213" s="40"/>
      <x:c r="K213" s="40"/>
      <x:c r="L213" s="40"/>
      <x:c r="M213" s="40"/>
      <x:c r="N213" s="40"/>
      <x:c r="O213" s="40"/>
    </x:row>
    <x:row r="214">
      <x:c r="A214" s="40"/>
      <x:c r="B214" s="40"/>
      <x:c r="C214" s="40"/>
      <x:c r="D214" s="40"/>
      <x:c r="E214" s="43" t="n">
        <x:v>3</x:v>
      </x:c>
      <x:c r="F214" s="43" t="n">
        <x:v>255</x:v>
      </x:c>
      <x:c r="G214" s="43" t="n">
        <x:v>12.75</x:v>
      </x:c>
      <x:c r="H214" s="43" t="n">
        <x:v>6.018880223999826</x:v>
      </x:c>
      <x:c r="I214" s="40"/>
      <x:c r="J214" s="40"/>
      <x:c r="K214" s="40"/>
      <x:c r="L214" s="40"/>
      <x:c r="M214" s="40"/>
      <x:c r="N214" s="40"/>
      <x:c r="O214" s="40"/>
    </x:row>
    <x:row r="215">
      <x:c r="A215" s="40"/>
      <x:c r="B215" s="40"/>
      <x:c r="C215" s="40"/>
      <x:c r="D215" s="40"/>
      <x:c r="E215" s="43" t="n">
        <x:v>3</x:v>
      </x:c>
      <x:c r="F215" s="43" t="n">
        <x:v>260</x:v>
      </x:c>
      <x:c r="G215" s="43" t="n">
        <x:v>13</x:v>
      </x:c>
      <x:c r="H215" s="43" t="n">
        <x:v>5.8474603897677255</x:v>
      </x:c>
      <x:c r="I215" s="40"/>
      <x:c r="J215" s="40"/>
      <x:c r="K215" s="40"/>
      <x:c r="L215" s="40"/>
      <x:c r="M215" s="40"/>
      <x:c r="N215" s="40"/>
      <x:c r="O215" s="40"/>
    </x:row>
    <x:row r="216">
      <x:c r="A216" s="40"/>
      <x:c r="B216" s="40"/>
      <x:c r="C216" s="40"/>
      <x:c r="D216" s="40"/>
      <x:c r="E216" s="43" t="n">
        <x:v>3</x:v>
      </x:c>
      <x:c r="F216" s="43" t="n">
        <x:v>265</x:v>
      </x:c>
      <x:c r="G216" s="43" t="n">
        <x:v>13.25</x:v>
      </x:c>
      <x:c r="H216" s="43" t="n">
        <x:v>5.5974603897677255</x:v>
      </x:c>
      <x:c r="I216" s="40"/>
      <x:c r="J216" s="40"/>
      <x:c r="K216" s="40"/>
      <x:c r="L216" s="40"/>
      <x:c r="M216" s="40"/>
      <x:c r="N216" s="40"/>
      <x:c r="O216" s="40"/>
    </x:row>
    <x:row r="217">
      <x:c r="A217" s="40"/>
      <x:c r="B217" s="40"/>
      <x:c r="C217" s="40"/>
      <x:c r="D217" s="40"/>
      <x:c r="E217" s="43" t="n">
        <x:v>3</x:v>
      </x:c>
      <x:c r="F217" s="43" t="n">
        <x:v>270</x:v>
      </x:c>
      <x:c r="G217" s="43" t="n">
        <x:v>13.5</x:v>
      </x:c>
      <x:c r="H217" s="43" t="n">
        <x:v>5.3474603897677255</x:v>
      </x:c>
      <x:c r="I217" s="40"/>
      <x:c r="J217" s="40"/>
      <x:c r="K217" s="40"/>
      <x:c r="L217" s="40"/>
      <x:c r="M217" s="40"/>
      <x:c r="N217" s="40"/>
      <x:c r="O217" s="40"/>
    </x:row>
    <x:row r="218">
      <x:c r="A218" s="40"/>
      <x:c r="B218" s="40"/>
      <x:c r="C218" s="40"/>
      <x:c r="D218" s="40"/>
      <x:c r="E218" s="43" t="n">
        <x:v>3</x:v>
      </x:c>
      <x:c r="F218" s="43" t="n">
        <x:v>275</x:v>
      </x:c>
      <x:c r="G218" s="43" t="n">
        <x:v>13.75</x:v>
      </x:c>
      <x:c r="H218" s="43" t="n">
        <x:v>5.0974603897677255</x:v>
      </x:c>
      <x:c r="I218" s="40"/>
      <x:c r="J218" s="40"/>
      <x:c r="K218" s="40"/>
      <x:c r="L218" s="40"/>
      <x:c r="M218" s="40"/>
      <x:c r="N218" s="40"/>
      <x:c r="O218" s="40"/>
    </x:row>
    <x:row r="219">
      <x:c r="A219" s="40"/>
      <x:c r="B219" s="40"/>
      <x:c r="C219" s="40"/>
      <x:c r="D219" s="40"/>
      <x:c r="E219" s="43" t="n">
        <x:v>3</x:v>
      </x:c>
      <x:c r="F219" s="43" t="n">
        <x:v>280</x:v>
      </x:c>
      <x:c r="G219" s="43" t="n">
        <x:v>14</x:v>
      </x:c>
      <x:c r="H219" s="43" t="n">
        <x:v>4.8474603897677255</x:v>
      </x:c>
      <x:c r="I219" s="40"/>
      <x:c r="J219" s="40"/>
      <x:c r="K219" s="40"/>
      <x:c r="L219" s="40"/>
      <x:c r="M219" s="40"/>
      <x:c r="N219" s="40"/>
      <x:c r="O219" s="40"/>
    </x:row>
    <x:row r="220">
      <x:c r="A220" s="40"/>
      <x:c r="B220" s="40"/>
      <x:c r="C220" s="40"/>
      <x:c r="D220" s="40"/>
      <x:c r="E220" s="43" t="n">
        <x:v>3</x:v>
      </x:c>
      <x:c r="F220" s="43" t="n">
        <x:v>285</x:v>
      </x:c>
      <x:c r="G220" s="43" t="n">
        <x:v>14.25</x:v>
      </x:c>
      <x:c r="H220" s="43" t="n">
        <x:v>4.5974603897677255</x:v>
      </x:c>
      <x:c r="I220" s="40"/>
      <x:c r="J220" s="40"/>
      <x:c r="K220" s="40"/>
      <x:c r="L220" s="40"/>
      <x:c r="M220" s="40"/>
      <x:c r="N220" s="40"/>
      <x:c r="O220" s="40"/>
    </x:row>
    <x:row r="221">
      <x:c r="A221" s="40"/>
      <x:c r="B221" s="40"/>
      <x:c r="C221" s="40"/>
      <x:c r="D221" s="40"/>
      <x:c r="E221" s="43" t="n">
        <x:v>3</x:v>
      </x:c>
      <x:c r="F221" s="43" t="n">
        <x:v>290</x:v>
      </x:c>
      <x:c r="G221" s="43" t="n">
        <x:v>14.5</x:v>
      </x:c>
      <x:c r="H221" s="43" t="n">
        <x:v>4.3474603897677255</x:v>
      </x:c>
      <x:c r="I221" s="40"/>
      <x:c r="J221" s="40"/>
      <x:c r="K221" s="40"/>
      <x:c r="L221" s="40"/>
      <x:c r="M221" s="40"/>
      <x:c r="N221" s="40"/>
      <x:c r="O221" s="40"/>
    </x:row>
    <x:row r="222">
      <x:c r="A222" s="40"/>
      <x:c r="B222" s="40"/>
      <x:c r="C222" s="40"/>
      <x:c r="D222" s="40"/>
      <x:c r="E222" s="43" t="n">
        <x:v>3</x:v>
      </x:c>
      <x:c r="F222" s="43" t="n">
        <x:v>295</x:v>
      </x:c>
      <x:c r="G222" s="43" t="n">
        <x:v>14.75</x:v>
      </x:c>
      <x:c r="H222" s="43" t="n">
        <x:v>4.0974603897677255</x:v>
      </x:c>
      <x:c r="I222" s="40"/>
      <x:c r="J222" s="40"/>
      <x:c r="K222" s="40"/>
      <x:c r="L222" s="40"/>
      <x:c r="M222" s="40"/>
      <x:c r="N222" s="40"/>
      <x:c r="O222" s="40"/>
    </x:row>
    <x:row r="223">
      <x:c r="A223" s="40"/>
      <x:c r="B223" s="40"/>
      <x:c r="C223" s="40"/>
      <x:c r="D223" s="40"/>
      <x:c r="E223" s="43" t="n">
        <x:v>3</x:v>
      </x:c>
      <x:c r="F223" s="43" t="n">
        <x:v>300</x:v>
      </x:c>
      <x:c r="G223" s="43" t="n">
        <x:v>15</x:v>
      </x:c>
      <x:c r="H223" s="43" t="n">
        <x:v>3.8474603897677255</x:v>
      </x:c>
      <x:c r="I223" s="40"/>
      <x:c r="J223" s="40"/>
      <x:c r="K223" s="40"/>
      <x:c r="L223" s="40"/>
      <x:c r="M223" s="40"/>
      <x:c r="N223" s="40"/>
      <x:c r="O223" s="40"/>
    </x:row>
    <x:row r="224">
      <x:c r="A224" s="40"/>
      <x:c r="B224" s="40"/>
      <x:c r="C224" s="40"/>
      <x:c r="D224" s="40"/>
      <x:c r="E224" s="40"/>
      <x:c r="F224" s="40"/>
      <x:c r="G224" s="40"/>
      <x:c r="H224" s="40"/>
      <x:c r="I224" s="40"/>
      <x:c r="J224" s="40"/>
      <x:c r="K224" s="40"/>
      <x:c r="L224" s="40"/>
      <x:c r="M224" s="40"/>
      <x:c r="N224" s="40"/>
      <x:c r="O224" s="40"/>
    </x:row>
    <x:row r="225">
      <x:c r="A225" s="40"/>
      <x:c r="B225" s="40"/>
      <x:c r="C225" s="40"/>
      <x:c r="D225" s="40"/>
      <x:c r="E225" s="40"/>
      <x:c r="F225" s="40"/>
      <x:c r="G225" s="40"/>
      <x:c r="H225" s="40"/>
      <x:c r="I225" s="40"/>
      <x:c r="J225" s="40"/>
      <x:c r="K225" s="40"/>
      <x:c r="L225" s="40"/>
      <x:c r="M225" s="40"/>
      <x:c r="N225" s="40"/>
      <x:c r="O225" s="40"/>
    </x:row>
    <x:row r="226">
      <x:c r="A226" s="40"/>
      <x:c r="B226" s="40"/>
      <x:c r="C226" s="40"/>
      <x:c r="D226" s="40"/>
      <x:c r="E226" s="40"/>
      <x:c r="F226" s="40"/>
      <x:c r="G226" s="40"/>
      <x:c r="H226" s="40"/>
      <x:c r="I226" s="40"/>
      <x:c r="J226" s="40"/>
      <x:c r="K226" s="40"/>
      <x:c r="L226" s="40"/>
      <x:c r="M226" s="40"/>
      <x:c r="N226" s="40"/>
      <x:c r="O226" s="40"/>
    </x:row>
    <x:row r="227">
      <x:c r="A227" s="40"/>
      <x:c r="B227" s="40"/>
      <x:c r="C227" s="40"/>
      <x:c r="D227" s="40"/>
      <x:c r="E227" s="40"/>
      <x:c r="F227" s="40"/>
      <x:c r="G227" s="40"/>
      <x:c r="H227" s="40"/>
      <x:c r="I227" s="40"/>
      <x:c r="J227" s="40"/>
      <x:c r="K227" s="40"/>
      <x:c r="L227" s="40"/>
      <x:c r="M227" s="40"/>
      <x:c r="N227" s="40"/>
      <x:c r="O227" s="40"/>
    </x:row>
    <x:row r="228">
      <x:c r="A228" s="40"/>
      <x:c r="B228" s="40"/>
      <x:c r="C228" s="40"/>
      <x:c r="D228" s="40"/>
      <x:c r="E228" s="40"/>
      <x:c r="F228" s="40"/>
      <x:c r="G228" s="40"/>
      <x:c r="H228" s="40"/>
      <x:c r="I228" s="40"/>
      <x:c r="J228" s="40"/>
      <x:c r="K228" s="40"/>
      <x:c r="L228" s="40"/>
      <x:c r="M228" s="40"/>
      <x:c r="N228" s="40"/>
      <x:c r="O228" s="40"/>
    </x:row>
    <x:row r="229">
      <x:c r="A229" s="40"/>
      <x:c r="B229" s="40"/>
      <x:c r="C229" s="40"/>
      <x:c r="D229" s="40"/>
      <x:c r="E229" s="40"/>
      <x:c r="F229" s="40"/>
      <x:c r="G229" s="40"/>
      <x:c r="H229" s="40"/>
      <x:c r="I229" s="40"/>
      <x:c r="J229" s="40"/>
      <x:c r="K229" s="40"/>
      <x:c r="L229" s="40"/>
      <x:c r="M229" s="40"/>
      <x:c r="N229" s="40"/>
      <x:c r="O229" s="40"/>
    </x:row>
    <x:row r="230">
      <x:c r="A230" s="40"/>
      <x:c r="B230" s="40"/>
      <x:c r="C230" s="40"/>
      <x:c r="D230" s="40"/>
      <x:c r="E230" s="40"/>
      <x:c r="F230" s="40"/>
      <x:c r="G230" s="40"/>
      <x:c r="H230" s="40"/>
      <x:c r="I230" s="40"/>
      <x:c r="J230" s="40"/>
      <x:c r="K230" s="40"/>
      <x:c r="L230" s="40"/>
      <x:c r="M230" s="40"/>
      <x:c r="N230" s="40"/>
      <x:c r="O230" s="40"/>
    </x:row>
    <x:row r="231">
      <x:c r="A231" s="40"/>
      <x:c r="B231" s="40"/>
      <x:c r="C231" s="40"/>
      <x:c r="D231" s="40"/>
      <x:c r="E231" s="40"/>
      <x:c r="F231" s="40"/>
      <x:c r="G231" s="40"/>
      <x:c r="H231" s="40"/>
      <x:c r="I231" s="40"/>
      <x:c r="J231" s="40"/>
      <x:c r="K231" s="40"/>
      <x:c r="L231" s="40"/>
      <x:c r="M231" s="40"/>
      <x:c r="N231" s="40"/>
      <x:c r="O231" s="40"/>
    </x:row>
    <x:row r="232">
      <x:c r="A232" s="40"/>
      <x:c r="B232" s="40"/>
      <x:c r="C232" s="40"/>
      <x:c r="D232" s="40"/>
      <x:c r="E232" s="40"/>
      <x:c r="F232" s="40"/>
      <x:c r="G232" s="40"/>
      <x:c r="H232" s="40"/>
      <x:c r="I232" s="40"/>
      <x:c r="J232" s="40"/>
      <x:c r="K232" s="40"/>
      <x:c r="L232" s="40"/>
      <x:c r="M232" s="40"/>
      <x:c r="N232" s="40"/>
      <x:c r="O232" s="40"/>
    </x:row>
    <x:row r="233">
      <x:c r="A233" s="40"/>
      <x:c r="B233" s="40"/>
      <x:c r="C233" s="40"/>
      <x:c r="D233" s="40"/>
      <x:c r="E233" s="40"/>
      <x:c r="F233" s="40"/>
      <x:c r="G233" s="40"/>
      <x:c r="H233" s="40"/>
      <x:c r="I233" s="40"/>
      <x:c r="J233" s="40"/>
      <x:c r="K233" s="40"/>
      <x:c r="L233" s="40"/>
      <x:c r="M233" s="40"/>
      <x:c r="N233" s="40"/>
      <x:c r="O233" s="40"/>
    </x:row>
    <x:row r="234">
      <x:c r="A234" s="40"/>
      <x:c r="B234" s="40"/>
      <x:c r="C234" s="40"/>
      <x:c r="D234" s="40"/>
      <x:c r="E234" s="40"/>
      <x:c r="F234" s="40"/>
      <x:c r="G234" s="40"/>
      <x:c r="H234" s="40"/>
      <x:c r="I234" s="40"/>
      <x:c r="J234" s="40"/>
      <x:c r="K234" s="40"/>
      <x:c r="L234" s="40"/>
      <x:c r="M234" s="40"/>
      <x:c r="N234" s="40"/>
      <x:c r="O234" s="40"/>
    </x:row>
    <x:row r="235">
      <x:c r="A235" s="40"/>
      <x:c r="B235" s="40"/>
      <x:c r="C235" s="40"/>
      <x:c r="D235" s="40"/>
      <x:c r="E235" s="40"/>
      <x:c r="F235" s="40"/>
      <x:c r="G235" s="40"/>
      <x:c r="H235" s="40"/>
      <x:c r="I235" s="40"/>
      <x:c r="J235" s="40"/>
      <x:c r="K235" s="40"/>
      <x:c r="L235" s="40"/>
      <x:c r="M235" s="40"/>
      <x:c r="N235" s="40"/>
      <x:c r="O235" s="40"/>
    </x:row>
    <x:row r="236">
      <x:c r="A236" s="40"/>
      <x:c r="B236" s="40"/>
      <x:c r="C236" s="40"/>
      <x:c r="D236" s="40"/>
      <x:c r="E236" s="40"/>
      <x:c r="F236" s="40"/>
      <x:c r="G236" s="40"/>
      <x:c r="H236" s="40"/>
      <x:c r="I236" s="40"/>
      <x:c r="J236" s="40"/>
      <x:c r="K236" s="40"/>
      <x:c r="L236" s="40"/>
      <x:c r="M236" s="40"/>
      <x:c r="N236" s="40"/>
      <x:c r="O236" s="40"/>
    </x:row>
    <x:row r="237">
      <x:c r="A237" s="40"/>
      <x:c r="B237" s="40"/>
      <x:c r="C237" s="40"/>
      <x:c r="D237" s="40"/>
      <x:c r="E237" s="40"/>
      <x:c r="F237" s="40"/>
      <x:c r="G237" s="40"/>
      <x:c r="H237" s="40"/>
      <x:c r="I237" s="40"/>
      <x:c r="J237" s="40"/>
      <x:c r="K237" s="40"/>
      <x:c r="L237" s="40"/>
      <x:c r="M237" s="40"/>
      <x:c r="N237" s="40"/>
      <x:c r="O237" s="40"/>
    </x:row>
    <x:row r="238">
      <x:c r="A238" s="40"/>
      <x:c r="B238" s="40"/>
      <x:c r="C238" s="40"/>
      <x:c r="D238" s="40"/>
      <x:c r="E238" s="40"/>
      <x:c r="F238" s="40"/>
      <x:c r="G238" s="40"/>
      <x:c r="H238" s="40"/>
      <x:c r="I238" s="40"/>
      <x:c r="J238" s="40"/>
      <x:c r="K238" s="40"/>
      <x:c r="L238" s="40"/>
      <x:c r="M238" s="40"/>
      <x:c r="N238" s="40"/>
      <x:c r="O238" s="40"/>
    </x:row>
    <x:row r="239">
      <x:c r="A239" s="40"/>
      <x:c r="B239" s="40"/>
      <x:c r="C239" s="40"/>
      <x:c r="D239" s="40"/>
      <x:c r="E239" s="40"/>
      <x:c r="F239" s="40"/>
      <x:c r="G239" s="40"/>
      <x:c r="H239" s="40"/>
      <x:c r="I239" s="40"/>
      <x:c r="J239" s="40"/>
      <x:c r="K239" s="40"/>
      <x:c r="L239" s="40"/>
      <x:c r="M239" s="40"/>
      <x:c r="N239" s="40"/>
      <x:c r="O239" s="40"/>
    </x:row>
    <x:row r="240">
      <x:c r="A240" s="40"/>
      <x:c r="B240" s="40"/>
      <x:c r="C240" s="40"/>
      <x:c r="D240" s="40"/>
      <x:c r="E240" s="40"/>
      <x:c r="F240" s="40"/>
      <x:c r="G240" s="40"/>
      <x:c r="H240" s="40"/>
      <x:c r="I240" s="40"/>
      <x:c r="J240" s="40"/>
      <x:c r="K240" s="40"/>
      <x:c r="L240" s="40"/>
      <x:c r="M240" s="40"/>
      <x:c r="N240" s="40"/>
      <x:c r="O240" s="40"/>
    </x:row>
    <x:row r="241">
      <x:c r="A241" s="40"/>
      <x:c r="B241" s="40"/>
      <x:c r="C241" s="40"/>
      <x:c r="D241" s="40"/>
      <x:c r="E241" s="40"/>
      <x:c r="F241" s="40"/>
      <x:c r="G241" s="40"/>
      <x:c r="H241" s="40"/>
      <x:c r="I241" s="40"/>
      <x:c r="J241" s="40"/>
      <x:c r="K241" s="40"/>
      <x:c r="L241" s="40"/>
      <x:c r="M241" s="40"/>
      <x:c r="N241" s="40"/>
      <x:c r="O241" s="40"/>
    </x:row>
    <x:row r="242">
      <x:c r="A242" s="40"/>
      <x:c r="B242" s="40"/>
      <x:c r="C242" s="40"/>
      <x:c r="D242" s="40"/>
      <x:c r="E242" s="40"/>
      <x:c r="F242" s="40"/>
      <x:c r="G242" s="40"/>
      <x:c r="H242" s="40"/>
      <x:c r="I242" s="40"/>
      <x:c r="J242" s="40"/>
      <x:c r="K242" s="40"/>
      <x:c r="L242" s="40"/>
      <x:c r="M242" s="40"/>
      <x:c r="N242" s="40"/>
      <x:c r="O242" s="40"/>
    </x:row>
    <x:row r="243">
      <x:c r="A243" s="40"/>
      <x:c r="B243" s="40"/>
      <x:c r="C243" s="40"/>
      <x:c r="D243" s="40"/>
      <x:c r="E243" s="40"/>
      <x:c r="F243" s="40"/>
      <x:c r="G243" s="40"/>
      <x:c r="H243" s="40"/>
      <x:c r="I243" s="40"/>
      <x:c r="J243" s="40"/>
      <x:c r="K243" s="40"/>
      <x:c r="L243" s="40"/>
      <x:c r="M243" s="40"/>
      <x:c r="N243" s="40"/>
      <x:c r="O243" s="40"/>
    </x:row>
    <x:row r="244">
      <x:c r="A244" s="40"/>
      <x:c r="B244" s="40"/>
      <x:c r="C244" s="40"/>
      <x:c r="D244" s="40"/>
      <x:c r="E244" s="40"/>
      <x:c r="F244" s="40"/>
      <x:c r="G244" s="40"/>
      <x:c r="H244" s="40"/>
      <x:c r="I244" s="40"/>
      <x:c r="J244" s="40"/>
      <x:c r="K244" s="40"/>
      <x:c r="L244" s="40"/>
      <x:c r="M244" s="40"/>
      <x:c r="N244" s="40"/>
      <x:c r="O244" s="40"/>
    </x:row>
    <x:row r="245">
      <x:c r="A245" s="40"/>
      <x:c r="B245" s="40"/>
      <x:c r="C245" s="40"/>
      <x:c r="D245" s="40"/>
      <x:c r="E245" s="40"/>
      <x:c r="F245" s="40"/>
      <x:c r="G245" s="40"/>
      <x:c r="H245" s="40"/>
      <x:c r="I245" s="40"/>
      <x:c r="J245" s="40"/>
      <x:c r="K245" s="40"/>
      <x:c r="L245" s="40"/>
      <x:c r="M245" s="40"/>
      <x:c r="N245" s="40"/>
      <x:c r="O245" s="40"/>
    </x:row>
    <x:row r="246">
      <x:c r="A246" s="40"/>
      <x:c r="B246" s="40"/>
      <x:c r="C246" s="40"/>
      <x:c r="D246" s="40"/>
      <x:c r="E246" s="40"/>
      <x:c r="F246" s="40"/>
      <x:c r="G246" s="40"/>
      <x:c r="H246" s="40"/>
      <x:c r="I246" s="40"/>
      <x:c r="J246" s="40"/>
      <x:c r="K246" s="40"/>
      <x:c r="L246" s="40"/>
      <x:c r="M246" s="40"/>
      <x:c r="N246" s="40"/>
      <x:c r="O246" s="40"/>
    </x:row>
    <x:row r="247">
      <x:c r="A247" s="40"/>
      <x:c r="B247" s="40"/>
      <x:c r="C247" s="40"/>
      <x:c r="D247" s="40"/>
      <x:c r="E247" s="40"/>
      <x:c r="F247" s="40"/>
      <x:c r="G247" s="40"/>
      <x:c r="H247" s="40"/>
      <x:c r="I247" s="40"/>
      <x:c r="J247" s="40"/>
      <x:c r="K247" s="40"/>
      <x:c r="L247" s="40"/>
      <x:c r="M247" s="40"/>
      <x:c r="N247" s="40"/>
      <x:c r="O247" s="40"/>
    </x:row>
    <x:row r="248">
      <x:c r="A248" s="40"/>
      <x:c r="B248" s="40"/>
      <x:c r="C248" s="40"/>
      <x:c r="D248" s="40"/>
      <x:c r="E248" s="40"/>
      <x:c r="F248" s="40"/>
      <x:c r="G248" s="40"/>
      <x:c r="H248" s="40"/>
      <x:c r="I248" s="40"/>
      <x:c r="J248" s="40"/>
      <x:c r="K248" s="40"/>
      <x:c r="L248" s="40"/>
      <x:c r="M248" s="40"/>
      <x:c r="N248" s="40"/>
      <x:c r="O248" s="40"/>
    </x:row>
    <x:row r="249">
      <x:c r="A249" s="40"/>
      <x:c r="B249" s="40"/>
      <x:c r="C249" s="40"/>
      <x:c r="D249" s="40"/>
      <x:c r="E249" s="40"/>
      <x:c r="F249" s="40"/>
      <x:c r="G249" s="40"/>
      <x:c r="H249" s="40"/>
      <x:c r="I249" s="40"/>
      <x:c r="J249" s="40"/>
      <x:c r="K249" s="40"/>
      <x:c r="L249" s="40"/>
      <x:c r="M249" s="40"/>
      <x:c r="N249" s="40"/>
      <x:c r="O249" s="40"/>
    </x:row>
    <x:row r="250">
      <x:c r="A250" s="40"/>
      <x:c r="B250" s="40"/>
      <x:c r="C250" s="40"/>
      <x:c r="D250" s="40"/>
      <x:c r="E250" s="40"/>
      <x:c r="F250" s="40"/>
      <x:c r="G250" s="40"/>
      <x:c r="H250" s="40"/>
      <x:c r="I250" s="40"/>
      <x:c r="J250" s="40"/>
      <x:c r="K250" s="40"/>
      <x:c r="L250" s="42" t="str">
        <x:v>MD m</x:v>
      </x:c>
      <x:c r="M250" s="42" t="str">
        <x:v>Mode 1</x:v>
      </x:c>
      <x:c r="N250" s="42" t="str">
        <x:v>Mode 2</x:v>
      </x:c>
      <x:c r="O250" s="42" t="str">
        <x:v>Mode 3</x:v>
      </x:c>
    </x:row>
    <x:row r="251">
      <x:c r="A251" s="40"/>
      <x:c r="B251" s="40"/>
      <x:c r="C251" s="40"/>
      <x:c r="D251" s="40"/>
      <x:c r="E251" s="40"/>
      <x:c r="F251" s="40"/>
      <x:c r="G251" s="40"/>
      <x:c r="H251" s="40"/>
      <x:c r="I251" s="40"/>
      <x:c r="J251" s="40"/>
      <x:c r="K251" s="40"/>
      <x:c r="L251" s="43" t="n">
        <x:v>0</x:v>
      </x:c>
      <x:c r="M251" s="43" t="n">
        <x:v>0</x:v>
      </x:c>
      <x:c r="N251" s="43" t="n">
        <x:v>0</x:v>
      </x:c>
      <x:c r="O251" s="43" t="n">
        <x:v>0</x:v>
      </x:c>
    </x:row>
    <x:row r="252">
      <x:c r="A252" s="40"/>
      <x:c r="B252" s="40"/>
      <x:c r="C252" s="40"/>
      <x:c r="D252" s="40"/>
      <x:c r="E252" s="40"/>
      <x:c r="F252" s="40"/>
      <x:c r="G252" s="40"/>
      <x:c r="H252" s="40"/>
      <x:c r="I252" s="40"/>
      <x:c r="J252" s="40"/>
      <x:c r="K252" s="40"/>
      <x:c r="L252" s="43" t="n">
        <x:v>0.5</x:v>
      </x:c>
      <x:c r="M252" s="43" t="n">
        <x:v>-0.002993746516279459</x:v>
      </x:c>
      <x:c r="N252" s="43" t="n">
        <x:v>0.017857200478990677</x:v>
      </x:c>
      <x:c r="O252" s="43" t="n">
        <x:v>-0.04772007181421969</x:v>
      </x:c>
    </x:row>
    <x:row r="253">
      <x:c r="A253" s="40"/>
      <x:c r="B253" s="40"/>
      <x:c r="C253" s="40"/>
      <x:c r="D253" s="40"/>
      <x:c r="E253" s="40"/>
      <x:c r="F253" s="40"/>
      <x:c r="G253" s="40"/>
      <x:c r="H253" s="40"/>
      <x:c r="I253" s="40"/>
      <x:c r="J253" s="40"/>
      <x:c r="K253" s="40"/>
      <x:c r="L253" s="43" t="n">
        <x:v>1</x:v>
      </x:c>
      <x:c r="M253" s="43" t="n">
        <x:v>-0.011741603159709426</x:v>
      </x:c>
      <x:c r="N253" s="43" t="n">
        <x:v>0.06635304117983022</x:v>
      </x:c>
      <x:c r="O253" s="43" t="n">
        <x:v>-0.16762015112593442</x:v>
      </x:c>
    </x:row>
    <x:row r="254">
      <x:c r="A254" s="40"/>
      <x:c r="B254" s="40"/>
      <x:c r="C254" s="40"/>
      <x:c r="D254" s="40"/>
      <x:c r="E254" s="40"/>
      <x:c r="F254" s="40"/>
      <x:c r="G254" s="40"/>
      <x:c r="H254" s="40"/>
      <x:c r="I254" s="40"/>
      <x:c r="J254" s="40"/>
      <x:c r="K254" s="40"/>
      <x:c r="L254" s="43" t="n">
        <x:v>1.5</x:v>
      </x:c>
      <x:c r="M254" s="43" t="n">
        <x:v>-0.025893633535077478</x:v>
      </x:c>
      <x:c r="N254" s="43" t="n">
        <x:v>0.13790528598686083</x:v>
      </x:c>
      <x:c r="O254" s="43" t="n">
        <x:v>-0.325449129631345</x:v>
      </x:c>
    </x:row>
    <x:row r="255">
      <x:c r="A255" s="40"/>
      <x:c r="B255" s="40"/>
      <x:c r="C255" s="40"/>
      <x:c r="D255" s="40"/>
      <x:c r="E255" s="40"/>
      <x:c r="F255" s="40"/>
      <x:c r="G255" s="40"/>
      <x:c r="H255" s="40"/>
      <x:c r="I255" s="40"/>
      <x:c r="J255" s="40"/>
      <x:c r="K255" s="40"/>
      <x:c r="L255" s="43" t="n">
        <x:v>2</x:v>
      </x:c>
      <x:c r="M255" s="43" t="n">
        <x:v>-0.045100372314085584</x:v>
      </x:c>
      <x:c r="N255" s="43" t="n">
        <x:v>0.22503442262555207</x:v>
      </x:c>
      <x:c r="O255" s="43" t="n">
        <x:v>-0.4889515429002024</x:v>
      </x:c>
    </x:row>
    <x:row r="256">
      <x:c r="A256" s="40"/>
      <x:c r="B256" s="40"/>
      <x:c r="C256" s="40"/>
      <x:c r="D256" s="40"/>
      <x:c r="E256" s="40"/>
      <x:c r="F256" s="40"/>
      <x:c r="G256" s="40"/>
      <x:c r="H256" s="40"/>
      <x:c r="I256" s="40"/>
      <x:c r="J256" s="40"/>
      <x:c r="K256" s="40"/>
      <x:c r="L256" s="43" t="n">
        <x:v>2.5</x:v>
      </x:c>
      <x:c r="M256" s="43" t="n">
        <x:v>-0.06901335038637839</x:v>
      </x:c>
      <x:c r="N256" s="43" t="n">
        <x:v>0.3204665472881634</x:v>
      </x:c>
      <x:c r="O256" s="43" t="n">
        <x:v>-0.6296166719953098</x:v>
      </x:c>
    </x:row>
    <x:row r="257">
      <x:c r="A257" s="40"/>
      <x:c r="B257" s="40"/>
      <x:c r="C257" s="40"/>
      <x:c r="D257" s="40"/>
      <x:c r="E257" s="40"/>
      <x:c r="F257" s="40"/>
      <x:c r="G257" s="40"/>
      <x:c r="H257" s="40"/>
      <x:c r="I257" s="40"/>
      <x:c r="J257" s="40"/>
      <x:c r="K257" s="40"/>
      <x:c r="L257" s="43" t="n">
        <x:v>3</x:v>
      </x:c>
      <x:c r="M257" s="43" t="n">
        <x:v>-0.09728580836101644</x:v>
      </x:c>
      <x:c r="N257" s="43" t="n">
        <x:v>0.41725909448170306</x:v>
      </x:c>
      <x:c r="O257" s="43" t="n">
        <x:v>-0.7244998974938252</x:v>
      </x:c>
    </x:row>
    <x:row r="258">
      <x:c r="A258" s="40"/>
      <x:c r="B258" s="40"/>
      <x:c r="C258" s="40"/>
      <x:c r="D258" s="40"/>
      <x:c r="E258" s="40"/>
      <x:c r="F258" s="40"/>
      <x:c r="G258" s="40"/>
      <x:c r="H258" s="40"/>
      <x:c r="I258" s="40"/>
      <x:c r="J258" s="40"/>
      <x:c r="K258" s="40"/>
      <x:c r="L258" s="43" t="n">
        <x:v>3.5</x:v>
      </x:c>
      <x:c r="M258" s="43" t="n">
        <x:v>-0.12957358543864184</x:v>
      </x:c>
      <x:c r="N258" s="43" t="n">
        <x:v>0.5089387982024629</x:v>
      </x:c>
      <x:c r="O258" s="43" t="n">
        <x:v>-0.7577926836044252</x:v>
      </x:c>
    </x:row>
    <x:row r="259">
      <x:c r="A259" s="40"/>
      <x:c r="B259" s="40"/>
      <x:c r="C259" s="40"/>
      <x:c r="D259" s="40"/>
      <x:c r="E259" s="40"/>
      <x:c r="F259" s="40"/>
      <x:c r="G259" s="40"/>
      <x:c r="H259" s="40"/>
      <x:c r="I259" s="40"/>
      <x:c r="J259" s="40"/>
      <x:c r="K259" s="40"/>
      <x:c r="L259" s="43" t="n">
        <x:v>4</x:v>
      </x:c>
      <x:c r="M259" s="43" t="n">
        <x:v>-0.16553617073906376</x:v>
      </x:c>
      <x:c r="N259" s="43" t="n">
        <x:v>0.5896417584014234</x:v>
      </x:c>
      <x:c r="O259" s="43" t="n">
        <x:v>-0.7218809495825196</x:v>
      </x:c>
    </x:row>
    <x:row r="260">
      <x:c r="A260" s="40"/>
      <x:c r="B260" s="40"/>
      <x:c r="C260" s="40"/>
      <x:c r="D260" s="40"/>
      <x:c r="E260" s="40"/>
      <x:c r="F260" s="40"/>
      <x:c r="G260" s="40"/>
      <x:c r="H260" s="40"/>
      <x:c r="I260" s="40"/>
      <x:c r="J260" s="40"/>
      <x:c r="K260" s="40"/>
      <x:c r="L260" s="43" t="n">
        <x:v>4.5</x:v>
      </x:c>
      <x:c r="M260" s="43" t="n">
        <x:v>-0.20483790426709153</x:v>
      </x:c>
      <x:c r="N260" s="43" t="n">
        <x:v>0.6542461739872859</x:v>
      </x:c>
      <x:c r="O260" s="43" t="n">
        <x:v>-0.6177124800324558</x:v>
      </x:c>
    </x:row>
    <x:row r="261">
      <x:c r="A261" s="40"/>
      <x:c r="B261" s="40"/>
      <x:c r="C261" s="40"/>
      <x:c r="D261" s="40"/>
      <x:c r="E261" s="40"/>
      <x:c r="F261" s="40"/>
      <x:c r="G261" s="40"/>
      <x:c r="H261" s="40"/>
      <x:c r="I261" s="40"/>
      <x:c r="J261" s="40"/>
      <x:c r="K261" s="40"/>
      <x:c r="L261" s="43" t="n">
        <x:v>5</x:v>
      </x:c>
      <x:c r="M261" s="43" t="n">
        <x:v>-0.24714931483608998</x:v>
      </x:c>
      <x:c r="N261" s="43" t="n">
        <x:v>0.6984891935649802</x:v>
      </x:c>
      <x:c r="O261" s="43" t="n">
        <x:v>-0.45438671987569834</x:v>
      </x:c>
    </x:row>
    <x:row r="262">
      <x:c r="A262" s="40"/>
      <x:c r="B262" s="40"/>
      <x:c r="C262" s="40"/>
      <x:c r="D262" s="40"/>
      <x:c r="E262" s="40"/>
      <x:c r="F262" s="40"/>
      <x:c r="G262" s="40"/>
      <x:c r="H262" s="40"/>
      <x:c r="I262" s="40"/>
      <x:c r="J262" s="40"/>
      <x:c r="K262" s="40"/>
      <x:c r="L262" s="43" t="n">
        <x:v>5.5</x:v>
      </x:c>
      <x:c r="M262" s="43" t="n">
        <x:v>-0.2921485824505638</x:v>
      </x:c>
      <x:c r="N262" s="43" t="n">
        <x:v>0.719060417214822</x:v>
      </x:c>
      <x:c r="O262" s="43" t="n">
        <x:v>-0.24797704357243922</x:v>
      </x:c>
    </x:row>
    <x:row r="263">
      <x:c r="A263" s="40"/>
      <x:c r="B263" s="40"/>
      <x:c r="C263" s="40"/>
      <x:c r="D263" s="40"/>
      <x:c r="E263" s="40"/>
      <x:c r="F263" s="40"/>
      <x:c r="G263" s="40"/>
      <x:c r="H263" s="40"/>
      <x:c r="I263" s="40"/>
      <x:c r="J263" s="40"/>
      <x:c r="K263" s="40"/>
      <x:c r="L263" s="43" t="n">
        <x:v>6</x:v>
      </x:c>
      <x:c r="M263" s="43" t="n">
        <x:v>-0.33952311288036113</x:v>
      </x:c>
      <x:c r="N263" s="43" t="n">
        <x:v>0.7136658339014084</x:v>
      </x:c>
      <x:c r="O263" s="43" t="n">
        <x:v>-0.019687644980019327</x:v>
      </x:c>
    </x:row>
    <x:row r="264">
      <x:c r="A264" s="40"/>
      <x:c r="B264" s="40"/>
      <x:c r="C264" s="40"/>
      <x:c r="D264" s="40"/>
      <x:c r="E264" s="40"/>
      <x:c r="F264" s="40"/>
      <x:c r="G264" s="40"/>
      <x:c r="H264" s="40"/>
      <x:c r="I264" s="40"/>
      <x:c r="J264" s="40"/>
      <x:c r="K264" s="40"/>
      <x:c r="L264" s="43" t="n">
        <x:v>6.5</x:v>
      </x:c>
      <x:c r="M264" s="43" t="n">
        <x:v>-0.38897121244488403</x:v>
      </x:c>
      <x:c r="N264" s="43" t="n">
        <x:v>0.6810573656987118</x:v>
      </x:c>
      <x:c r="O264" s="43" t="n">
        <x:v>0.20647406582012948</x:v>
      </x:c>
    </x:row>
    <x:row r="265">
      <x:c r="A265" s="40"/>
      <x:c r="B265" s="40"/>
      <x:c r="C265" s="40"/>
      <x:c r="D265" s="40"/>
      <x:c r="E265" s="40"/>
      <x:c r="F265" s="40"/>
      <x:c r="G265" s="40"/>
      <x:c r="H265" s="40"/>
      <x:c r="I265" s="40"/>
      <x:c r="J265" s="40"/>
      <x:c r="K265" s="40"/>
      <x:c r="L265" s="43" t="n">
        <x:v>7</x:v>
      </x:c>
      <x:c r="M265" s="43" t="n">
        <x:v>-0.4402038513700675</x:v>
      </x:c>
      <x:c r="N265" s="43" t="n">
        <x:v>0.6210246690034611</x:v>
      </x:c>
      <x:c r="O265" s="43" t="n">
        <x:v>0.40627073266257036</x:v>
      </x:c>
    </x:row>
    <x:row r="266">
      <x:c r="A266" s="40"/>
      <x:c r="B266" s="40"/>
      <x:c r="C266" s="40"/>
      <x:c r="D266" s="40"/>
      <x:c r="E266" s="40"/>
      <x:c r="F266" s="40"/>
      <x:c r="G266" s="40"/>
      <x:c r="H266" s="40"/>
      <x:c r="I266" s="40"/>
      <x:c r="J266" s="40"/>
      <x:c r="K266" s="40"/>
      <x:c r="L266" s="43" t="n">
        <x:v>7.5</x:v>
      </x:c>
      <x:c r="M266" s="43" t="n">
        <x:v>-0.4929465044876286</x:v>
      </x:c>
      <x:c r="N266" s="43" t="n">
        <x:v>0.5343473643117079</x:v>
      </x:c>
      <x:c r="O266" s="43" t="n">
        <x:v>0.557783472646738</x:v>
      </x:c>
    </x:row>
    <x:row r="267">
      <x:c r="A267" s="40"/>
      <x:c r="B267" s="40"/>
      <x:c r="C267" s="40"/>
      <x:c r="D267" s="40"/>
      <x:c r="E267" s="40"/>
      <x:c r="F267" s="40"/>
      <x:c r="G267" s="40"/>
      <x:c r="H267" s="40"/>
      <x:c r="I267" s="40"/>
      <x:c r="J267" s="40"/>
      <x:c r="K267" s="40"/>
      <x:c r="L267" s="43" t="n">
        <x:v>8</x:v>
      </x:c>
      <x:c r="M267" s="43" t="n">
        <x:v>-0.5469410585183856</x:v>
      </x:c>
      <x:c r="N267" s="43" t="n">
        <x:v>0.42270737509274353</x:v>
      </x:c>
      <x:c r="O267" s="43" t="n">
        <x:v>0.6436622412314693</x:v>
      </x:c>
    </x:row>
    <x:row r="268">
      <x:c r="A268" s="40"/>
      <x:c r="B268" s="40"/>
      <x:c r="C268" s="40"/>
      <x:c r="D268" s="40"/>
      <x:c r="E268" s="40"/>
      <x:c r="F268" s="40"/>
      <x:c r="G268" s="40"/>
      <x:c r="H268" s="40"/>
      <x:c r="I268" s="40"/>
      <x:c r="J268" s="40"/>
      <x:c r="K268" s="40"/>
      <x:c r="L268" s="43" t="n">
        <x:v>8.5</x:v>
      </x:c>
      <x:c r="M268" s="43" t="n">
        <x:v>-0.6019477757224113</x:v>
      </x:c>
      <x:c r="N268" s="43" t="n">
        <x:v>0.28856249526899286</x:v>
      </x:c>
      <x:c r="O268" s="43" t="n">
        <x:v>0.6528309696464955</x:v>
      </x:c>
    </x:row>
    <x:row r="269">
      <x:c r="A269" s="40"/>
      <x:c r="B269" s="40"/>
      <x:c r="C269" s="40"/>
      <x:c r="D269" s="40"/>
      <x:c r="E269" s="40"/>
      <x:c r="F269" s="40"/>
      <x:c r="G269" s="40"/>
      <x:c r="H269" s="40"/>
      <x:c r="I269" s="40"/>
      <x:c r="J269" s="40"/>
      <x:c r="K269" s="40"/>
      <x:c r="L269" s="43" t="n">
        <x:v>9</x:v>
      </x:c>
      <x:c r="M269" s="43" t="n">
        <x:v>-0.6577473043106223</x:v>
      </x:c>
      <x:c r="N269" s="43" t="n">
        <x:v>0.13498361577596432</x:v>
      </x:c>
      <x:c r="O269" s="43" t="n">
        <x:v>0.5814516771458759</x:v>
      </x:c>
    </x:row>
    <x:row r="270">
      <x:c r="A270" s="40"/>
      <x:c r="B270" s="40"/>
      <x:c r="C270" s="40"/>
      <x:c r="D270" s="40"/>
      <x:c r="E270" s="40"/>
      <x:c r="F270" s="40"/>
      <x:c r="G270" s="40"/>
      <x:c r="H270" s="40"/>
      <x:c r="I270" s="40"/>
      <x:c r="J270" s="40"/>
      <x:c r="K270" s="40"/>
      <x:c r="L270" s="43" t="n">
        <x:v>9.5</x:v>
      </x:c>
      <x:c r="M270" s="43" t="n">
        <x:v>-0.7141427266972987</x:v>
      </x:c>
      <x:c r="N270" s="43" t="n">
        <x:v>-0.03454083278594548</x:v>
      </x:c>
      <x:c r="O270" s="43" t="n">
        <x:v>0.43302232531601753</x:v>
      </x:c>
    </x:row>
    <x:row r="271">
      <x:c r="A271" s="40"/>
      <x:c r="B271" s="40"/>
      <x:c r="C271" s="40"/>
      <x:c r="D271" s="40"/>
      <x:c r="E271" s="40"/>
      <x:c r="F271" s="40"/>
      <x:c r="G271" s="40"/>
      <x:c r="H271" s="40"/>
      <x:c r="I271" s="40"/>
      <x:c r="J271" s="40"/>
      <x:c r="K271" s="40"/>
      <x:c r="L271" s="43" t="n">
        <x:v>10</x:v>
      </x:c>
      <x:c r="M271" s="43" t="n">
        <x:v>-0.7709616374330363</x:v>
      </x:c>
      <x:c r="N271" s="43" t="n">
        <x:v>-0.21632877519152077</x:v>
      </x:c>
      <x:c r="O271" s="43" t="n">
        <x:v>0.21756456818183154</x:v>
      </x:c>
    </x:row>
    <x:row r="272">
      <x:c r="A272" s="40"/>
      <x:c r="B272" s="40"/>
      <x:c r="C272" s="40"/>
      <x:c r="D272" s="40"/>
      <x:c r="E272" s="40"/>
      <x:c r="F272" s="40"/>
      <x:c r="G272" s="40"/>
      <x:c r="H272" s="40"/>
      <x:c r="I272" s="40"/>
      <x:c r="J272" s="40"/>
      <x:c r="K272" s="40"/>
      <x:c r="L272" s="43" t="n">
        <x:v>10.5</x:v>
      </x:c>
      <x:c r="M272" s="43" t="n">
        <x:v>-0.8280582434935904</x:v>
      </x:c>
      <x:c r="N272" s="43" t="n">
        <x:v>-0.40675167399452156</x:v>
      </x:c>
      <x:c r="O272" s="43" t="n">
        <x:v>-0.0500600227696683</x:v>
      </x:c>
    </x:row>
    <x:row r="273">
      <x:c r="A273" s="40"/>
      <x:c r="B273" s="40"/>
      <x:c r="C273" s="40"/>
      <x:c r="D273" s="40"/>
      <x:c r="E273" s="40"/>
      <x:c r="F273" s="40"/>
      <x:c r="G273" s="40"/>
      <x:c r="H273" s="40"/>
      <x:c r="I273" s="40"/>
      <x:c r="J273" s="40"/>
      <x:c r="K273" s="40"/>
      <x:c r="L273" s="43" t="n">
        <x:v>11</x:v>
      </x:c>
      <x:c r="M273" s="43" t="n">
        <x:v>-0.885315480513681</x:v>
      </x:c>
      <x:c r="N273" s="43" t="n">
        <x:v>-0.6024996712689897</x:v>
      </x:c>
      <x:c r="O273" s="43" t="n">
        <x:v>-0.35259349937167905</x:v>
      </x:c>
    </x:row>
    <x:row r="274">
      <x:c r="A274" s="40"/>
      <x:c r="B274" s="40"/>
      <x:c r="C274" s="40"/>
      <x:c r="D274" s="40"/>
      <x:c r="E274" s="40"/>
      <x:c r="F274" s="40"/>
      <x:c r="G274" s="40"/>
      <x:c r="H274" s="40"/>
      <x:c r="I274" s="40"/>
      <x:c r="J274" s="40"/>
      <x:c r="K274" s="40"/>
      <x:c r="L274" s="43" t="n">
        <x:v>11.5</x:v>
      </x:c>
      <x:c r="M274" s="43" t="n">
        <x:v>-0.9426471395464757</x:v>
      </x:c>
      <x:c r="N274" s="43" t="n">
        <x:v>-0.8008594443888234</x:v>
      </x:c>
      <x:c r="O274" s="43" t="n">
        <x:v>-0.6734190082719536</x:v>
      </x:c>
    </x:row>
    <x:row r="275">
      <x:c r="A275" s="40"/>
      <x:c r="B275" s="40"/>
      <x:c r="C275" s="40"/>
      <x:c r="D275" s="40"/>
      <x:c r="E275" s="40"/>
      <x:c r="F275" s="40"/>
      <x:c r="G275" s="40"/>
      <x:c r="H275" s="40"/>
      <x:c r="I275" s="40"/>
      <x:c r="J275" s="40"/>
      <x:c r="K275" s="40"/>
      <x:c r="L275" s="43" t="n">
        <x:v>12</x:v>
      </x:c>
      <x:c r="M275" s="43" t="n">
        <x:v>-1</x:v>
      </x:c>
      <x:c r="N275" s="43" t="n">
        <x:v>-1</x:v>
      </x:c>
      <x:c r="O275" s="43" t="n">
        <x:v>-1</x:v>
      </x:c>
    </x:row>
  </x:sheetData>
  <x:mergeCells>
    <x:mergeCell ref="A1:N1"/>
    <x:mergeCell ref="A3:O3"/>
  </x:mergeCells>
  <x:conditionalFormatting sqref="G6:G30">
    <x:cfRule type="colorScale" priority="1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conditionalFormatting sqref="H41:H223">
    <x:cfRule type="colorScale" priority="2">
      <x:colorScale>
        <x:cfvo type="min"/>
        <x:cfvo type="percentile" val="50"/>
        <x:cfvo type="max"/>
        <x:color rgb="FFCCFBF1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4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Chart Settings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 t="str">
        <x:v>Persisted engineering-chart configuration</x:v>
      </x:c>
      <x:c r="B3" s="41" t="str">
        <x:v>Persisted engineering-chart configuration</x:v>
      </x:c>
      <x:c r="C3" s="41" t="str">
        <x:v>Persisted engineering-chart configuration</x:v>
      </x:c>
      <x:c r="D3" s="47" t="str">
        <x:v>These settings are saved with the case and reapplied by the VBA engine.</x:v>
      </x:c>
      <x:c r="E3" s="47"/>
      <x:c r="F3" s="47"/>
      <x:c r="G3" s="47"/>
      <x:c r="H3" s="47"/>
      <x:c r="I3" s="47"/>
      <x:c r="J3" s="47"/>
      <x:c r="K3" s="40"/>
      <x:c r="L3" s="40"/>
      <x:c r="M3" s="40"/>
      <x:c r="N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42" t="str">
        <x:v>Setting</x:v>
      </x:c>
      <x:c r="B5" s="42" t="str">
        <x:v>Value</x:v>
      </x:c>
      <x:c r="C5" s="42" t="str">
        <x:v>Purpose</x:v>
      </x:c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</x:row>
    <x:row r="6">
      <x:c r="A6" s="40" t="str">
        <x:v>Selected MD</x:v>
      </x:c>
      <x:c r="B6" s="44" t="n">
        <x:v>0</x:v>
      </x:c>
      <x:c r="C6" s="40" t="str">
        <x:v>Canonical SI depth used by the screen reader</x:v>
      </x:c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>
      <x:c r="A7" s="40" t="str">
        <x:v>Observed data visible</x:v>
      </x:c>
      <x:c r="B7" s="44" t="str">
        <x:v>Yes</x:v>
      </x:c>
      <x:c r="C7" s="40" t="str">
        <x:v>Show measured/observed series when supplied</x:v>
      </x:c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>
      <x:c r="A8" s="40" t="str">
        <x:v>Low friction multiplier</x:v>
      </x:c>
      <x:c r="B8" s="44" t="n">
        <x:v>0.8</x:v>
      </x:c>
      <x:c r="C8" s="40" t="str">
        <x:v>Low sensitivity family</x:v>
      </x:c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</x:row>
    <x:row r="9">
      <x:c r="A9" s="40" t="str">
        <x:v>Base friction multiplier</x:v>
      </x:c>
      <x:c r="B9" s="44" t="n">
        <x:v>1</x:v>
      </x:c>
      <x:c r="C9" s="40" t="str">
        <x:v>Base model</x:v>
      </x:c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>
      <x:c r="A10" s="40" t="str">
        <x:v>High friction multiplier</x:v>
      </x:c>
      <x:c r="B10" s="44" t="n">
        <x:v>1.2</x:v>
      </x:c>
      <x:c r="C10" s="40" t="str">
        <x:v>High sensitivity family</x:v>
      </x:c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>
      <x:c r="A11" s="40" t="str">
        <x:v>Show well context</x:v>
      </x:c>
      <x:c r="B11" s="44" t="str">
        <x:v>Yes</x:v>
      </x:c>
      <x:c r="C11" s="40" t="str">
        <x:v>Show section/component boundary context</x:v>
      </x:c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</x:row>
    <x:row r="12">
      <x:c r="A12" s="40" t="str">
        <x:v>Show limits</x:v>
      </x:c>
      <x:c r="B12" s="44" t="str">
        <x:v>Yes</x:v>
      </x:c>
      <x:c r="C12" s="40" t="str">
        <x:v>Show ratings, thresholds, and operating envelopes</x:v>
      </x:c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</x:row>
    <x:row r="13">
      <x:c r="A13" s="40" t="str">
        <x:v>Report composition</x:v>
      </x:c>
      <x:c r="B13" s="44" t="str">
        <x:v>Engineering review</x:v>
      </x:c>
      <x:c r="C13" s="40" t="str">
        <x:v>Saved chart/report selection</x:v>
      </x:c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</x:row>
  </x:sheetData>
  <x:mergeCells>
    <x:mergeCell ref="A1:N1"/>
    <x:mergeCell ref="A3:C3"/>
    <x:mergeCell ref="D3:J3"/>
  </x:mergeCells>
  <x:dataValidations count="2">
    <x:dataValidation type="list" sqref="B7">
      <x:formula1>"Yes,No"</x:formula1>
    </x:dataValidation>
    <x:dataValidation type="list" sqref="B11:B12">
      <x:formula1>"Yes,No"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Unit Map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 t="str">
        <x:v>Display-unit control — calculations and stored inputs remain SI</x:v>
      </x:c>
      <x:c r="B3" s="41" t="str">
        <x:v>Display-unit control — calculations and stored inputs remain SI</x:v>
      </x:c>
      <x:c r="C3" s="41" t="str">
        <x:v>Display-unit control — calculations and stored inputs remain SI</x:v>
      </x:c>
      <x:c r="D3" s="41" t="str">
        <x:v>Display-unit control — calculations and stored inputs remain SI</x:v>
      </x:c>
      <x:c r="E3" s="41" t="str">
        <x:v>Display-unit control — calculations and stored inputs remain SI</x:v>
      </x:c>
      <x:c r="F3" s="41" t="str">
        <x:v>Display-unit control — calculations and stored inputs remain SI</x:v>
      </x:c>
      <x:c r="G3" s="41" t="str">
        <x:v>Display-unit control — calculations and stored inputs remain SI</x:v>
      </x:c>
      <x:c r="H3" s="41" t="str">
        <x:v>Display-unit control — calculations and stored inputs remain SI</x:v>
      </x:c>
      <x:c r="I3" s="41" t="str">
        <x:v>Display-unit control — calculations and stored inputs remain SI</x:v>
      </x:c>
      <x:c r="J3" s="41" t="str">
        <x:v>Display-unit control — calculations and stored inputs remain SI</x:v>
      </x:c>
      <x:c r="K3" s="40"/>
      <x:c r="L3" s="40"/>
      <x:c r="M3" s="40"/>
      <x:c r="N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40" t="str">
        <x:v>Display system</x:v>
      </x:c>
      <x:c r="B5" s="44" t="str">
        <x:v>SI</x:v>
      </x:c>
      <x:c r="C5" s="40"/>
      <x:c r="D5" s="47" t="str">
        <x:v>Choose Custom, then set each domain dropdown in column J.</x:v>
      </x:c>
      <x:c r="E5" s="47"/>
      <x:c r="F5" s="47"/>
      <x:c r="G5" s="47"/>
      <x:c r="H5" s="47"/>
      <x:c r="I5" s="47"/>
      <x:c r="J5" s="47"/>
      <x:c r="K5" s="40"/>
      <x:c r="L5" s="40"/>
      <x:c r="M5" s="40"/>
      <x:c r="N5" s="40"/>
    </x:row>
    <x:row r="6">
      <x:c r="A6" s="40"/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>
      <x:c r="A7" s="42" t="str">
        <x:v>Domain</x:v>
      </x:c>
      <x:c r="B7" s="42" t="str">
        <x:v>SI unit</x:v>
      </x:c>
      <x:c r="C7" s="42" t="str">
        <x:v>Imperial</x:v>
      </x:c>
      <x:c r="D7" s="42" t="str">
        <x:v>Mixed</x:v>
      </x:c>
      <x:c r="E7" s="42" t="str">
        <x:v>Imp factor</x:v>
      </x:c>
      <x:c r="F7" s="42" t="str">
        <x:v>Mixed factor</x:v>
      </x:c>
      <x:c r="G7" s="42" t="str">
        <x:v>Offset</x:v>
      </x:c>
      <x:c r="H7" s="42" t="str">
        <x:v>Selected unit</x:v>
      </x:c>
      <x:c r="I7" s="42" t="str">
        <x:v>Selected factor</x:v>
      </x:c>
      <x:c r="J7" s="42" t="str">
        <x:v>Custom selection</x:v>
      </x:c>
      <x:c r="K7" s="40"/>
      <x:c r="L7" s="40"/>
      <x:c r="M7" s="40"/>
      <x:c r="N7" s="40"/>
    </x:row>
    <x:row r="8">
      <x:c r="A8" s="48" t="str">
        <x:v>Length</x:v>
      </x:c>
      <x:c r="B8" s="48" t="str">
        <x:v>m</x:v>
      </x:c>
      <x:c r="C8" s="48" t="str">
        <x:v>ft</x:v>
      </x:c>
      <x:c r="D8" s="48" t="str">
        <x:v>m</x:v>
      </x:c>
      <x:c r="E8" s="18" t="n">
        <x:v>3.280839895</x:v>
      </x:c>
      <x:c r="F8" s="18" t="n">
        <x:v>1</x:v>
      </x:c>
      <x:c r="G8" s="18" t="n">
        <x:v>0</x:v>
      </x:c>
      <x:c r="H8" s="48" t="str">
        <x:f>IF($B$5="SI",B8,IF($B$5="Imperial",C8,IF($B$5="Mixed",D8,IF($B$5="Custom",IF(J8="SI",B8,IF(J8="Imperial",C8,IF(J8="Mixed",D8,"INVALID"))),"INVALID"))))</x:f>
        <x:v>m</x:v>
      </x:c>
      <x:c r="I8" s="18" t="n">
        <x:f>IF($B$5="SI",1,IF($B$5="Imperial",E8,IF($B$5="Mixed",F8,IF($B$5="Custom",IF(J8="SI",1,IF(J8="Imperial",E8,IF(J8="Mixed",F8,NA()))),NA()))))</x:f>
        <x:v>1</x:v>
      </x:c>
      <x:c r="J8" s="44" t="str">
        <x:v>SI</x:v>
      </x:c>
      <x:c r="K8" s="40"/>
      <x:c r="L8" s="40"/>
      <x:c r="M8" s="40"/>
      <x:c r="N8" s="40"/>
    </x:row>
    <x:row r="9">
      <x:c r="A9" s="48" t="str">
        <x:v>Diameter</x:v>
      </x:c>
      <x:c r="B9" s="48" t="str">
        <x:v>m</x:v>
      </x:c>
      <x:c r="C9" s="48" t="str">
        <x:v>in</x:v>
      </x:c>
      <x:c r="D9" s="48" t="str">
        <x:v>mm</x:v>
      </x:c>
      <x:c r="E9" s="18" t="n">
        <x:v>39.37007874</x:v>
      </x:c>
      <x:c r="F9" s="18" t="n">
        <x:v>1000</x:v>
      </x:c>
      <x:c r="G9" s="18" t="n">
        <x:v>0</x:v>
      </x:c>
      <x:c r="H9" s="48" t="str">
        <x:f>IF($B$5="SI",B9,IF($B$5="Imperial",C9,IF($B$5="Mixed",D9,IF($B$5="Custom",IF(J9="SI",B9,IF(J9="Imperial",C9,IF(J9="Mixed",D9,"INVALID"))),"INVALID"))))</x:f>
        <x:v>m</x:v>
      </x:c>
      <x:c r="I9" s="18" t="n">
        <x:f>IF($B$5="SI",1,IF($B$5="Imperial",E9,IF($B$5="Mixed",F9,IF($B$5="Custom",IF(J9="SI",1,IF(J9="Imperial",E9,IF(J9="Mixed",F9,NA()))),NA()))))</x:f>
        <x:v>1</x:v>
      </x:c>
      <x:c r="J9" s="44" t="str">
        <x:v>SI</x:v>
      </x:c>
      <x:c r="K9" s="40"/>
      <x:c r="L9" s="40"/>
      <x:c r="M9" s="40"/>
      <x:c r="N9" s="40"/>
    </x:row>
    <x:row r="10">
      <x:c r="A10" s="48" t="str">
        <x:v>Area</x:v>
      </x:c>
      <x:c r="B10" s="48" t="str">
        <x:v>m2</x:v>
      </x:c>
      <x:c r="C10" s="48" t="str">
        <x:v>in2</x:v>
      </x:c>
      <x:c r="D10" s="48" t="str">
        <x:v>cm2</x:v>
      </x:c>
      <x:c r="E10" s="18" t="n">
        <x:v>1550.0031</x:v>
      </x:c>
      <x:c r="F10" s="18" t="n">
        <x:v>10000</x:v>
      </x:c>
      <x:c r="G10" s="18" t="n">
        <x:v>0</x:v>
      </x:c>
      <x:c r="H10" s="48" t="str">
        <x:f>IF($B$5="SI",B10,IF($B$5="Imperial",C10,IF($B$5="Mixed",D10,IF($B$5="Custom",IF(J10="SI",B10,IF(J10="Imperial",C10,IF(J10="Mixed",D10,"INVALID"))),"INVALID"))))</x:f>
        <x:v>m2</x:v>
      </x:c>
      <x:c r="I10" s="18" t="n">
        <x:f>IF($B$5="SI",1,IF($B$5="Imperial",E10,IF($B$5="Mixed",F10,IF($B$5="Custom",IF(J10="SI",1,IF(J10="Imperial",E10,IF(J10="Mixed",F10,NA()))),NA()))))</x:f>
        <x:v>1</x:v>
      </x:c>
      <x:c r="J10" s="44" t="str">
        <x:v>SI</x:v>
      </x:c>
      <x:c r="K10" s="40"/>
      <x:c r="L10" s="40"/>
      <x:c r="M10" s="40"/>
      <x:c r="N10" s="40"/>
    </x:row>
    <x:row r="11">
      <x:c r="A11" s="48" t="str">
        <x:v>Volume</x:v>
      </x:c>
      <x:c r="B11" s="48" t="str">
        <x:v>m3</x:v>
      </x:c>
      <x:c r="C11" s="48" t="str">
        <x:v>bbl</x:v>
      </x:c>
      <x:c r="D11" s="48" t="str">
        <x:v>L</x:v>
      </x:c>
      <x:c r="E11" s="18" t="n">
        <x:v>6.28981077</x:v>
      </x:c>
      <x:c r="F11" s="18" t="n">
        <x:v>1000</x:v>
      </x:c>
      <x:c r="G11" s="18" t="n">
        <x:v>0</x:v>
      </x:c>
      <x:c r="H11" s="48" t="str">
        <x:f>IF($B$5="SI",B11,IF($B$5="Imperial",C11,IF($B$5="Mixed",D11,IF($B$5="Custom",IF(J11="SI",B11,IF(J11="Imperial",C11,IF(J11="Mixed",D11,"INVALID"))),"INVALID"))))</x:f>
        <x:v>m3</x:v>
      </x:c>
      <x:c r="I11" s="18" t="n">
        <x:f>IF($B$5="SI",1,IF($B$5="Imperial",E11,IF($B$5="Mixed",F11,IF($B$5="Custom",IF(J11="SI",1,IF(J11="Imperial",E11,IF(J11="Mixed",F11,NA()))),NA()))))</x:f>
        <x:v>1</x:v>
      </x:c>
      <x:c r="J11" s="44" t="str">
        <x:v>SI</x:v>
      </x:c>
      <x:c r="K11" s="40"/>
      <x:c r="L11" s="40"/>
      <x:c r="M11" s="40"/>
      <x:c r="N11" s="40"/>
    </x:row>
    <x:row r="12">
      <x:c r="A12" s="48" t="str">
        <x:v>Flow rate</x:v>
      </x:c>
      <x:c r="B12" s="48" t="str">
        <x:v>m3/s</x:v>
      </x:c>
      <x:c r="C12" s="48" t="str">
        <x:v>gpm</x:v>
      </x:c>
      <x:c r="D12" s="48" t="str">
        <x:v>L/min</x:v>
      </x:c>
      <x:c r="E12" s="18" t="n">
        <x:v>15850.32314</x:v>
      </x:c>
      <x:c r="F12" s="18" t="n">
        <x:v>60000</x:v>
      </x:c>
      <x:c r="G12" s="18" t="n">
        <x:v>0</x:v>
      </x:c>
      <x:c r="H12" s="48" t="str">
        <x:f>IF($B$5="SI",B12,IF($B$5="Imperial",C12,IF($B$5="Mixed",D12,IF($B$5="Custom",IF(J12="SI",B12,IF(J12="Imperial",C12,IF(J12="Mixed",D12,"INVALID"))),"INVALID"))))</x:f>
        <x:v>m3/s</x:v>
      </x:c>
      <x:c r="I12" s="18" t="n">
        <x:f>IF($B$5="SI",1,IF($B$5="Imperial",E12,IF($B$5="Mixed",F12,IF($B$5="Custom",IF(J12="SI",1,IF(J12="Imperial",E12,IF(J12="Mixed",F12,NA()))),NA()))))</x:f>
        <x:v>1</x:v>
      </x:c>
      <x:c r="J12" s="44" t="str">
        <x:v>SI</x:v>
      </x:c>
      <x:c r="K12" s="40"/>
      <x:c r="L12" s="40"/>
      <x:c r="M12" s="40"/>
      <x:c r="N12" s="40"/>
    </x:row>
    <x:row r="13">
      <x:c r="A13" s="48" t="str">
        <x:v>Density</x:v>
      </x:c>
      <x:c r="B13" s="48" t="str">
        <x:v>kg/m3</x:v>
      </x:c>
      <x:c r="C13" s="48" t="str">
        <x:v>ppg</x:v>
      </x:c>
      <x:c r="D13" s="48" t="str">
        <x:v>kg/m3</x:v>
      </x:c>
      <x:c r="E13" s="18" t="n">
        <x:v>0.008345404</x:v>
      </x:c>
      <x:c r="F13" s="18" t="n">
        <x:v>1</x:v>
      </x:c>
      <x:c r="G13" s="18" t="n">
        <x:v>0</x:v>
      </x:c>
      <x:c r="H13" s="48" t="str">
        <x:f>IF($B$5="SI",B13,IF($B$5="Imperial",C13,IF($B$5="Mixed",D13,IF($B$5="Custom",IF(J13="SI",B13,IF(J13="Imperial",C13,IF(J13="Mixed",D13,"INVALID"))),"INVALID"))))</x:f>
        <x:v>kg/m3</x:v>
      </x:c>
      <x:c r="I13" s="18" t="n">
        <x:f>IF($B$5="SI",1,IF($B$5="Imperial",E13,IF($B$5="Mixed",F13,IF($B$5="Custom",IF(J13="SI",1,IF(J13="Imperial",E13,IF(J13="Mixed",F13,NA()))),NA()))))</x:f>
        <x:v>1</x:v>
      </x:c>
      <x:c r="J13" s="44" t="str">
        <x:v>SI</x:v>
      </x:c>
      <x:c r="K13" s="40"/>
      <x:c r="L13" s="40"/>
      <x:c r="M13" s="40"/>
      <x:c r="N13" s="40"/>
    </x:row>
    <x:row r="14">
      <x:c r="A14" s="48" t="str">
        <x:v>Force</x:v>
      </x:c>
      <x:c r="B14" s="48" t="str">
        <x:v>N</x:v>
      </x:c>
      <x:c r="C14" s="48" t="str">
        <x:v>lbf</x:v>
      </x:c>
      <x:c r="D14" s="48" t="str">
        <x:v>kN</x:v>
      </x:c>
      <x:c r="E14" s="18" t="n">
        <x:v>0.224808943</x:v>
      </x:c>
      <x:c r="F14" s="18" t="n">
        <x:v>0.001</x:v>
      </x:c>
      <x:c r="G14" s="18" t="n">
        <x:v>0</x:v>
      </x:c>
      <x:c r="H14" s="48" t="str">
        <x:f>IF($B$5="SI",B14,IF($B$5="Imperial",C14,IF($B$5="Mixed",D14,IF($B$5="Custom",IF(J14="SI",B14,IF(J14="Imperial",C14,IF(J14="Mixed",D14,"INVALID"))),"INVALID"))))</x:f>
        <x:v>N</x:v>
      </x:c>
      <x:c r="I14" s="18" t="n">
        <x:f>IF($B$5="SI",1,IF($B$5="Imperial",E14,IF($B$5="Mixed",F14,IF($B$5="Custom",IF(J14="SI",1,IF(J14="Imperial",E14,IF(J14="Mixed",F14,NA()))),NA()))))</x:f>
        <x:v>1</x:v>
      </x:c>
      <x:c r="J14" s="44" t="str">
        <x:v>SI</x:v>
      </x:c>
      <x:c r="K14" s="40"/>
      <x:c r="L14" s="40"/>
      <x:c r="M14" s="40"/>
      <x:c r="N14" s="40"/>
    </x:row>
    <x:row r="15">
      <x:c r="A15" s="48" t="str">
        <x:v>Pressure</x:v>
      </x:c>
      <x:c r="B15" s="48" t="str">
        <x:v>Pa</x:v>
      </x:c>
      <x:c r="C15" s="48" t="str">
        <x:v>psi</x:v>
      </x:c>
      <x:c r="D15" s="48" t="str">
        <x:v>kPa</x:v>
      </x:c>
      <x:c r="E15" s="18" t="n">
        <x:v>0.000145037738</x:v>
      </x:c>
      <x:c r="F15" s="18" t="n">
        <x:v>0.001</x:v>
      </x:c>
      <x:c r="G15" s="18" t="n">
        <x:v>0</x:v>
      </x:c>
      <x:c r="H15" s="48" t="str">
        <x:f>IF($B$5="SI",B15,IF($B$5="Imperial",C15,IF($B$5="Mixed",D15,IF($B$5="Custom",IF(J15="SI",B15,IF(J15="Imperial",C15,IF(J15="Mixed",D15,"INVALID"))),"INVALID"))))</x:f>
        <x:v>Pa</x:v>
      </x:c>
      <x:c r="I15" s="18" t="n">
        <x:f>IF($B$5="SI",1,IF($B$5="Imperial",E15,IF($B$5="Mixed",F15,IF($B$5="Custom",IF(J15="SI",1,IF(J15="Imperial",E15,IF(J15="Mixed",F15,NA()))),NA()))))</x:f>
        <x:v>1</x:v>
      </x:c>
      <x:c r="J15" s="44" t="str">
        <x:v>SI</x:v>
      </x:c>
      <x:c r="K15" s="40"/>
      <x:c r="L15" s="40"/>
      <x:c r="M15" s="40"/>
      <x:c r="N15" s="40"/>
    </x:row>
    <x:row r="16">
      <x:c r="A16" s="48" t="str">
        <x:v>Torque</x:v>
      </x:c>
      <x:c r="B16" s="48" t="str">
        <x:v>N-m</x:v>
      </x:c>
      <x:c r="C16" s="48" t="str">
        <x:v>ft-lbf</x:v>
      </x:c>
      <x:c r="D16" s="48" t="str">
        <x:v>kN-m</x:v>
      </x:c>
      <x:c r="E16" s="18" t="n">
        <x:v>0.737562149</x:v>
      </x:c>
      <x:c r="F16" s="18" t="n">
        <x:v>0.001</x:v>
      </x:c>
      <x:c r="G16" s="18" t="n">
        <x:v>0</x:v>
      </x:c>
      <x:c r="H16" s="48" t="str">
        <x:f>IF($B$5="SI",B16,IF($B$5="Imperial",C16,IF($B$5="Mixed",D16,IF($B$5="Custom",IF(J16="SI",B16,IF(J16="Imperial",C16,IF(J16="Mixed",D16,"INVALID"))),"INVALID"))))</x:f>
        <x:v>N-m</x:v>
      </x:c>
      <x:c r="I16" s="18" t="n">
        <x:f>IF($B$5="SI",1,IF($B$5="Imperial",E16,IF($B$5="Mixed",F16,IF($B$5="Custom",IF(J16="SI",1,IF(J16="Imperial",E16,IF(J16="Mixed",F16,NA()))),NA()))))</x:f>
        <x:v>1</x:v>
      </x:c>
      <x:c r="J16" s="44" t="str">
        <x:v>SI</x:v>
      </x:c>
      <x:c r="K16" s="40"/>
      <x:c r="L16" s="40"/>
      <x:c r="M16" s="40"/>
      <x:c r="N16" s="40"/>
    </x:row>
    <x:row r="17">
      <x:c r="A17" s="48" t="str">
        <x:v>Stress</x:v>
      </x:c>
      <x:c r="B17" s="48" t="str">
        <x:v>Pa</x:v>
      </x:c>
      <x:c r="C17" s="48" t="str">
        <x:v>psi</x:v>
      </x:c>
      <x:c r="D17" s="48" t="str">
        <x:v>MPa</x:v>
      </x:c>
      <x:c r="E17" s="18" t="n">
        <x:v>0.000145037738</x:v>
      </x:c>
      <x:c r="F17" s="18" t="n">
        <x:v>0.000001</x:v>
      </x:c>
      <x:c r="G17" s="18" t="n">
        <x:v>0</x:v>
      </x:c>
      <x:c r="H17" s="48" t="str">
        <x:f>IF($B$5="SI",B17,IF($B$5="Imperial",C17,IF($B$5="Mixed",D17,IF($B$5="Custom",IF(J17="SI",B17,IF(J17="Imperial",C17,IF(J17="Mixed",D17,"INVALID"))),"INVALID"))))</x:f>
        <x:v>Pa</x:v>
      </x:c>
      <x:c r="I17" s="18" t="n">
        <x:f>IF($B$5="SI",1,IF($B$5="Imperial",E17,IF($B$5="Mixed",F17,IF($B$5="Custom",IF(J17="SI",1,IF(J17="Imperial",E17,IF(J17="Mixed",F17,NA()))),NA()))))</x:f>
        <x:v>1</x:v>
      </x:c>
      <x:c r="J17" s="44" t="str">
        <x:v>SI</x:v>
      </x:c>
      <x:c r="K17" s="40"/>
      <x:c r="L17" s="40"/>
      <x:c r="M17" s="40"/>
      <x:c r="N17" s="40"/>
    </x:row>
    <x:row r="18">
      <x:c r="A18" s="48" t="str">
        <x:v>Angle</x:v>
      </x:c>
      <x:c r="B18" s="48" t="str">
        <x:v>rad</x:v>
      </x:c>
      <x:c r="C18" s="48" t="str">
        <x:v>deg</x:v>
      </x:c>
      <x:c r="D18" s="48" t="str">
        <x:v>deg</x:v>
      </x:c>
      <x:c r="E18" s="18" t="n">
        <x:v>57.295779513</x:v>
      </x:c>
      <x:c r="F18" s="18" t="n">
        <x:v>57.295779513</x:v>
      </x:c>
      <x:c r="G18" s="18" t="n">
        <x:v>0</x:v>
      </x:c>
      <x:c r="H18" s="48" t="str">
        <x:f>IF($B$5="SI",B18,IF($B$5="Imperial",C18,IF($B$5="Mixed",D18,IF($B$5="Custom",IF(J18="SI",B18,IF(J18="Imperial",C18,IF(J18="Mixed",D18,"INVALID"))),"INVALID"))))</x:f>
        <x:v>rad</x:v>
      </x:c>
      <x:c r="I18" s="18" t="n">
        <x:f>IF($B$5="SI",1,IF($B$5="Imperial",E18,IF($B$5="Mixed",F18,IF($B$5="Custom",IF(J18="SI",1,IF(J18="Imperial",E18,IF(J18="Mixed",F18,NA()))),NA()))))</x:f>
        <x:v>1</x:v>
      </x:c>
      <x:c r="J18" s="44" t="str">
        <x:v>SI</x:v>
      </x:c>
      <x:c r="K18" s="40"/>
      <x:c r="L18" s="40"/>
      <x:c r="M18" s="40"/>
      <x:c r="N18" s="40"/>
    </x:row>
    <x:row r="19">
      <x:c r="A19" s="48" t="str">
        <x:v>Speed</x:v>
      </x:c>
      <x:c r="B19" s="48" t="str">
        <x:v>m/s</x:v>
      </x:c>
      <x:c r="C19" s="48" t="str">
        <x:v>ft/min</x:v>
      </x:c>
      <x:c r="D19" s="48" t="str">
        <x:v>m/min</x:v>
      </x:c>
      <x:c r="E19" s="18" t="n">
        <x:v>196.8503937</x:v>
      </x:c>
      <x:c r="F19" s="18" t="n">
        <x:v>60</x:v>
      </x:c>
      <x:c r="G19" s="18" t="n">
        <x:v>0</x:v>
      </x:c>
      <x:c r="H19" s="48" t="str">
        <x:f>IF($B$5="SI",B19,IF($B$5="Imperial",C19,IF($B$5="Mixed",D19,IF($B$5="Custom",IF(J19="SI",B19,IF(J19="Imperial",C19,IF(J19="Mixed",D19,"INVALID"))),"INVALID"))))</x:f>
        <x:v>m/s</x:v>
      </x:c>
      <x:c r="I19" s="18" t="n">
        <x:f>IF($B$5="SI",1,IF($B$5="Imperial",E19,IF($B$5="Mixed",F19,IF($B$5="Custom",IF(J19="SI",1,IF(J19="Imperial",E19,IF(J19="Mixed",F19,NA()))),NA()))))</x:f>
        <x:v>1</x:v>
      </x:c>
      <x:c r="J19" s="44" t="str">
        <x:v>SI</x:v>
      </x:c>
      <x:c r="K19" s="40"/>
      <x:c r="L19" s="40"/>
      <x:c r="M19" s="40"/>
      <x:c r="N19" s="40"/>
    </x:row>
    <x:row r="20">
      <x:c r="A20" s="48" t="str">
        <x:v>Angular gradient</x:v>
      </x:c>
      <x:c r="B20" s="48" t="str">
        <x:v>rad/m</x:v>
      </x:c>
      <x:c r="C20" s="48" t="str">
        <x:v>deg/100ft</x:v>
      </x:c>
      <x:c r="D20" s="48" t="str">
        <x:v>deg/30m</x:v>
      </x:c>
      <x:c r="E20" s="18" t="n">
        <x:v>1746.37535955875</x:v>
      </x:c>
      <x:c r="F20" s="18" t="n">
        <x:v>1718.87338539247</x:v>
      </x:c>
      <x:c r="G20" s="18" t="n">
        <x:v>0</x:v>
      </x:c>
      <x:c r="H20" s="48" t="str">
        <x:f>IF($B$5="SI",B20,IF($B$5="Imperial",C20,IF($B$5="Mixed",D20,IF($B$5="Custom",IF(J20="SI",B20,IF(J20="Imperial",C20,IF(J20="Mixed",D20,"INVALID"))),"INVALID"))))</x:f>
        <x:v>rad/m</x:v>
      </x:c>
      <x:c r="I20" s="18" t="n">
        <x:f>IF($B$5="SI",1,IF($B$5="Imperial",E20,IF($B$5="Mixed",F20,IF($B$5="Custom",IF(J20="SI",1,IF(J20="Imperial",E20,IF(J20="Mixed",F20,NA()))),NA()))))</x:f>
        <x:v>1</x:v>
      </x:c>
      <x:c r="J20" s="44" t="str">
        <x:v>SI</x:v>
      </x:c>
      <x:c r="K20" s="40"/>
      <x:c r="L20" s="40"/>
      <x:c r="M20" s="40"/>
      <x:c r="N20" s="40"/>
    </x:row>
  </x:sheetData>
  <x:mergeCells>
    <x:mergeCell ref="A1:N1"/>
    <x:mergeCell ref="A3:J3"/>
    <x:mergeCell ref="D5:J5"/>
  </x:mergeCells>
  <x:dataValidations count="14">
    <x:dataValidation type="list" sqref="B5">
      <x:formula1>"SI,Imperial,Mixed,Custom"</x:formula1>
    </x:dataValidation>
    <x:dataValidation type="list" sqref="J8">
      <x:formula1>"SI,Imperial,Mixed"</x:formula1>
    </x:dataValidation>
    <x:dataValidation type="list" sqref="J9">
      <x:formula1>"SI,Imperial,Mixed"</x:formula1>
    </x:dataValidation>
    <x:dataValidation type="list" sqref="J10">
      <x:formula1>"SI,Imperial,Mixed"</x:formula1>
    </x:dataValidation>
    <x:dataValidation type="list" sqref="J11">
      <x:formula1>"SI,Imperial,Mixed"</x:formula1>
    </x:dataValidation>
    <x:dataValidation type="list" sqref="J12">
      <x:formula1>"SI,Imperial,Mixed"</x:formula1>
    </x:dataValidation>
    <x:dataValidation type="list" sqref="J13">
      <x:formula1>"SI,Imperial,Mixed"</x:formula1>
    </x:dataValidation>
    <x:dataValidation type="list" sqref="J14">
      <x:formula1>"SI,Imperial,Mixed"</x:formula1>
    </x:dataValidation>
    <x:dataValidation type="list" sqref="J15">
      <x:formula1>"SI,Imperial,Mixed"</x:formula1>
    </x:dataValidation>
    <x:dataValidation type="list" sqref="J16">
      <x:formula1>"SI,Imperial,Mixed"</x:formula1>
    </x:dataValidation>
    <x:dataValidation type="list" sqref="J17">
      <x:formula1>"SI,Imperial,Mixed"</x:formula1>
    </x:dataValidation>
    <x:dataValidation type="list" sqref="J18">
      <x:formula1>"SI,Imperial,Mixed"</x:formula1>
    </x:dataValidation>
    <x:dataValidation type="list" sqref="J19">
      <x:formula1>"SI,Imperial,Mixed"</x:formula1>
    </x:dataValidation>
    <x:dataValidation type="list" sqref="J20">
      <x:formula1>"SI,Imperial,Mixed"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Checks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 t="str">
        <x:v>Model checks and operating-status gates</x:v>
      </x:c>
      <x:c r="B3" s="41" t="str">
        <x:v>Model checks and operating-status gates</x:v>
      </x:c>
      <x:c r="C3" s="41" t="str">
        <x:v>Model checks and operating-status gates</x:v>
      </x:c>
      <x:c r="D3" s="41" t="str">
        <x:v>Model checks and operating-status gates</x:v>
      </x:c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42" t="str">
        <x:v>Check</x:v>
      </x:c>
      <x:c r="B5" s="42" t="str">
        <x:v>Result</x:v>
      </x:c>
      <x:c r="C5" s="42" t="str">
        <x:v>Status</x:v>
      </x:c>
      <x:c r="D5" s="42" t="str">
        <x:v>Required action</x:v>
      </x:c>
      <x:c r="E5" s="40"/>
      <x:c r="F5" s="40"/>
      <x:c r="G5" s="40"/>
      <x:c r="H5" s="40"/>
      <x:c r="I5" s="40"/>
      <x:c r="J5" s="40"/>
      <x:c r="K5" s="40"/>
      <x:c r="L5" s="40"/>
      <x:c r="M5" s="40"/>
      <x:c r="N5" s="40"/>
    </x:row>
    <x:row r="6">
      <x:c r="A6" s="48" t="str">
        <x:v>SI input source</x:v>
      </x:c>
      <x:c r="B6" s="48" t="str">
        <x:v>All calculation sources use SI units</x:v>
      </x:c>
      <x:c r="C6" s="48" t="str">
        <x:v>INFO</x:v>
      </x:c>
      <x:c r="D6" s="48" t="str">
        <x:v>Select display units only in Unit Map</x:v>
      </x:c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>
      <x:c r="A7" s="48" t="str">
        <x:v>Input completeness</x:v>
      </x:c>
      <x:c r="B7" s="48" t="str">
        <x:v>Refer to Inputs input-status cells</x:v>
      </x:c>
      <x:c r="C7" s="48" t="str">
        <x:v>PENDING</x:v>
      </x:c>
      <x:c r="D7" s="48" t="str">
        <x:v>Resolve blanks / invalid geometry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>
      <x:c r="A8" s="48" t="str">
        <x:v>Limit screening</x:v>
      </x:c>
      <x:c r="B8" s="48" t="str">
        <x:v>Refer to Summary governing utilisation</x:v>
      </x:c>
      <x:c r="C8" s="48" t="str">
        <x:v>PENDING</x:v>
      </x:c>
      <x:c r="D8" s="48" t="str">
        <x:v>Review any value above 100%</x:v>
      </x:c>
      <x:c r="E8" s="40"/>
      <x:c r="F8" s="40"/>
      <x:c r="G8" s="40"/>
      <x:c r="H8" s="40"/>
      <x:c r="I8" s="40"/>
      <x:c r="J8" s="40"/>
      <x:c r="K8" s="40"/>
      <x:c r="L8" s="40"/>
      <x:c r="M8" s="40"/>
      <x:c r="N8" s="40"/>
    </x:row>
    <x:row r="9">
      <x:c r="A9" s="48" t="str">
        <x:v>Method basis</x:v>
      </x:c>
      <x:c r="B9" s="48" t="str">
        <x:v>Screening model; not controlled operational approval</x:v>
      </x:c>
      <x:c r="C9" s="48" t="str">
        <x:v>INFO</x:v>
      </x:c>
      <x:c r="D9" s="48" t="str">
        <x:v>Use approved engineering workflow for sign-off</x:v>
      </x:c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>
      <x:c r="A10" s="48" t="str">
        <x:v>External links / VBA</x:v>
      </x:c>
      <x:c r="B10" s="48" t="str">
        <x:v>None</x:v>
      </x:c>
      <x:c r="C10" s="48" t="str">
        <x:v>PASS</x:v>
      </x:c>
      <x:c r="D10" s="48" t="str">
        <x:v>Workbook remains portable and auditable</x:v>
      </x:c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</x:sheetData>
  <x:mergeCells>
    <x:mergeCell ref="A1:N1"/>
    <x:mergeCell ref="A3:D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Calc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  <x:c r="AE1" s="40"/>
      <x:c r="AF1" s="40"/>
      <x:c r="AG1" s="40"/>
      <x:c r="AH1" s="40"/>
      <x:c r="AI1" s="40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  <x:c r="AA2" s="40"/>
      <x:c r="AB2" s="40"/>
      <x:c r="AC2" s="40"/>
      <x:c r="AD2" s="40"/>
      <x:c r="AE2" s="40"/>
      <x:c r="AF2" s="40"/>
      <x:c r="AG2" s="40"/>
      <x:c r="AH2" s="40"/>
      <x:c r="AI2" s="40"/>
    </x:row>
    <x:row r="3">
      <x:c r="A3" s="41" t="str">
        <x:v>BHA static bending, first-mode screen and tendency response</x:v>
      </x:c>
      <x:c r="B3" s="41" t="str">
        <x:v>BHA static bending, first-mode screen and tendency response</x:v>
      </x:c>
      <x:c r="C3" s="41" t="str">
        <x:v>BHA static bending, first-mode screen and tendency response</x:v>
      </x:c>
      <x:c r="D3" s="41" t="str">
        <x:v>BHA static bending, first-mode screen and tendency response</x:v>
      </x:c>
      <x:c r="E3" s="41" t="str">
        <x:v>BHA static bending, first-mode screen and tendency response</x:v>
      </x:c>
      <x:c r="F3" s="41" t="str">
        <x:v>BHA static bending, first-mode screen and tendency response</x:v>
      </x:c>
      <x:c r="G3" s="41" t="str">
        <x:v>BHA static bending, first-mode screen and tendency response</x:v>
      </x:c>
      <x:c r="H3" s="41" t="str">
        <x:v>BHA static bending, first-mode screen and tendency response</x:v>
      </x:c>
      <x:c r="I3" s="41" t="str">
        <x:v>BHA static bending, first-mode screen and tendency response</x:v>
      </x:c>
      <x:c r="J3" s="41" t="str">
        <x:v>BHA static bending, first-mode screen and tendency response</x:v>
      </x:c>
      <x:c r="K3" s="41" t="str">
        <x:v>BHA static bending, first-mode screen and tendency response</x:v>
      </x:c>
      <x:c r="L3" s="41" t="str">
        <x:v>BHA static bending, first-mode screen and tendency response</x:v>
      </x:c>
      <x:c r="M3" s="41" t="str">
        <x:v>BHA static bending, first-mode screen and tendency response</x:v>
      </x:c>
      <x:c r="N3" s="41" t="str">
        <x:v>BHA static bending, first-mode screen and tendency response</x:v>
      </x:c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  <x:c r="AA3" s="40"/>
      <x:c r="AB3" s="40"/>
      <x:c r="AC3" s="40"/>
      <x:c r="AD3" s="40"/>
      <x:c r="AE3" s="40"/>
      <x:c r="AF3" s="40"/>
      <x:c r="AG3" s="40"/>
      <x:c r="AH3" s="40"/>
      <x:c r="AI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  <x:c r="AA4" s="40"/>
      <x:c r="AB4" s="40"/>
      <x:c r="AC4" s="40"/>
      <x:c r="AD4" s="40"/>
      <x:c r="AE4" s="40"/>
      <x:c r="AF4" s="40"/>
      <x:c r="AG4" s="40"/>
      <x:c r="AH4" s="40"/>
      <x:c r="AI4" s="40"/>
    </x:row>
    <x:row r="5">
      <x:c r="A5" s="42" t="str">
        <x:v>Component</x:v>
      </x:c>
      <x:c r="B5" s="42" t="str">
        <x:v>Length m</x:v>
      </x:c>
      <x:c r="C5" s="42" t="str">
        <x:v>OD m</x:v>
      </x:c>
      <x:c r="D5" s="42" t="str">
        <x:v>ID m</x:v>
      </x:c>
      <x:c r="E5" s="42" t="str">
        <x:v>Area m2</x:v>
      </x:c>
      <x:c r="F5" s="42" t="str">
        <x:v>I m4</x:v>
      </x:c>
      <x:c r="G5" s="42" t="str">
        <x:v>Mass kg</x:v>
      </x:c>
      <x:c r="H5" s="42" t="str">
        <x:v>Stiffness N/m</x:v>
      </x:c>
      <x:c r="I5" s="42" t="str">
        <x:v>First mode Hz</x:v>
      </x:c>
      <x:c r="J5" s="42" t="str">
        <x:v>Bending moment Nm</x:v>
      </x:c>
      <x:c r="K5" s="42" t="str">
        <x:v>Bending stress Pa</x:v>
      </x:c>
      <x:c r="L5" s="42" t="str">
        <x:v>WOB 1 tendency</x:v>
      </x:c>
      <x:c r="M5" s="42" t="str">
        <x:v>WOB 2 tendency</x:v>
      </x:c>
      <x:c r="N5" s="42" t="str">
        <x:v>Vibration screen</x:v>
      </x:c>
      <x:c r="O5" s="40"/>
      <x:c r="P5" s="42" t="str">
        <x:v>Distance from bit SI</x:v>
      </x:c>
      <x:c r="Q5" s="42" t="str">
        <x:v>Distance from bit</x:v>
      </x:c>
      <x:c r="R5" s="42" t="str">
        <x:v>Component</x:v>
      </x:c>
      <x:c r="S5" s="42" t="str">
        <x:v>Local fraction</x:v>
      </x:c>
      <x:c r="T5" s="42" t="str">
        <x:v>Estimated centreline SI</x:v>
      </x:c>
      <x:c r="U5" s="42" t="str">
        <x:v>Projected centreline</x:v>
      </x:c>
      <x:c r="V5" s="42" t="str">
        <x:v>Hole high wall</x:v>
      </x:c>
      <x:c r="W5" s="42" t="str">
        <x:v>Hole low wall</x:v>
      </x:c>
      <x:c r="X5" s="42" t="str">
        <x:v>BHA OD high</x:v>
      </x:c>
      <x:c r="Y5" s="42" t="str">
        <x:v>BHA OD low</x:v>
      </x:c>
      <x:c r="Z5" s="42" t="str">
        <x:v>BHA ID high</x:v>
      </x:c>
      <x:c r="AA5" s="42" t="str">
        <x:v>BHA ID low</x:v>
      </x:c>
      <x:c r="AB5" s="42" t="str">
        <x:v>Projected radial clearance</x:v>
      </x:c>
      <x:c r="AC5" s="42" t="str">
        <x:v>Zero clearance</x:v>
      </x:c>
      <x:c r="AD5" s="42" t="str">
        <x:v>Geometry flag</x:v>
      </x:c>
      <x:c r="AE5" s="42" t="str">
        <x:v>Distance from bit</x:v>
      </x:c>
      <x:c r="AF5" s="42" t="str">
        <x:v>Bending moment</x:v>
      </x:c>
      <x:c r="AG5" s="42" t="str">
        <x:v>Bending stress</x:v>
      </x:c>
      <x:c r="AH5" s="42" t="str">
        <x:v>Stress screen</x:v>
      </x:c>
      <x:c r="AI5" s="42" t="str">
        <x:v>Projected centreline</x:v>
      </x:c>
    </x:row>
    <x:row r="6">
      <x:c r="A6" s="43" t="str">
        <x:f>Inputs!D6</x:f>
        <x:v>Bit</x:v>
      </x:c>
      <x:c r="B6" s="43" t="n">
        <x:f>Inputs!E6</x:f>
        <x:v>0.3</x:v>
      </x:c>
      <x:c r="C6" s="43" t="n">
        <x:f>Inputs!F6</x:f>
        <x:v>0.216</x:v>
      </x:c>
      <x:c r="D6" s="43" t="n">
        <x:f>Inputs!G6</x:f>
        <x:v>0.05</x:v>
      </x:c>
      <x:c r="E6" s="43" t="n">
        <x:f>PI()/4*(C6^2-D6^2)</x:f>
        <x:v>0.03468004130297772</x:v>
      </x:c>
      <x:c r="F6" s="43" t="n">
        <x:f>PI()/64*(C6^4-D6^4)</x:f>
        <x:v>0.0001065457568930733</x:v>
      </x:c>
      <x:c r="G6" s="43" t="n">
        <x:f>E6*B6*Inputs!$B$8</x:f>
        <x:v>81.67149726851254</x:v>
      </x:c>
      <x:c r="H6" s="43" t="n">
        <x:f>48*(Inputs!$B$7*IF(Inputs!$C$7="GPa",1E9,IF(Inputs!$C$7="MPa",1E6,IF(Inputs!$C$7="Pa",1,IF(Inputs!$C$7="Mpsi",6894757293.168,IF(Inputs!$C$7="psi",6894.757293168,NA()))))))*F6*Inputs!H6/B6^3</x:f>
        <x:v>39179047167.71317</x:v>
      </x:c>
      <x:c r="I6" s="43" t="n">
        <x:f>1/(2*PI())*SQRT(H6/G6)</x:f>
        <x:v>3485.874984661293</x:v>
      </x:c>
      <x:c r="J6" s="43" t="n">
        <x:f>Inputs!$B$9*B6*Inputs!H6/4</x:f>
        <x:v>6000</x:v>
      </x:c>
      <x:c r="K6" s="43" t="n">
        <x:f>J6*C6/(2*F6)</x:f>
        <x:v>6081894.004003528</x:v>
      </x:c>
      <x:c r="L6" s="43" t="n">
        <x:f>Inputs!$B$9/H6*0.0001</x:f>
        <x:v>2.0419077487399114e-10</x:v>
      </x:c>
      <x:c r="M6" s="43" t="n">
        <x:f>Inputs!$B$10/H6*0.0001</x:f>
        <x:v>3.062861623109867e-10</x:v>
      </x:c>
      <x:c r="N6" s="43" t="str">
        <x:f>IF(I6&gt;Inputs!$B$5/60*1.2,"CLEAR","REVIEW")</x:f>
        <x:v>CLEAR</x:v>
      </x:c>
      <x:c r="O6" s="40"/>
      <x:c r="P6" s="43" t="n">
        <x:f>0+Inputs!E6*0</x:f>
        <x:v>0</x:v>
      </x:c>
      <x:c r="Q6" s="43" t="n">
        <x:f>P6*'Unit Map'!$I$8</x:f>
        <x:v>0</x:v>
      </x:c>
      <x:c r="R6" s="43" t="str">
        <x:f>Inputs!D6</x:f>
        <x:v>Bit</x:v>
      </x:c>
      <x:c r="S6" s="43" t="n">
        <x:f>0</x:f>
        <x:v>0</x:v>
      </x:c>
      <x:c r="T6" s="43" t="n">
        <x:f>IF(Inputs!$B$12="Lowside",-1,1)*(Calc!J6*Calc!B6^2/(8*(Inputs!$B$7*IF(Inputs!$C$7="GPa",1E9,IF(Inputs!$C$7="MPa",1E6,IF(Inputs!$C$7="Pa",1,IF(Inputs!$C$7="Mpsi",6894757293.168,IF(Inputs!$C$7="psi",6894.757293168,NA()))))))*Calc!F6))*Inputs!$B$13*SIN(PI()*S6)</x:f>
        <x:v>0</x:v>
      </x:c>
      <x:c r="U6" s="43" t="n">
        <x:f>T6*'Unit Map'!$I$9</x:f>
        <x:v>0</x:v>
      </x:c>
      <x:c r="V6" s="43" t="n">
        <x:f>Inputs!$B$11/2*'Unit Map'!$I$9</x:f>
        <x:v>0.108</x:v>
      </x:c>
      <x:c r="W6" s="43" t="n">
        <x:f>-Inputs!$B$11/2*'Unit Map'!$I$9</x:f>
        <x:v>-0.108</x:v>
      </x:c>
      <x:c r="X6" s="43" t="n">
        <x:f>(T6+Inputs!F6/2)*'Unit Map'!$I$9</x:f>
        <x:v>0.108</x:v>
      </x:c>
      <x:c r="Y6" s="43" t="n">
        <x:f>(T6-Inputs!F6/2)*'Unit Map'!$I$9</x:f>
        <x:v>-0.108</x:v>
      </x:c>
      <x:c r="Z6" s="43" t="n">
        <x:f>(T6+Inputs!G6/2)*'Unit Map'!$I$9</x:f>
        <x:v>0.025</x:v>
      </x:c>
      <x:c r="AA6" s="43" t="n">
        <x:f>(T6-Inputs!G6/2)*'Unit Map'!$I$9</x:f>
        <x:v>-0.025</x:v>
      </x:c>
      <x:c r="AB6" s="43" t="n">
        <x:f>(Inputs!$B$11/2-ABS(T6)-Inputs!F6/2)*'Unit Map'!$I$9</x:f>
        <x:v>0</x:v>
      </x:c>
      <x:c r="AC6" s="43" t="n">
        <x:f>0</x:f>
        <x:v>0</x:v>
      </x:c>
      <x:c r="AD6" s="43" t="str">
        <x:f>IF(AB6&lt;0,"OVERLAP INDICATION","CLEARANCE")</x:f>
        <x:v>CLEARANCE</x:v>
      </x:c>
      <x:c r="AE6" s="43" t="n">
        <x:f>Q6</x:f>
        <x:v>0</x:v>
      </x:c>
      <x:c r="AF6" s="43" t="n">
        <x:f>Calc!J6*'Unit Map'!$I$16</x:f>
        <x:v>6000</x:v>
      </x:c>
      <x:c r="AG6" s="43" t="n">
        <x:f>Calc!K6*'Unit Map'!$I$17</x:f>
        <x:v>6081894.004003528</x:v>
      </x:c>
      <x:c r="AH6" s="43" t="n">
        <x:f>350000000*'Unit Map'!$I$17</x:f>
        <x:v>350000000</x:v>
      </x:c>
      <x:c r="AI6" s="43" t="n">
        <x:f>U6</x:f>
        <x:v>0</x:v>
      </x:c>
    </x:row>
    <x:row r="7">
      <x:c r="A7" s="43" t="str">
        <x:f>Inputs!D7</x:f>
        <x:v>Near-bit stabilizer</x:v>
      </x:c>
      <x:c r="B7" s="43" t="n">
        <x:f>Inputs!E7</x:f>
        <x:v>1.5</x:v>
      </x:c>
      <x:c r="C7" s="43" t="n">
        <x:f>Inputs!F7</x:f>
        <x:v>0.203</x:v>
      </x:c>
      <x:c r="D7" s="43" t="n">
        <x:f>Inputs!G7</x:f>
        <x:v>0.07</x:v>
      </x:c>
      <x:c r="E7" s="43" t="n">
        <x:f>PI()/4*(C7^2-D7^2)</x:f>
        <x:v>0.02851702191479795</x:v>
      </x:c>
      <x:c r="F7" s="43" t="n">
        <x:f>PI()/64*(C7^4-D7^4)</x:f>
        <x:v>0.00008218071021683868</x:v>
      </x:c>
      <x:c r="G7" s="43" t="n">
        <x:f>E7*B7*Inputs!$B$8</x:f>
        <x:v>335.7879330467459</x:v>
      </x:c>
      <x:c r="H7" s="43" t="n">
        <x:f>48*(Inputs!$B$7*IF(Inputs!$C$7="GPa",1E9,IF(Inputs!$C$7="MPa",1E6,IF(Inputs!$C$7="Pa",1,IF(Inputs!$C$7="Mpsi",6894757293.168,IF(Inputs!$C$7="psi",6894.757293168,NA()))))))*F7*Inputs!H7/B7^3</x:f>
        <x:v>205492754.5414329</x:v>
      </x:c>
      <x:c r="I7" s="43" t="n">
        <x:f>1/(2*PI())*SQRT(H7/G7)</x:f>
        <x:v>124.50472859284133</x:v>
      </x:c>
      <x:c r="J7" s="43" t="n">
        <x:f>Inputs!$B$9*B7*Inputs!H7/4</x:f>
        <x:v>25500</x:v>
      </x:c>
      <x:c r="K7" s="43" t="n">
        <x:f>J7*C7/(2*F7)</x:f>
        <x:v>31494617.084358953</x:v>
      </x:c>
      <x:c r="L7" s="43" t="n">
        <x:f>Inputs!$B$9/H7*0.0001</x:f>
        <x:v>3.8930813000450505e-8</x:v>
      </x:c>
      <x:c r="M7" s="43" t="n">
        <x:f>Inputs!$B$10/H7*0.0001</x:f>
        <x:v>5.839621950067576e-8</x:v>
      </x:c>
      <x:c r="N7" s="43" t="str">
        <x:f>IF(I7&gt;Inputs!$B$5/60*1.2,"CLEAR","REVIEW")</x:f>
        <x:v>CLEAR</x:v>
      </x:c>
      <x:c r="O7" s="40"/>
      <x:c r="P7" s="43" t="n">
        <x:f>0+Inputs!E6*0.25</x:f>
        <x:v>0.075</x:v>
      </x:c>
      <x:c r="Q7" s="43" t="n">
        <x:f>P7*'Unit Map'!$I$8</x:f>
        <x:v>0.075</x:v>
      </x:c>
      <x:c r="R7" s="43" t="str">
        <x:f>Inputs!D6</x:f>
        <x:v>Bit</x:v>
      </x:c>
      <x:c r="S7" s="43" t="n">
        <x:f>0.25</x:f>
        <x:v>0.25</x:v>
      </x:c>
      <x:c r="T7" s="43" t="n">
        <x:f>IF(Inputs!$B$12="Lowside",-1,1)*(Calc!J6*Calc!B6^2/(8*(Inputs!$B$7*IF(Inputs!$C$7="GPa",1E9,IF(Inputs!$C$7="MPa",1E6,IF(Inputs!$C$7="Pa",1,IF(Inputs!$C$7="Mpsi",6894757293.168,IF(Inputs!$C$7="psi",6894.757293168,NA()))))))*Calc!F6))*Inputs!$B$13*SIN(PI()*S7)</x:f>
        <x:v>2.165770223537023e-9</x:v>
      </x:c>
      <x:c r="U7" s="43" t="n">
        <x:f>T7*'Unit Map'!$I$9</x:f>
        <x:v>2.165770223537023e-9</x:v>
      </x:c>
      <x:c r="V7" s="43" t="n">
        <x:f>Inputs!$B$11/2*'Unit Map'!$I$9</x:f>
        <x:v>0.108</x:v>
      </x:c>
      <x:c r="W7" s="43" t="n">
        <x:f>-Inputs!$B$11/2*'Unit Map'!$I$9</x:f>
        <x:v>-0.108</x:v>
      </x:c>
      <x:c r="X7" s="43" t="n">
        <x:f>(T7+Inputs!F6/2)*'Unit Map'!$I$9</x:f>
        <x:v>0.10800000216577023</x:v>
      </x:c>
      <x:c r="Y7" s="43" t="n">
        <x:f>(T7-Inputs!F6/2)*'Unit Map'!$I$9</x:f>
        <x:v>-0.10799999783422977</x:v>
      </x:c>
      <x:c r="Z7" s="43" t="n">
        <x:f>(T7+Inputs!G6/2)*'Unit Map'!$I$9</x:f>
        <x:v>0.025000002165770224</x:v>
      </x:c>
      <x:c r="AA7" s="43" t="n">
        <x:f>(T7-Inputs!G6/2)*'Unit Map'!$I$9</x:f>
        <x:v>-0.02499999783422978</x:v>
      </x:c>
      <x:c r="AB7" s="43" t="n">
        <x:f>(Inputs!$B$11/2-ABS(T7)-Inputs!F6/2)*'Unit Map'!$I$9</x:f>
        <x:v>-2.1657702298227832e-9</x:v>
      </x:c>
      <x:c r="AC7" s="43" t="n">
        <x:f>0</x:f>
        <x:v>0</x:v>
      </x:c>
      <x:c r="AD7" s="43" t="str">
        <x:f>IF(AB7&lt;0,"OVERLAP INDICATION","CLEARANCE")</x:f>
        <x:v>OVERLAP INDICATION</x:v>
      </x:c>
      <x:c r="AE7" s="43" t="n">
        <x:f>Q7</x:f>
        <x:v>0.075</x:v>
      </x:c>
      <x:c r="AF7" s="43" t="n">
        <x:f>Calc!J6*'Unit Map'!$I$16</x:f>
        <x:v>6000</x:v>
      </x:c>
      <x:c r="AG7" s="43" t="n">
        <x:f>Calc!K6*'Unit Map'!$I$17</x:f>
        <x:v>6081894.004003528</x:v>
      </x:c>
      <x:c r="AH7" s="43" t="n">
        <x:f>350000000*'Unit Map'!$I$17</x:f>
        <x:v>350000000</x:v>
      </x:c>
      <x:c r="AI7" s="43" t="n">
        <x:f>U7</x:f>
        <x:v>2.165770223537023e-9</x:v>
      </x:c>
    </x:row>
    <x:row r="8">
      <x:c r="A8" s="43" t="str">
        <x:f>Inputs!D8</x:f>
        <x:v>Motor / RSS</x:v>
      </x:c>
      <x:c r="B8" s="43" t="n">
        <x:f>Inputs!E8</x:f>
        <x:v>8</x:v>
      </x:c>
      <x:c r="C8" s="43" t="n">
        <x:f>Inputs!F8</x:f>
        <x:v>0.171</x:v>
      </x:c>
      <x:c r="D8" s="43" t="n">
        <x:f>Inputs!G8</x:f>
        <x:v>0.057</x:v>
      </x:c>
      <x:c r="E8" s="43" t="n">
        <x:f>PI()/4*(C8^2-D8^2)</x:f>
        <x:v>0.020414069063026476</x:v>
      </x:c>
      <x:c r="F8" s="43" t="n">
        <x:f>PI()/64*(C8^4-D8^4)</x:f>
        <x:v>0.00004145331899110815</x:v>
      </x:c>
      <x:c r="G8" s="43" t="n">
        <x:f>E8*B8*Inputs!$B$8</x:f>
        <x:v>1282.0035371580627</x:v>
      </x:c>
      <x:c r="H8" s="43" t="n">
        <x:f>48*(Inputs!$B$7*IF(Inputs!$C$7="GPa",1E9,IF(Inputs!$C$7="MPa",1E6,IF(Inputs!$C$7="Pa",1,IF(Inputs!$C$7="Mpsi",6894757293.168,IF(Inputs!$C$7="psi",6894.757293168,NA()))))))*F8*Inputs!H8/B8^3</x:f>
        <x:v>562689.5664599261</x:v>
      </x:c>
      <x:c r="I8" s="43" t="n">
        <x:f>1/(2*PI())*SQRT(H8/G8)</x:f>
        <x:v>3.3343405276111335</x:v>
      </x:c>
      <x:c r="J8" s="43" t="n">
        <x:f>Inputs!$B$9*B8*Inputs!H8/4</x:f>
        <x:v>112000</x:v>
      </x:c>
      <x:c r="K8" s="43" t="n">
        <x:f>J8*C8/(2*F8)</x:f>
        <x:v>231006834.5083316</x:v>
      </x:c>
      <x:c r="L8" s="43" t="n">
        <x:f>Inputs!$B$9/H8*0.0001</x:f>
        <x:v>0.000014217430847937623</x:v>
      </x:c>
      <x:c r="M8" s="43" t="n">
        <x:f>Inputs!$B$10/H8*0.0001</x:f>
        <x:v>0.000021326146271906438</x:v>
      </x:c>
      <x:c r="N8" s="43" t="str">
        <x:f>IF(I8&gt;Inputs!$B$5/60*1.2,"CLEAR","REVIEW")</x:f>
        <x:v>CLEAR</x:v>
      </x:c>
      <x:c r="O8" s="40"/>
      <x:c r="P8" s="43" t="n">
        <x:f>0+Inputs!E6*0.5</x:f>
        <x:v>0.15</x:v>
      </x:c>
      <x:c r="Q8" s="43" t="n">
        <x:f>P8*'Unit Map'!$I$8</x:f>
        <x:v>0.15</x:v>
      </x:c>
      <x:c r="R8" s="43" t="str">
        <x:f>Inputs!D6</x:f>
        <x:v>Bit</x:v>
      </x:c>
      <x:c r="S8" s="43" t="n">
        <x:f>0.5</x:f>
        <x:v>0.5</x:v>
      </x:c>
      <x:c r="T8" s="43" t="n">
        <x:f>IF(Inputs!$B$12="Lowside",-1,1)*(Calc!J6*Calc!B6^2/(8*(Inputs!$B$7*IF(Inputs!$C$7="GPa",1E9,IF(Inputs!$C$7="MPa",1E6,IF(Inputs!$C$7="Pa",1,IF(Inputs!$C$7="Mpsi",6894757293.168,IF(Inputs!$C$7="psi",6894.757293168,NA()))))))*Calc!F6))*Inputs!$B$13*SIN(PI()*S8)</x:f>
        <x:v>3.0628616231098675e-9</x:v>
      </x:c>
      <x:c r="U8" s="43" t="n">
        <x:f>T8*'Unit Map'!$I$9</x:f>
        <x:v>3.0628616231098675e-9</x:v>
      </x:c>
      <x:c r="V8" s="43" t="n">
        <x:f>Inputs!$B$11/2*'Unit Map'!$I$9</x:f>
        <x:v>0.108</x:v>
      </x:c>
      <x:c r="W8" s="43" t="n">
        <x:f>-Inputs!$B$11/2*'Unit Map'!$I$9</x:f>
        <x:v>-0.108</x:v>
      </x:c>
      <x:c r="X8" s="43" t="n">
        <x:f>(T8+Inputs!F6/2)*'Unit Map'!$I$9</x:f>
        <x:v>0.10800000306286162</x:v>
      </x:c>
      <x:c r="Y8" s="43" t="n">
        <x:f>(T8-Inputs!F6/2)*'Unit Map'!$I$9</x:f>
        <x:v>-0.10799999693713838</x:v>
      </x:c>
      <x:c r="Z8" s="43" t="n">
        <x:f>(T8+Inputs!G6/2)*'Unit Map'!$I$9</x:f>
        <x:v>0.025000003062861625</x:v>
      </x:c>
      <x:c r="AA8" s="43" t="n">
        <x:f>(T8-Inputs!G6/2)*'Unit Map'!$I$9</x:f>
        <x:v>-0.024999996937138377</x:v>
      </x:c>
      <x:c r="AB8" s="43" t="n">
        <x:f>(Inputs!$B$11/2-ABS(T8)-Inputs!F6/2)*'Unit Map'!$I$9</x:f>
        <x:v>-3.062861617109114e-9</x:v>
      </x:c>
      <x:c r="AC8" s="43" t="n">
        <x:f>0</x:f>
        <x:v>0</x:v>
      </x:c>
      <x:c r="AD8" s="43" t="str">
        <x:f>IF(AB8&lt;0,"OVERLAP INDICATION","CLEARANCE")</x:f>
        <x:v>OVERLAP INDICATION</x:v>
      </x:c>
      <x:c r="AE8" s="43" t="n">
        <x:f>Q8</x:f>
        <x:v>0.15</x:v>
      </x:c>
      <x:c r="AF8" s="43" t="n">
        <x:f>Calc!J6*'Unit Map'!$I$16</x:f>
        <x:v>6000</x:v>
      </x:c>
      <x:c r="AG8" s="43" t="n">
        <x:f>Calc!K6*'Unit Map'!$I$17</x:f>
        <x:v>6081894.004003528</x:v>
      </x:c>
      <x:c r="AH8" s="43" t="n">
        <x:f>350000000*'Unit Map'!$I$17</x:f>
        <x:v>350000000</x:v>
      </x:c>
      <x:c r="AI8" s="43" t="n">
        <x:f>U8</x:f>
        <x:v>3.0628616231098675e-9</x:v>
      </x:c>
    </x:row>
    <x:row r="9">
      <x:c r="A9" s="43" t="str">
        <x:f>Inputs!D9</x:f>
        <x:v>MWD / LWD</x:v>
      </x:c>
      <x:c r="B9" s="43" t="n">
        <x:f>Inputs!E9</x:f>
        <x:v>12</x:v>
      </x:c>
      <x:c r="C9" s="43" t="n">
        <x:f>Inputs!F9</x:f>
        <x:v>0.171</x:v>
      </x:c>
      <x:c r="D9" s="43" t="n">
        <x:f>Inputs!G9</x:f>
        <x:v>0.057</x:v>
      </x:c>
      <x:c r="E9" s="43" t="n">
        <x:f>PI()/4*(C9^2-D9^2)</x:f>
        <x:v>0.020414069063026476</x:v>
      </x:c>
      <x:c r="F9" s="43" t="n">
        <x:f>PI()/64*(C9^4-D9^4)</x:f>
        <x:v>0.00004145331899110815</x:v>
      </x:c>
      <x:c r="G9" s="43" t="n">
        <x:f>E9*B9*Inputs!$B$8</x:f>
        <x:v>1923.005305737094</x:v>
      </x:c>
      <x:c r="H9" s="43" t="n">
        <x:f>48*(Inputs!$B$7*IF(Inputs!$C$7="GPa",1E9,IF(Inputs!$C$7="MPa",1E6,IF(Inputs!$C$7="Pa",1,IF(Inputs!$C$7="Mpsi",6894757293.168,IF(Inputs!$C$7="psi",6894.757293168,NA()))))))*F9*Inputs!H9/B9^3</x:f>
        <x:v>154814.060613313</x:v>
      </x:c>
      <x:c r="I9" s="43" t="n">
        <x:f>1/(2*PI())*SQRT(H9/G9)</x:f>
        <x:v>1.4280226350619194</x:v>
      </x:c>
      <x:c r="J9" s="43" t="n">
        <x:f>Inputs!$B$9*B9*Inputs!H9/4</x:f>
        <x:v>156000</x:v>
      </x:c>
      <x:c r="K9" s="43" t="n">
        <x:f>J9*C9/(2*F9)</x:f>
        <x:v>321759519.49374765</x:v>
      </x:c>
      <x:c r="L9" s="43" t="n">
        <x:f>Inputs!$B$9/H9*0.0001</x:f>
        <x:v>0.00005167489288961944</x:v>
      </x:c>
      <x:c r="M9" s="43" t="n">
        <x:f>Inputs!$B$10/H9*0.0001</x:f>
        <x:v>0.00007751233933442917</x:v>
      </x:c>
      <x:c r="N9" s="43" t="str">
        <x:f>IF(I9&gt;Inputs!$B$5/60*1.2,"CLEAR","REVIEW")</x:f>
        <x:v>REVIEW</x:v>
      </x:c>
      <x:c r="O9" s="40"/>
      <x:c r="P9" s="43" t="n">
        <x:f>0+Inputs!E6*0.75</x:f>
        <x:v>0.22499999999999998</x:v>
      </x:c>
      <x:c r="Q9" s="43" t="n">
        <x:f>P9*'Unit Map'!$I$8</x:f>
        <x:v>0.22499999999999998</x:v>
      </x:c>
      <x:c r="R9" s="43" t="str">
        <x:f>Inputs!D6</x:f>
        <x:v>Bit</x:v>
      </x:c>
      <x:c r="S9" s="43" t="n">
        <x:f>0.75</x:f>
        <x:v>0.75</x:v>
      </x:c>
      <x:c r="T9" s="43" t="n">
        <x:f>IF(Inputs!$B$12="Lowside",-1,1)*(Calc!J6*Calc!B6^2/(8*(Inputs!$B$7*IF(Inputs!$C$7="GPa",1E9,IF(Inputs!$C$7="MPa",1E6,IF(Inputs!$C$7="Pa",1,IF(Inputs!$C$7="Mpsi",6894757293.168,IF(Inputs!$C$7="psi",6894.757293168,NA()))))))*Calc!F6))*Inputs!$B$13*SIN(PI()*S9)</x:f>
        <x:v>2.165770223537023e-9</x:v>
      </x:c>
      <x:c r="U9" s="43" t="n">
        <x:f>T9*'Unit Map'!$I$9</x:f>
        <x:v>2.165770223537023e-9</x:v>
      </x:c>
      <x:c r="V9" s="43" t="n">
        <x:f>Inputs!$B$11/2*'Unit Map'!$I$9</x:f>
        <x:v>0.108</x:v>
      </x:c>
      <x:c r="W9" s="43" t="n">
        <x:f>-Inputs!$B$11/2*'Unit Map'!$I$9</x:f>
        <x:v>-0.108</x:v>
      </x:c>
      <x:c r="X9" s="43" t="n">
        <x:f>(T9+Inputs!F6/2)*'Unit Map'!$I$9</x:f>
        <x:v>0.10800000216577023</x:v>
      </x:c>
      <x:c r="Y9" s="43" t="n">
        <x:f>(T9-Inputs!F6/2)*'Unit Map'!$I$9</x:f>
        <x:v>-0.10799999783422977</x:v>
      </x:c>
      <x:c r="Z9" s="43" t="n">
        <x:f>(T9+Inputs!G6/2)*'Unit Map'!$I$9</x:f>
        <x:v>0.025000002165770224</x:v>
      </x:c>
      <x:c r="AA9" s="43" t="n">
        <x:f>(T9-Inputs!G6/2)*'Unit Map'!$I$9</x:f>
        <x:v>-0.02499999783422978</x:v>
      </x:c>
      <x:c r="AB9" s="43" t="n">
        <x:f>(Inputs!$B$11/2-ABS(T9)-Inputs!F6/2)*'Unit Map'!$I$9</x:f>
        <x:v>-2.1657702298227832e-9</x:v>
      </x:c>
      <x:c r="AC9" s="43" t="n">
        <x:f>0</x:f>
        <x:v>0</x:v>
      </x:c>
      <x:c r="AD9" s="43" t="str">
        <x:f>IF(AB9&lt;0,"OVERLAP INDICATION","CLEARANCE")</x:f>
        <x:v>OVERLAP INDICATION</x:v>
      </x:c>
      <x:c r="AE9" s="43" t="n">
        <x:f>Q9</x:f>
        <x:v>0.22499999999999998</x:v>
      </x:c>
      <x:c r="AF9" s="43" t="n">
        <x:f>Calc!J6*'Unit Map'!$I$16</x:f>
        <x:v>6000</x:v>
      </x:c>
      <x:c r="AG9" s="43" t="n">
        <x:f>Calc!K6*'Unit Map'!$I$17</x:f>
        <x:v>6081894.004003528</x:v>
      </x:c>
      <x:c r="AH9" s="43" t="n">
        <x:f>350000000*'Unit Map'!$I$17</x:f>
        <x:v>350000000</x:v>
      </x:c>
      <x:c r="AI9" s="43" t="n">
        <x:f>U9</x:f>
        <x:v>2.165770223537023e-9</x:v>
      </x:c>
    </x:row>
    <x:row r="10">
      <x:c r="A10" s="43" t="str">
        <x:f>Inputs!D10</x:f>
        <x:v>Drill collar</x:v>
      </x:c>
      <x:c r="B10" s="43" t="n">
        <x:f>Inputs!E10</x:f>
        <x:v>90</x:v>
      </x:c>
      <x:c r="C10" s="43" t="n">
        <x:f>Inputs!F10</x:f>
        <x:v>0.171</x:v>
      </x:c>
      <x:c r="D10" s="43" t="n">
        <x:f>Inputs!G10</x:f>
        <x:v>0.071</x:v>
      </x:c>
      <x:c r="E10" s="43" t="n">
        <x:f>PI()/4*(C10^2-D10^2)</x:f>
        <x:v>0.019006635554218252</x:v>
      </x:c>
      <x:c r="F10" s="43" t="n">
        <x:f>PI()/64*(C10^4-D10^4)</x:f>
        <x:v>0.00004072409250435688</x:v>
      </x:c>
      <x:c r="G10" s="43" t="n">
        <x:f>E10*B10*Inputs!$B$8</x:f>
        <x:v>13428.188019055196</x:v>
      </x:c>
      <x:c r="H10" s="43" t="n">
        <x:f>48*(Inputs!$B$7*IF(Inputs!$C$7="GPa",1E9,IF(Inputs!$C$7="MPa",1E6,IF(Inputs!$C$7="Pa",1,IF(Inputs!$C$7="Mpsi",6894757293.168,IF(Inputs!$C$7="psi",6894.757293168,NA()))))))*F10*Inputs!H10/B10^3</x:f>
        <x:v>305.0479083281671</x:v>
      </x:c>
      <x:c r="I10" s="43" t="n">
        <x:f>1/(2*PI())*SQRT(H10/G10)</x:f>
        <x:v>0.023988077904446573</x:v>
      </x:c>
      <x:c r="J10" s="43" t="n">
        <x:f>Inputs!$B$9*B10*Inputs!H10/4</x:f>
        <x:v>990000.0000000001</x:v>
      </x:c>
      <x:c r="K10" s="43" t="n">
        <x:f>J10*C10/(2*F10)</x:f>
        <x:v>2078499354.9197993</x:v>
      </x:c>
      <x:c r="L10" s="43" t="n">
        <x:f>Inputs!$B$9/H10*0.0001</x:f>
        <x:v>0.026225388804809274</x:v>
      </x:c>
      <x:c r="M10" s="43" t="n">
        <x:f>Inputs!$B$10/H10*0.0001</x:f>
        <x:v>0.039338083207213916</x:v>
      </x:c>
      <x:c r="N10" s="43" t="str">
        <x:f>IF(I10&gt;Inputs!$B$5/60*1.2,"CLEAR","REVIEW")</x:f>
        <x:v>REVIEW</x:v>
      </x:c>
      <x:c r="O10" s="40"/>
      <x:c r="P10" s="43" t="n">
        <x:f>0+Inputs!E6*1</x:f>
        <x:v>0.3</x:v>
      </x:c>
      <x:c r="Q10" s="43" t="n">
        <x:f>P10*'Unit Map'!$I$8</x:f>
        <x:v>0.3</x:v>
      </x:c>
      <x:c r="R10" s="43" t="str">
        <x:f>Inputs!D6</x:f>
        <x:v>Bit</x:v>
      </x:c>
      <x:c r="S10" s="43" t="n">
        <x:f>1</x:f>
        <x:v>1</x:v>
      </x:c>
      <x:c r="T10" s="43" t="n">
        <x:f>IF(Inputs!$B$12="Lowside",-1,1)*(Calc!J6*Calc!B6^2/(8*(Inputs!$B$7*IF(Inputs!$C$7="GPa",1E9,IF(Inputs!$C$7="MPa",1E6,IF(Inputs!$C$7="Pa",1,IF(Inputs!$C$7="Mpsi",6894757293.168,IF(Inputs!$C$7="psi",6894.757293168,NA()))))))*Calc!F6))*Inputs!$B$13*SIN(PI()*S10)</x:f>
        <x:v>3.7509236829727663e-25</x:v>
      </x:c>
      <x:c r="U10" s="43" t="n">
        <x:f>T10*'Unit Map'!$I$9</x:f>
        <x:v>3.7509236829727663e-25</x:v>
      </x:c>
      <x:c r="V10" s="43" t="n">
        <x:f>Inputs!$B$11/2*'Unit Map'!$I$9</x:f>
        <x:v>0.108</x:v>
      </x:c>
      <x:c r="W10" s="43" t="n">
        <x:f>-Inputs!$B$11/2*'Unit Map'!$I$9</x:f>
        <x:v>-0.108</x:v>
      </x:c>
      <x:c r="X10" s="43" t="n">
        <x:f>(T10+Inputs!F6/2)*'Unit Map'!$I$9</x:f>
        <x:v>0.108</x:v>
      </x:c>
      <x:c r="Y10" s="43" t="n">
        <x:f>(T10-Inputs!F6/2)*'Unit Map'!$I$9</x:f>
        <x:v>-0.108</x:v>
      </x:c>
      <x:c r="Z10" s="43" t="n">
        <x:f>(T10+Inputs!G6/2)*'Unit Map'!$I$9</x:f>
        <x:v>0.025</x:v>
      </x:c>
      <x:c r="AA10" s="43" t="n">
        <x:f>(T10-Inputs!G6/2)*'Unit Map'!$I$9</x:f>
        <x:v>-0.025</x:v>
      </x:c>
      <x:c r="AB10" s="43" t="n">
        <x:f>(Inputs!$B$11/2-ABS(T10)-Inputs!F6/2)*'Unit Map'!$I$9</x:f>
        <x:v>0</x:v>
      </x:c>
      <x:c r="AC10" s="43" t="n">
        <x:f>0</x:f>
        <x:v>0</x:v>
      </x:c>
      <x:c r="AD10" s="43" t="str">
        <x:f>IF(AB10&lt;0,"OVERLAP INDICATION","CLEARANCE")</x:f>
        <x:v>CLEARANCE</x:v>
      </x:c>
      <x:c r="AE10" s="43" t="n">
        <x:f>Q10</x:f>
        <x:v>0.3</x:v>
      </x:c>
      <x:c r="AF10" s="43" t="n">
        <x:f>Calc!J6*'Unit Map'!$I$16</x:f>
        <x:v>6000</x:v>
      </x:c>
      <x:c r="AG10" s="43" t="n">
        <x:f>Calc!K6*'Unit Map'!$I$17</x:f>
        <x:v>6081894.004003528</x:v>
      </x:c>
      <x:c r="AH10" s="43" t="n">
        <x:f>350000000*'Unit Map'!$I$17</x:f>
        <x:v>350000000</x:v>
      </x:c>
      <x:c r="AI10" s="43" t="n">
        <x:f>U10</x:f>
        <x:v>3.7509236829727663e-25</x:v>
      </x:c>
    </x:row>
    <x:row r="11">
      <x:c r="A11" s="43" t="str">
        <x:f>Inputs!D11</x:f>
        <x:v>HWDP transition</x:v>
      </x:c>
      <x:c r="B11" s="43" t="n">
        <x:f>Inputs!E11</x:f>
        <x:v>60</x:v>
      </x:c>
      <x:c r="C11" s="43" t="n">
        <x:f>Inputs!F11</x:f>
        <x:v>0.14</x:v>
      </x:c>
      <x:c r="D11" s="43" t="n">
        <x:f>Inputs!G11</x:f>
        <x:v>0.076</x:v>
      </x:c>
      <x:c r="E11" s="43" t="n">
        <x:f>PI()/4*(C11^2-D11^2)</x:f>
        <x:v>0.010857344210806327</x:v>
      </x:c>
      <x:c r="F11" s="43" t="n">
        <x:f>PI()/64*(C11^4-D11^4)</x:f>
        <x:v>0.00001721974791833884</x:v>
      </x:c>
      <x:c r="G11" s="43" t="n">
        <x:f>E11*B11*Inputs!$B$8</x:f>
        <x:v>5113.80912328978</x:v>
      </x:c>
      <x:c r="H11" s="43" t="n">
        <x:f>48*(Inputs!$B$7*IF(Inputs!$C$7="GPa",1E9,IF(Inputs!$C$7="MPa",1E6,IF(Inputs!$C$7="Pa",1,IF(Inputs!$C$7="Mpsi",6894757293.168,IF(Inputs!$C$7="psi",6894.757293168,NA()))))))*F11*Inputs!H11/B11^3</x:f>
        <x:v>316.60262012394986</x:v>
      </x:c>
      <x:c r="I11" s="43" t="n">
        <x:f>1/(2*PI())*SQRT(H11/G11)</x:f>
        <x:v>0.03960090647511852</x:v>
      </x:c>
      <x:c r="J11" s="43" t="n">
        <x:f>Inputs!$B$9*B11*Inputs!H11/4</x:f>
        <x:v>480000</x:v>
      </x:c>
      <x:c r="K11" s="43" t="n">
        <x:f>J11*C11/(2*F11)</x:f>
        <x:v>1951248076.2982817</x:v>
      </x:c>
      <x:c r="L11" s="43" t="n">
        <x:f>Inputs!$B$9/H11*0.0001</x:f>
        <x:v>0.025268268458637527</x:v>
      </x:c>
      <x:c r="M11" s="43" t="n">
        <x:f>Inputs!$B$10/H11*0.0001</x:f>
        <x:v>0.03790240268795629</x:v>
      </x:c>
      <x:c r="N11" s="43" t="str">
        <x:f>IF(I11&gt;Inputs!$B$5/60*1.2,"CLEAR","REVIEW")</x:f>
        <x:v>REVIEW</x:v>
      </x:c>
      <x:c r="O11" s="40"/>
      <x:c r="P11" s="43" t="n">
        <x:f>SUM(Inputs!$E$6:E6)+Inputs!E7*0</x:f>
        <x:v>0.3</x:v>
      </x:c>
      <x:c r="Q11" s="43" t="n">
        <x:f>P11*'Unit Map'!$I$8</x:f>
        <x:v>0.3</x:v>
      </x:c>
      <x:c r="R11" s="43" t="str">
        <x:f>Inputs!D7</x:f>
        <x:v>Near-bit stabilizer</x:v>
      </x:c>
      <x:c r="S11" s="43" t="n">
        <x:f>0</x:f>
        <x:v>0</x:v>
      </x:c>
      <x:c r="T11" s="43" t="n">
        <x:f>IF(Inputs!$B$12="Lowside",-1,1)*(Calc!J7*Calc!B7^2/(8*(Inputs!$B$7*IF(Inputs!$C$7="GPa",1E9,IF(Inputs!$C$7="MPa",1E6,IF(Inputs!$C$7="Pa",1,IF(Inputs!$C$7="Mpsi",6894757293.168,IF(Inputs!$C$7="psi",6894.757293168,NA()))))))*Calc!F7))*Inputs!$B$13*SIN(PI()*S11)</x:f>
        <x:v>0</x:v>
      </x:c>
      <x:c r="U11" s="43" t="n">
        <x:f>T11*'Unit Map'!$I$9</x:f>
        <x:v>0</x:v>
      </x:c>
      <x:c r="V11" s="43" t="n">
        <x:f>Inputs!$B$11/2*'Unit Map'!$I$9</x:f>
        <x:v>0.108</x:v>
      </x:c>
      <x:c r="W11" s="43" t="n">
        <x:f>-Inputs!$B$11/2*'Unit Map'!$I$9</x:f>
        <x:v>-0.108</x:v>
      </x:c>
      <x:c r="X11" s="43" t="n">
        <x:f>(T11+Inputs!F7/2)*'Unit Map'!$I$9</x:f>
        <x:v>0.1015</x:v>
      </x:c>
      <x:c r="Y11" s="43" t="n">
        <x:f>(T11-Inputs!F7/2)*'Unit Map'!$I$9</x:f>
        <x:v>-0.1015</x:v>
      </x:c>
      <x:c r="Z11" s="43" t="n">
        <x:f>(T11+Inputs!G7/2)*'Unit Map'!$I$9</x:f>
        <x:v>0.035</x:v>
      </x:c>
      <x:c r="AA11" s="43" t="n">
        <x:f>(T11-Inputs!G7/2)*'Unit Map'!$I$9</x:f>
        <x:v>-0.035</x:v>
      </x:c>
      <x:c r="AB11" s="43" t="n">
        <x:f>(Inputs!$B$11/2-ABS(T11)-Inputs!F7/2)*'Unit Map'!$I$9</x:f>
        <x:v>0.006499999999999992</x:v>
      </x:c>
      <x:c r="AC11" s="43" t="n">
        <x:f>0</x:f>
        <x:v>0</x:v>
      </x:c>
      <x:c r="AD11" s="43" t="str">
        <x:f>IF(AB11&lt;0,"OVERLAP INDICATION","CLEARANCE")</x:f>
        <x:v>CLEARANCE</x:v>
      </x:c>
      <x:c r="AE11" s="43" t="n">
        <x:f>Q11</x:f>
        <x:v>0.3</x:v>
      </x:c>
      <x:c r="AF11" s="43" t="n">
        <x:f>Calc!J7*'Unit Map'!$I$16</x:f>
        <x:v>25500</x:v>
      </x:c>
      <x:c r="AG11" s="43" t="n">
        <x:f>Calc!K7*'Unit Map'!$I$17</x:f>
        <x:v>31494617.084358953</x:v>
      </x:c>
      <x:c r="AH11" s="43" t="n">
        <x:f>350000000*'Unit Map'!$I$17</x:f>
        <x:v>350000000</x:v>
      </x:c>
      <x:c r="AI11" s="43" t="n">
        <x:f>U11</x:f>
        <x:v>0</x:v>
      </x:c>
    </x:row>
    <x:row r="12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3" t="n">
        <x:f>SUM(Inputs!$E$6:E6)+Inputs!E7*0.25</x:f>
        <x:v>0.675</x:v>
      </x:c>
      <x:c r="Q12" s="43" t="n">
        <x:f>P12*'Unit Map'!$I$8</x:f>
        <x:v>0.675</x:v>
      </x:c>
      <x:c r="R12" s="43" t="str">
        <x:f>Inputs!D7</x:f>
        <x:v>Near-bit stabilizer</x:v>
      </x:c>
      <x:c r="S12" s="43" t="n">
        <x:f>0.25</x:f>
        <x:v>0.25</x:v>
      </x:c>
      <x:c r="T12" s="43" t="n">
        <x:f>IF(Inputs!$B$12="Lowside",-1,1)*(Calc!J7*Calc!B7^2/(8*(Inputs!$B$7*IF(Inputs!$C$7="GPa",1E9,IF(Inputs!$C$7="MPa",1E6,IF(Inputs!$C$7="Pa",1,IF(Inputs!$C$7="Mpsi",6894757293.168,IF(Inputs!$C$7="psi",6894.757293168,NA()))))))*Calc!F7))*Inputs!$B$13*SIN(PI()*S12)</x:f>
        <x:v>2.9833732126313336e-7</x:v>
      </x:c>
      <x:c r="U12" s="43" t="n">
        <x:f>T12*'Unit Map'!$I$9</x:f>
        <x:v>2.9833732126313336e-7</x:v>
      </x:c>
      <x:c r="V12" s="43" t="n">
        <x:f>Inputs!$B$11/2*'Unit Map'!$I$9</x:f>
        <x:v>0.108</x:v>
      </x:c>
      <x:c r="W12" s="43" t="n">
        <x:f>-Inputs!$B$11/2*'Unit Map'!$I$9</x:f>
        <x:v>-0.108</x:v>
      </x:c>
      <x:c r="X12" s="43" t="n">
        <x:f>(T12+Inputs!F7/2)*'Unit Map'!$I$9</x:f>
        <x:v>0.10150029833732127</x:v>
      </x:c>
      <x:c r="Y12" s="43" t="n">
        <x:f>(T12-Inputs!F7/2)*'Unit Map'!$I$9</x:f>
        <x:v>-0.10149970166267874</x:v>
      </x:c>
      <x:c r="Z12" s="43" t="n">
        <x:f>(T12+Inputs!G7/2)*'Unit Map'!$I$9</x:f>
        <x:v>0.03500029833732127</x:v>
      </x:c>
      <x:c r="AA12" s="43" t="n">
        <x:f>(T12-Inputs!G7/2)*'Unit Map'!$I$9</x:f>
        <x:v>-0.03499970166267874</x:v>
      </x:c>
      <x:c r="AB12" s="43" t="n">
        <x:f>(Inputs!$B$11/2-ABS(T12)-Inputs!F7/2)*'Unit Map'!$I$9</x:f>
        <x:v>0.006499701662678728</x:v>
      </x:c>
      <x:c r="AC12" s="43" t="n">
        <x:f>0</x:f>
        <x:v>0</x:v>
      </x:c>
      <x:c r="AD12" s="43" t="str">
        <x:f>IF(AB12&lt;0,"OVERLAP INDICATION","CLEARANCE")</x:f>
        <x:v>CLEARANCE</x:v>
      </x:c>
      <x:c r="AE12" s="43" t="n">
        <x:f>Q12</x:f>
        <x:v>0.675</x:v>
      </x:c>
      <x:c r="AF12" s="43" t="n">
        <x:f>Calc!J7*'Unit Map'!$I$16</x:f>
        <x:v>25500</x:v>
      </x:c>
      <x:c r="AG12" s="43" t="n">
        <x:f>Calc!K7*'Unit Map'!$I$17</x:f>
        <x:v>31494617.084358953</x:v>
      </x:c>
      <x:c r="AH12" s="43" t="n">
        <x:f>350000000*'Unit Map'!$I$17</x:f>
        <x:v>350000000</x:v>
      </x:c>
      <x:c r="AI12" s="43" t="n">
        <x:f>U12</x:f>
        <x:v>2.9833732126313336e-7</x:v>
      </x:c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3" t="n">
        <x:f>SUM(Inputs!$E$6:E6)+Inputs!E7*0.5</x:f>
        <x:v>1.05</x:v>
      </x:c>
      <x:c r="Q13" s="43" t="n">
        <x:f>P13*'Unit Map'!$I$8</x:f>
        <x:v>1.05</x:v>
      </x:c>
      <x:c r="R13" s="43" t="str">
        <x:f>Inputs!D7</x:f>
        <x:v>Near-bit stabilizer</x:v>
      </x:c>
      <x:c r="S13" s="43" t="n">
        <x:f>0.5</x:f>
        <x:v>0.5</x:v>
      </x:c>
      <x:c r="T13" s="43" t="n">
        <x:f>IF(Inputs!$B$12="Lowside",-1,1)*(Calc!J7*Calc!B7^2/(8*(Inputs!$B$7*IF(Inputs!$C$7="GPa",1E9,IF(Inputs!$C$7="MPa",1E6,IF(Inputs!$C$7="Pa",1,IF(Inputs!$C$7="Mpsi",6894757293.168,IF(Inputs!$C$7="psi",6894.757293168,NA()))))))*Calc!F7))*Inputs!$B$13*SIN(PI()*S13)</x:f>
        <x:v>4.219126858923824e-7</x:v>
      </x:c>
      <x:c r="U13" s="43" t="n">
        <x:f>T13*'Unit Map'!$I$9</x:f>
        <x:v>4.219126858923824e-7</x:v>
      </x:c>
      <x:c r="V13" s="43" t="n">
        <x:f>Inputs!$B$11/2*'Unit Map'!$I$9</x:f>
        <x:v>0.108</x:v>
      </x:c>
      <x:c r="W13" s="43" t="n">
        <x:f>-Inputs!$B$11/2*'Unit Map'!$I$9</x:f>
        <x:v>-0.108</x:v>
      </x:c>
      <x:c r="X13" s="43" t="n">
        <x:f>(T13+Inputs!F7/2)*'Unit Map'!$I$9</x:f>
        <x:v>0.10150042191268589</x:v>
      </x:c>
      <x:c r="Y13" s="43" t="n">
        <x:f>(T13-Inputs!F7/2)*'Unit Map'!$I$9</x:f>
        <x:v>-0.10149957808731412</x:v>
      </x:c>
      <x:c r="Z13" s="43" t="n">
        <x:f>(T13+Inputs!G7/2)*'Unit Map'!$I$9</x:f>
        <x:v>0.035000421912685896</x:v>
      </x:c>
      <x:c r="AA13" s="43" t="n">
        <x:f>(T13-Inputs!G7/2)*'Unit Map'!$I$9</x:f>
        <x:v>-0.03499957808731411</x:v>
      </x:c>
      <x:c r="AB13" s="43" t="n">
        <x:f>(Inputs!$B$11/2-ABS(T13)-Inputs!F7/2)*'Unit Map'!$I$9</x:f>
        <x:v>0.006499578087314106</x:v>
      </x:c>
      <x:c r="AC13" s="43" t="n">
        <x:f>0</x:f>
        <x:v>0</x:v>
      </x:c>
      <x:c r="AD13" s="43" t="str">
        <x:f>IF(AB13&lt;0,"OVERLAP INDICATION","CLEARANCE")</x:f>
        <x:v>CLEARANCE</x:v>
      </x:c>
      <x:c r="AE13" s="43" t="n">
        <x:f>Q13</x:f>
        <x:v>1.05</x:v>
      </x:c>
      <x:c r="AF13" s="43" t="n">
        <x:f>Calc!J7*'Unit Map'!$I$16</x:f>
        <x:v>25500</x:v>
      </x:c>
      <x:c r="AG13" s="43" t="n">
        <x:f>Calc!K7*'Unit Map'!$I$17</x:f>
        <x:v>31494617.084358953</x:v>
      </x:c>
      <x:c r="AH13" s="43" t="n">
        <x:f>350000000*'Unit Map'!$I$17</x:f>
        <x:v>350000000</x:v>
      </x:c>
      <x:c r="AI13" s="43" t="n">
        <x:f>U13</x:f>
        <x:v>4.219126858923824e-7</x:v>
      </x:c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3" t="n">
        <x:f>SUM(Inputs!$E$6:E6)+Inputs!E7*0.75</x:f>
        <x:v>1.425</x:v>
      </x:c>
      <x:c r="Q14" s="43" t="n">
        <x:f>P14*'Unit Map'!$I$8</x:f>
        <x:v>1.425</x:v>
      </x:c>
      <x:c r="R14" s="43" t="str">
        <x:f>Inputs!D7</x:f>
        <x:v>Near-bit stabilizer</x:v>
      </x:c>
      <x:c r="S14" s="43" t="n">
        <x:f>0.75</x:f>
        <x:v>0.75</x:v>
      </x:c>
      <x:c r="T14" s="43" t="n">
        <x:f>IF(Inputs!$B$12="Lowside",-1,1)*(Calc!J7*Calc!B7^2/(8*(Inputs!$B$7*IF(Inputs!$C$7="GPa",1E9,IF(Inputs!$C$7="MPa",1E6,IF(Inputs!$C$7="Pa",1,IF(Inputs!$C$7="Mpsi",6894757293.168,IF(Inputs!$C$7="psi",6894.757293168,NA()))))))*Calc!F7))*Inputs!$B$13*SIN(PI()*S14)</x:f>
        <x:v>2.983373212631334e-7</x:v>
      </x:c>
      <x:c r="U14" s="43" t="n">
        <x:f>T14*'Unit Map'!$I$9</x:f>
        <x:v>2.983373212631334e-7</x:v>
      </x:c>
      <x:c r="V14" s="43" t="n">
        <x:f>Inputs!$B$11/2*'Unit Map'!$I$9</x:f>
        <x:v>0.108</x:v>
      </x:c>
      <x:c r="W14" s="43" t="n">
        <x:f>-Inputs!$B$11/2*'Unit Map'!$I$9</x:f>
        <x:v>-0.108</x:v>
      </x:c>
      <x:c r="X14" s="43" t="n">
        <x:f>(T14+Inputs!F7/2)*'Unit Map'!$I$9</x:f>
        <x:v>0.10150029833732127</x:v>
      </x:c>
      <x:c r="Y14" s="43" t="n">
        <x:f>(T14-Inputs!F7/2)*'Unit Map'!$I$9</x:f>
        <x:v>-0.10149970166267874</x:v>
      </x:c>
      <x:c r="Z14" s="43" t="n">
        <x:f>(T14+Inputs!G7/2)*'Unit Map'!$I$9</x:f>
        <x:v>0.03500029833732127</x:v>
      </x:c>
      <x:c r="AA14" s="43" t="n">
        <x:f>(T14-Inputs!G7/2)*'Unit Map'!$I$9</x:f>
        <x:v>-0.03499970166267874</x:v>
      </x:c>
      <x:c r="AB14" s="43" t="n">
        <x:f>(Inputs!$B$11/2-ABS(T14)-Inputs!F7/2)*'Unit Map'!$I$9</x:f>
        <x:v>0.006499701662678728</x:v>
      </x:c>
      <x:c r="AC14" s="43" t="n">
        <x:f>0</x:f>
        <x:v>0</x:v>
      </x:c>
      <x:c r="AD14" s="43" t="str">
        <x:f>IF(AB14&lt;0,"OVERLAP INDICATION","CLEARANCE")</x:f>
        <x:v>CLEARANCE</x:v>
      </x:c>
      <x:c r="AE14" s="43" t="n">
        <x:f>Q14</x:f>
        <x:v>1.425</x:v>
      </x:c>
      <x:c r="AF14" s="43" t="n">
        <x:f>Calc!J7*'Unit Map'!$I$16</x:f>
        <x:v>25500</x:v>
      </x:c>
      <x:c r="AG14" s="43" t="n">
        <x:f>Calc!K7*'Unit Map'!$I$17</x:f>
        <x:v>31494617.084358953</x:v>
      </x:c>
      <x:c r="AH14" s="43" t="n">
        <x:f>350000000*'Unit Map'!$I$17</x:f>
        <x:v>350000000</x:v>
      </x:c>
      <x:c r="AI14" s="43" t="n">
        <x:f>U14</x:f>
        <x:v>2.983373212631334e-7</x:v>
      </x:c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3" t="n">
        <x:f>SUM(Inputs!$E$6:E6)+Inputs!E7*1</x:f>
        <x:v>1.8</x:v>
      </x:c>
      <x:c r="Q15" s="43" t="n">
        <x:f>P15*'Unit Map'!$I$8</x:f>
        <x:v>1.8</x:v>
      </x:c>
      <x:c r="R15" s="43" t="str">
        <x:f>Inputs!D7</x:f>
        <x:v>Near-bit stabilizer</x:v>
      </x:c>
      <x:c r="S15" s="43" t="n">
        <x:f>1</x:f>
        <x:v>1</x:v>
      </x:c>
      <x:c r="T15" s="43" t="n">
        <x:f>IF(Inputs!$B$12="Lowside",-1,1)*(Calc!J7*Calc!B7^2/(8*(Inputs!$B$7*IF(Inputs!$C$7="GPa",1E9,IF(Inputs!$C$7="MPa",1E6,IF(Inputs!$C$7="Pa",1,IF(Inputs!$C$7="Mpsi",6894757293.168,IF(Inputs!$C$7="psi",6894.757293168,NA()))))))*Calc!F7))*Inputs!$B$13*SIN(PI()*S15)</x:f>
        <x:v>5.166940202977688e-23</x:v>
      </x:c>
      <x:c r="U15" s="43" t="n">
        <x:f>T15*'Unit Map'!$I$9</x:f>
        <x:v>5.166940202977688e-23</x:v>
      </x:c>
      <x:c r="V15" s="43" t="n">
        <x:f>Inputs!$B$11/2*'Unit Map'!$I$9</x:f>
        <x:v>0.108</x:v>
      </x:c>
      <x:c r="W15" s="43" t="n">
        <x:f>-Inputs!$B$11/2*'Unit Map'!$I$9</x:f>
        <x:v>-0.108</x:v>
      </x:c>
      <x:c r="X15" s="43" t="n">
        <x:f>(T15+Inputs!F7/2)*'Unit Map'!$I$9</x:f>
        <x:v>0.1015</x:v>
      </x:c>
      <x:c r="Y15" s="43" t="n">
        <x:f>(T15-Inputs!F7/2)*'Unit Map'!$I$9</x:f>
        <x:v>-0.1015</x:v>
      </x:c>
      <x:c r="Z15" s="43" t="n">
        <x:f>(T15+Inputs!G7/2)*'Unit Map'!$I$9</x:f>
        <x:v>0.035</x:v>
      </x:c>
      <x:c r="AA15" s="43" t="n">
        <x:f>(T15-Inputs!G7/2)*'Unit Map'!$I$9</x:f>
        <x:v>-0.035</x:v>
      </x:c>
      <x:c r="AB15" s="43" t="n">
        <x:f>(Inputs!$B$11/2-ABS(T15)-Inputs!F7/2)*'Unit Map'!$I$9</x:f>
        <x:v>0.006499999999999992</x:v>
      </x:c>
      <x:c r="AC15" s="43" t="n">
        <x:f>0</x:f>
        <x:v>0</x:v>
      </x:c>
      <x:c r="AD15" s="43" t="str">
        <x:f>IF(AB15&lt;0,"OVERLAP INDICATION","CLEARANCE")</x:f>
        <x:v>CLEARANCE</x:v>
      </x:c>
      <x:c r="AE15" s="43" t="n">
        <x:f>Q15</x:f>
        <x:v>1.8</x:v>
      </x:c>
      <x:c r="AF15" s="43" t="n">
        <x:f>Calc!J7*'Unit Map'!$I$16</x:f>
        <x:v>25500</x:v>
      </x:c>
      <x:c r="AG15" s="43" t="n">
        <x:f>Calc!K7*'Unit Map'!$I$17</x:f>
        <x:v>31494617.084358953</x:v>
      </x:c>
      <x:c r="AH15" s="43" t="n">
        <x:f>350000000*'Unit Map'!$I$17</x:f>
        <x:v>350000000</x:v>
      </x:c>
      <x:c r="AI15" s="43" t="n">
        <x:f>U15</x:f>
        <x:v>5.166940202977688e-23</x:v>
      </x:c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3" t="n">
        <x:f>SUM(Inputs!$E$6:E7)+Inputs!E8*0</x:f>
        <x:v>1.8</x:v>
      </x:c>
      <x:c r="Q16" s="43" t="n">
        <x:f>P16*'Unit Map'!$I$8</x:f>
        <x:v>1.8</x:v>
      </x:c>
      <x:c r="R16" s="43" t="str">
        <x:f>Inputs!D8</x:f>
        <x:v>Motor / RSS</x:v>
      </x:c>
      <x:c r="S16" s="43" t="n">
        <x:f>0</x:f>
        <x:v>0</x:v>
      </x:c>
      <x:c r="T16" s="43" t="n">
        <x:f>IF(Inputs!$B$12="Lowside",-1,1)*(Calc!J8*Calc!B8^2/(8*(Inputs!$B$7*IF(Inputs!$C$7="GPa",1E9,IF(Inputs!$C$7="MPa",1E6,IF(Inputs!$C$7="Pa",1,IF(Inputs!$C$7="Mpsi",6894757293.168,IF(Inputs!$C$7="psi",6894.757293168,NA()))))))*Calc!F8))*Inputs!$B$13*SIN(PI()*S16)</x:f>
        <x:v>0</x:v>
      </x:c>
      <x:c r="U16" s="43" t="n">
        <x:f>T16*'Unit Map'!$I$9</x:f>
        <x:v>0</x:v>
      </x:c>
      <x:c r="V16" s="43" t="n">
        <x:f>Inputs!$B$11/2*'Unit Map'!$I$9</x:f>
        <x:v>0.108</x:v>
      </x:c>
      <x:c r="W16" s="43" t="n">
        <x:f>-Inputs!$B$11/2*'Unit Map'!$I$9</x:f>
        <x:v>-0.108</x:v>
      </x:c>
      <x:c r="X16" s="43" t="n">
        <x:f>(T16+Inputs!F8/2)*'Unit Map'!$I$9</x:f>
        <x:v>0.0855</x:v>
      </x:c>
      <x:c r="Y16" s="43" t="n">
        <x:f>(T16-Inputs!F8/2)*'Unit Map'!$I$9</x:f>
        <x:v>-0.0855</x:v>
      </x:c>
      <x:c r="Z16" s="43" t="n">
        <x:f>(T16+Inputs!G8/2)*'Unit Map'!$I$9</x:f>
        <x:v>0.0285</x:v>
      </x:c>
      <x:c r="AA16" s="43" t="n">
        <x:f>(T16-Inputs!G8/2)*'Unit Map'!$I$9</x:f>
        <x:v>-0.0285</x:v>
      </x:c>
      <x:c r="AB16" s="43" t="n">
        <x:f>(Inputs!$B$11/2-ABS(T16)-Inputs!F8/2)*'Unit Map'!$I$9</x:f>
        <x:v>0.022499999999999992</x:v>
      </x:c>
      <x:c r="AC16" s="43" t="n">
        <x:f>0</x:f>
        <x:v>0</x:v>
      </x:c>
      <x:c r="AD16" s="43" t="str">
        <x:f>IF(AB16&lt;0,"OVERLAP INDICATION","CLEARANCE")</x:f>
        <x:v>CLEARANCE</x:v>
      </x:c>
      <x:c r="AE16" s="43" t="n">
        <x:f>Q16</x:f>
        <x:v>1.8</x:v>
      </x:c>
      <x:c r="AF16" s="43" t="n">
        <x:f>Calc!J8*'Unit Map'!$I$16</x:f>
        <x:v>112000</x:v>
      </x:c>
      <x:c r="AG16" s="43" t="n">
        <x:f>Calc!K8*'Unit Map'!$I$17</x:f>
        <x:v>231006834.5083316</x:v>
      </x:c>
      <x:c r="AH16" s="43" t="n">
        <x:f>350000000*'Unit Map'!$I$17</x:f>
        <x:v>350000000</x:v>
      </x:c>
      <x:c r="AI16" s="43" t="n">
        <x:f>U16</x:f>
        <x:v>0</x:v>
      </x:c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3" t="n">
        <x:f>SUM(Inputs!$E$6:E7)+Inputs!E8*0.25</x:f>
        <x:v>3.8</x:v>
      </x:c>
      <x:c r="Q17" s="43" t="n">
        <x:f>P17*'Unit Map'!$I$8</x:f>
        <x:v>3.8</x:v>
      </x:c>
      <x:c r="R17" s="43" t="str">
        <x:f>Inputs!D8</x:f>
        <x:v>Motor / RSS</x:v>
      </x:c>
      <x:c r="S17" s="43" t="n">
        <x:f>0.25</x:f>
        <x:v>0.25</x:v>
      </x:c>
      <x:c r="T17" s="43" t="n">
        <x:f>IF(Inputs!$B$12="Lowside",-1,1)*(Calc!J8*Calc!B8^2/(8*(Inputs!$B$7*IF(Inputs!$C$7="GPa",1E9,IF(Inputs!$C$7="MPa",1E6,IF(Inputs!$C$7="Pa",1,IF(Inputs!$C$7="Mpsi",6894757293.168,IF(Inputs!$C$7="psi",6894.757293168,NA()))))))*Calc!F8))*Inputs!$B$13*SIN(PI()*S17)</x:f>
        <x:v>0.0000738913269626621</x:v>
      </x:c>
      <x:c r="U17" s="43" t="n">
        <x:f>T17*'Unit Map'!$I$9</x:f>
        <x:v>0.0000738913269626621</x:v>
      </x:c>
      <x:c r="V17" s="43" t="n">
        <x:f>Inputs!$B$11/2*'Unit Map'!$I$9</x:f>
        <x:v>0.108</x:v>
      </x:c>
      <x:c r="W17" s="43" t="n">
        <x:f>-Inputs!$B$11/2*'Unit Map'!$I$9</x:f>
        <x:v>-0.108</x:v>
      </x:c>
      <x:c r="X17" s="43" t="n">
        <x:f>(T17+Inputs!F8/2)*'Unit Map'!$I$9</x:f>
        <x:v>0.08557389132696266</x:v>
      </x:c>
      <x:c r="Y17" s="43" t="n">
        <x:f>(T17-Inputs!F8/2)*'Unit Map'!$I$9</x:f>
        <x:v>-0.08542610867303735</x:v>
      </x:c>
      <x:c r="Z17" s="43" t="n">
        <x:f>(T17+Inputs!G8/2)*'Unit Map'!$I$9</x:f>
        <x:v>0.028573891326962662</x:v>
      </x:c>
      <x:c r="AA17" s="43" t="n">
        <x:f>(T17-Inputs!G8/2)*'Unit Map'!$I$9</x:f>
        <x:v>-0.02842610867303734</x:v>
      </x:c>
      <x:c r="AB17" s="43" t="n">
        <x:f>(Inputs!$B$11/2-ABS(T17)-Inputs!F8/2)*'Unit Map'!$I$9</x:f>
        <x:v>0.022426108673037334</x:v>
      </x:c>
      <x:c r="AC17" s="43" t="n">
        <x:f>0</x:f>
        <x:v>0</x:v>
      </x:c>
      <x:c r="AD17" s="43" t="str">
        <x:f>IF(AB17&lt;0,"OVERLAP INDICATION","CLEARANCE")</x:f>
        <x:v>CLEARANCE</x:v>
      </x:c>
      <x:c r="AE17" s="43" t="n">
        <x:f>Q17</x:f>
        <x:v>3.8</x:v>
      </x:c>
      <x:c r="AF17" s="43" t="n">
        <x:f>Calc!J8*'Unit Map'!$I$16</x:f>
        <x:v>112000</x:v>
      </x:c>
      <x:c r="AG17" s="43" t="n">
        <x:f>Calc!K8*'Unit Map'!$I$17</x:f>
        <x:v>231006834.5083316</x:v>
      </x:c>
      <x:c r="AH17" s="43" t="n">
        <x:f>350000000*'Unit Map'!$I$17</x:f>
        <x:v>350000000</x:v>
      </x:c>
      <x:c r="AI17" s="43" t="n">
        <x:f>U17</x:f>
        <x:v>0.0000738913269626621</x:v>
      </x:c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3" t="n">
        <x:f>SUM(Inputs!$E$6:E7)+Inputs!E8*0.5</x:f>
        <x:v>5.8</x:v>
      </x:c>
      <x:c r="Q18" s="43" t="n">
        <x:f>P18*'Unit Map'!$I$8</x:f>
        <x:v>5.8</x:v>
      </x:c>
      <x:c r="R18" s="43" t="str">
        <x:f>Inputs!D8</x:f>
        <x:v>Motor / RSS</x:v>
      </x:c>
      <x:c r="S18" s="43" t="n">
        <x:f>0.5</x:f>
        <x:v>0.5</x:v>
      </x:c>
      <x:c r="T18" s="43" t="n">
        <x:f>IF(Inputs!$B$12="Lowside",-1,1)*(Calc!J8*Calc!B8^2/(8*(Inputs!$B$7*IF(Inputs!$C$7="GPa",1E9,IF(Inputs!$C$7="MPa",1E6,IF(Inputs!$C$7="Pa",1,IF(Inputs!$C$7="Mpsi",6894757293.168,IF(Inputs!$C$7="psi",6894.757293168,NA()))))))*Calc!F8))*Inputs!$B$13*SIN(PI()*S18)</x:f>
        <x:v>0.00010449811673234151</x:v>
      </x:c>
      <x:c r="U18" s="43" t="n">
        <x:f>T18*'Unit Map'!$I$9</x:f>
        <x:v>0.00010449811673234151</x:v>
      </x:c>
      <x:c r="V18" s="43" t="n">
        <x:f>Inputs!$B$11/2*'Unit Map'!$I$9</x:f>
        <x:v>0.108</x:v>
      </x:c>
      <x:c r="W18" s="43" t="n">
        <x:f>-Inputs!$B$11/2*'Unit Map'!$I$9</x:f>
        <x:v>-0.108</x:v>
      </x:c>
      <x:c r="X18" s="43" t="n">
        <x:f>(T18+Inputs!F8/2)*'Unit Map'!$I$9</x:f>
        <x:v>0.08560449811673235</x:v>
      </x:c>
      <x:c r="Y18" s="43" t="n">
        <x:f>(T18-Inputs!F8/2)*'Unit Map'!$I$9</x:f>
        <x:v>-0.08539550188326767</x:v>
      </x:c>
      <x:c r="Z18" s="43" t="n">
        <x:f>(T18+Inputs!G8/2)*'Unit Map'!$I$9</x:f>
        <x:v>0.02860449811673234</x:v>
      </x:c>
      <x:c r="AA18" s="43" t="n">
        <x:f>(T18-Inputs!G8/2)*'Unit Map'!$I$9</x:f>
        <x:v>-0.02839550188326766</x:v>
      </x:c>
      <x:c r="AB18" s="43" t="n">
        <x:f>(Inputs!$B$11/2-ABS(T18)-Inputs!F8/2)*'Unit Map'!$I$9</x:f>
        <x:v>0.02239550188326765</x:v>
      </x:c>
      <x:c r="AC18" s="43" t="n">
        <x:f>0</x:f>
        <x:v>0</x:v>
      </x:c>
      <x:c r="AD18" s="43" t="str">
        <x:f>IF(AB18&lt;0,"OVERLAP INDICATION","CLEARANCE")</x:f>
        <x:v>CLEARANCE</x:v>
      </x:c>
      <x:c r="AE18" s="43" t="n">
        <x:f>Q18</x:f>
        <x:v>5.8</x:v>
      </x:c>
      <x:c r="AF18" s="43" t="n">
        <x:f>Calc!J8*'Unit Map'!$I$16</x:f>
        <x:v>112000</x:v>
      </x:c>
      <x:c r="AG18" s="43" t="n">
        <x:f>Calc!K8*'Unit Map'!$I$17</x:f>
        <x:v>231006834.5083316</x:v>
      </x:c>
      <x:c r="AH18" s="43" t="n">
        <x:f>350000000*'Unit Map'!$I$17</x:f>
        <x:v>350000000</x:v>
      </x:c>
      <x:c r="AI18" s="43" t="n">
        <x:f>U18</x:f>
        <x:v>0.00010449811673234151</x:v>
      </x:c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3" t="n">
        <x:f>SUM(Inputs!$E$6:E7)+Inputs!E8*0.75</x:f>
        <x:v>7.8</x:v>
      </x:c>
      <x:c r="Q19" s="43" t="n">
        <x:f>P19*'Unit Map'!$I$8</x:f>
        <x:v>7.8</x:v>
      </x:c>
      <x:c r="R19" s="43" t="str">
        <x:f>Inputs!D8</x:f>
        <x:v>Motor / RSS</x:v>
      </x:c>
      <x:c r="S19" s="43" t="n">
        <x:f>0.75</x:f>
        <x:v>0.75</x:v>
      </x:c>
      <x:c r="T19" s="43" t="n">
        <x:f>IF(Inputs!$B$12="Lowside",-1,1)*(Calc!J8*Calc!B8^2/(8*(Inputs!$B$7*IF(Inputs!$C$7="GPa",1E9,IF(Inputs!$C$7="MPa",1E6,IF(Inputs!$C$7="Pa",1,IF(Inputs!$C$7="Mpsi",6894757293.168,IF(Inputs!$C$7="psi",6894.757293168,NA()))))))*Calc!F8))*Inputs!$B$13*SIN(PI()*S19)</x:f>
        <x:v>0.00007389132696266212</x:v>
      </x:c>
      <x:c r="U19" s="43" t="n">
        <x:f>T19*'Unit Map'!$I$9</x:f>
        <x:v>0.00007389132696266212</x:v>
      </x:c>
      <x:c r="V19" s="43" t="n">
        <x:f>Inputs!$B$11/2*'Unit Map'!$I$9</x:f>
        <x:v>0.108</x:v>
      </x:c>
      <x:c r="W19" s="43" t="n">
        <x:f>-Inputs!$B$11/2*'Unit Map'!$I$9</x:f>
        <x:v>-0.108</x:v>
      </x:c>
      <x:c r="X19" s="43" t="n">
        <x:f>(T19+Inputs!F8/2)*'Unit Map'!$I$9</x:f>
        <x:v>0.08557389132696266</x:v>
      </x:c>
      <x:c r="Y19" s="43" t="n">
        <x:f>(T19-Inputs!F8/2)*'Unit Map'!$I$9</x:f>
        <x:v>-0.08542610867303735</x:v>
      </x:c>
      <x:c r="Z19" s="43" t="n">
        <x:f>(T19+Inputs!G8/2)*'Unit Map'!$I$9</x:f>
        <x:v>0.028573891326962662</x:v>
      </x:c>
      <x:c r="AA19" s="43" t="n">
        <x:f>(T19-Inputs!G8/2)*'Unit Map'!$I$9</x:f>
        <x:v>-0.02842610867303734</x:v>
      </x:c>
      <x:c r="AB19" s="43" t="n">
        <x:f>(Inputs!$B$11/2-ABS(T19)-Inputs!F8/2)*'Unit Map'!$I$9</x:f>
        <x:v>0.022426108673037334</x:v>
      </x:c>
      <x:c r="AC19" s="43" t="n">
        <x:f>0</x:f>
        <x:v>0</x:v>
      </x:c>
      <x:c r="AD19" s="43" t="str">
        <x:f>IF(AB19&lt;0,"OVERLAP INDICATION","CLEARANCE")</x:f>
        <x:v>CLEARANCE</x:v>
      </x:c>
      <x:c r="AE19" s="43" t="n">
        <x:f>Q19</x:f>
        <x:v>7.8</x:v>
      </x:c>
      <x:c r="AF19" s="43" t="n">
        <x:f>Calc!J8*'Unit Map'!$I$16</x:f>
        <x:v>112000</x:v>
      </x:c>
      <x:c r="AG19" s="43" t="n">
        <x:f>Calc!K8*'Unit Map'!$I$17</x:f>
        <x:v>231006834.5083316</x:v>
      </x:c>
      <x:c r="AH19" s="43" t="n">
        <x:f>350000000*'Unit Map'!$I$17</x:f>
        <x:v>350000000</x:v>
      </x:c>
      <x:c r="AI19" s="43" t="n">
        <x:f>U19</x:f>
        <x:v>0.00007389132696266212</x:v>
      </x:c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3" t="n">
        <x:f>SUM(Inputs!$E$6:E7)+Inputs!E8*1</x:f>
        <x:v>9.8</x:v>
      </x:c>
      <x:c r="Q20" s="43" t="n">
        <x:f>P20*'Unit Map'!$I$8</x:f>
        <x:v>9.8</x:v>
      </x:c>
      <x:c r="R20" s="43" t="str">
        <x:f>Inputs!D8</x:f>
        <x:v>Motor / RSS</x:v>
      </x:c>
      <x:c r="S20" s="43" t="n">
        <x:f>1</x:f>
        <x:v>1</x:v>
      </x:c>
      <x:c r="T20" s="43" t="n">
        <x:f>IF(Inputs!$B$12="Lowside",-1,1)*(Calc!J8*Calc!B8^2/(8*(Inputs!$B$7*IF(Inputs!$C$7="GPa",1E9,IF(Inputs!$C$7="MPa",1E6,IF(Inputs!$C$7="Pa",1,IF(Inputs!$C$7="Mpsi",6894757293.168,IF(Inputs!$C$7="psi",6894.757293168,NA()))))))*Calc!F8))*Inputs!$B$13*SIN(PI()*S20)</x:f>
        <x:v>1.2797328417318851e-20</x:v>
      </x:c>
      <x:c r="U20" s="43" t="n">
        <x:f>T20*'Unit Map'!$I$9</x:f>
        <x:v>1.2797328417318851e-20</x:v>
      </x:c>
      <x:c r="V20" s="43" t="n">
        <x:f>Inputs!$B$11/2*'Unit Map'!$I$9</x:f>
        <x:v>0.108</x:v>
      </x:c>
      <x:c r="W20" s="43" t="n">
        <x:f>-Inputs!$B$11/2*'Unit Map'!$I$9</x:f>
        <x:v>-0.108</x:v>
      </x:c>
      <x:c r="X20" s="43" t="n">
        <x:f>(T20+Inputs!F8/2)*'Unit Map'!$I$9</x:f>
        <x:v>0.0855</x:v>
      </x:c>
      <x:c r="Y20" s="43" t="n">
        <x:f>(T20-Inputs!F8/2)*'Unit Map'!$I$9</x:f>
        <x:v>-0.0855</x:v>
      </x:c>
      <x:c r="Z20" s="43" t="n">
        <x:f>(T20+Inputs!G8/2)*'Unit Map'!$I$9</x:f>
        <x:v>0.0285</x:v>
      </x:c>
      <x:c r="AA20" s="43" t="n">
        <x:f>(T20-Inputs!G8/2)*'Unit Map'!$I$9</x:f>
        <x:v>-0.0285</x:v>
      </x:c>
      <x:c r="AB20" s="43" t="n">
        <x:f>(Inputs!$B$11/2-ABS(T20)-Inputs!F8/2)*'Unit Map'!$I$9</x:f>
        <x:v>0.022499999999999992</x:v>
      </x:c>
      <x:c r="AC20" s="43" t="n">
        <x:f>0</x:f>
        <x:v>0</x:v>
      </x:c>
      <x:c r="AD20" s="43" t="str">
        <x:f>IF(AB20&lt;0,"OVERLAP INDICATION","CLEARANCE")</x:f>
        <x:v>CLEARANCE</x:v>
      </x:c>
      <x:c r="AE20" s="43" t="n">
        <x:f>Q20</x:f>
        <x:v>9.8</x:v>
      </x:c>
      <x:c r="AF20" s="43" t="n">
        <x:f>Calc!J8*'Unit Map'!$I$16</x:f>
        <x:v>112000</x:v>
      </x:c>
      <x:c r="AG20" s="43" t="n">
        <x:f>Calc!K8*'Unit Map'!$I$17</x:f>
        <x:v>231006834.5083316</x:v>
      </x:c>
      <x:c r="AH20" s="43" t="n">
        <x:f>350000000*'Unit Map'!$I$17</x:f>
        <x:v>350000000</x:v>
      </x:c>
      <x:c r="AI20" s="43" t="n">
        <x:f>U20</x:f>
        <x:v>1.2797328417318851e-20</x:v>
      </x:c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3" t="n">
        <x:f>SUM(Inputs!$E$6:E8)+Inputs!E9*0</x:f>
        <x:v>9.8</x:v>
      </x:c>
      <x:c r="Q21" s="43" t="n">
        <x:f>P21*'Unit Map'!$I$8</x:f>
        <x:v>9.8</x:v>
      </x:c>
      <x:c r="R21" s="43" t="str">
        <x:f>Inputs!D9</x:f>
        <x:v>MWD / LWD</x:v>
      </x:c>
      <x:c r="S21" s="43" t="n">
        <x:f>0</x:f>
        <x:v>0</x:v>
      </x:c>
      <x:c r="T21" s="43" t="n">
        <x:f>IF(Inputs!$B$12="Lowside",-1,1)*(Calc!J9*Calc!B9^2/(8*(Inputs!$B$7*IF(Inputs!$C$7="GPa",1E9,IF(Inputs!$C$7="MPa",1E6,IF(Inputs!$C$7="Pa",1,IF(Inputs!$C$7="Mpsi",6894757293.168,IF(Inputs!$C$7="psi",6894.757293168,NA()))))))*Calc!F9))*Inputs!$B$13*SIN(PI()*S21)</x:f>
        <x:v>0</x:v>
      </x:c>
      <x:c r="U21" s="43" t="n">
        <x:f>T21*'Unit Map'!$I$9</x:f>
        <x:v>0</x:v>
      </x:c>
      <x:c r="V21" s="43" t="n">
        <x:f>Inputs!$B$11/2*'Unit Map'!$I$9</x:f>
        <x:v>0.108</x:v>
      </x:c>
      <x:c r="W21" s="43" t="n">
        <x:f>-Inputs!$B$11/2*'Unit Map'!$I$9</x:f>
        <x:v>-0.108</x:v>
      </x:c>
      <x:c r="X21" s="43" t="n">
        <x:f>(T21+Inputs!F9/2)*'Unit Map'!$I$9</x:f>
        <x:v>0.0855</x:v>
      </x:c>
      <x:c r="Y21" s="43" t="n">
        <x:f>(T21-Inputs!F9/2)*'Unit Map'!$I$9</x:f>
        <x:v>-0.0855</x:v>
      </x:c>
      <x:c r="Z21" s="43" t="n">
        <x:f>(T21+Inputs!G9/2)*'Unit Map'!$I$9</x:f>
        <x:v>0.0285</x:v>
      </x:c>
      <x:c r="AA21" s="43" t="n">
        <x:f>(T21-Inputs!G9/2)*'Unit Map'!$I$9</x:f>
        <x:v>-0.0285</x:v>
      </x:c>
      <x:c r="AB21" s="43" t="n">
        <x:f>(Inputs!$B$11/2-ABS(T21)-Inputs!F9/2)*'Unit Map'!$I$9</x:f>
        <x:v>0.022499999999999992</x:v>
      </x:c>
      <x:c r="AC21" s="43" t="n">
        <x:f>0</x:f>
        <x:v>0</x:v>
      </x:c>
      <x:c r="AD21" s="43" t="str">
        <x:f>IF(AB21&lt;0,"OVERLAP INDICATION","CLEARANCE")</x:f>
        <x:v>CLEARANCE</x:v>
      </x:c>
      <x:c r="AE21" s="43" t="n">
        <x:f>Q21</x:f>
        <x:v>9.8</x:v>
      </x:c>
      <x:c r="AF21" s="43" t="n">
        <x:f>Calc!J9*'Unit Map'!$I$16</x:f>
        <x:v>156000</x:v>
      </x:c>
      <x:c r="AG21" s="43" t="n">
        <x:f>Calc!K9*'Unit Map'!$I$17</x:f>
        <x:v>321759519.49374765</x:v>
      </x:c>
      <x:c r="AH21" s="43" t="n">
        <x:f>350000000*'Unit Map'!$I$17</x:f>
        <x:v>350000000</x:v>
      </x:c>
      <x:c r="AI21" s="43" t="n">
        <x:f>U21</x:f>
        <x:v>0</x:v>
      </x:c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3" t="n">
        <x:f>SUM(Inputs!$E$6:E8)+Inputs!E9*0.25</x:f>
        <x:v>12.8</x:v>
      </x:c>
      <x:c r="Q22" s="43" t="n">
        <x:f>P22*'Unit Map'!$I$8</x:f>
        <x:v>12.8</x:v>
      </x:c>
      <x:c r="R22" s="43" t="str">
        <x:f>Inputs!D9</x:f>
        <x:v>MWD / LWD</x:v>
      </x:c>
      <x:c r="S22" s="43" t="n">
        <x:f>0.25</x:f>
        <x:v>0.25</x:v>
      </x:c>
      <x:c r="T22" s="43" t="n">
        <x:f>IF(Inputs!$B$12="Lowside",-1,1)*(Calc!J9*Calc!B9^2/(8*(Inputs!$B$7*IF(Inputs!$C$7="GPa",1E9,IF(Inputs!$C$7="MPa",1E6,IF(Inputs!$C$7="Pa",1,IF(Inputs!$C$7="Mpsi",6894757293.168,IF(Inputs!$C$7="psi",6894.757293168,NA()))))))*Calc!F9))*Inputs!$B$13*SIN(PI()*S22)</x:f>
        <x:v>0.00023157014074905714</x:v>
      </x:c>
      <x:c r="U22" s="43" t="n">
        <x:f>T22*'Unit Map'!$I$9</x:f>
        <x:v>0.00023157014074905714</x:v>
      </x:c>
      <x:c r="V22" s="43" t="n">
        <x:f>Inputs!$B$11/2*'Unit Map'!$I$9</x:f>
        <x:v>0.108</x:v>
      </x:c>
      <x:c r="W22" s="43" t="n">
        <x:f>-Inputs!$B$11/2*'Unit Map'!$I$9</x:f>
        <x:v>-0.108</x:v>
      </x:c>
      <x:c r="X22" s="43" t="n">
        <x:f>(T22+Inputs!F9/2)*'Unit Map'!$I$9</x:f>
        <x:v>0.08573157014074906</x:v>
      </x:c>
      <x:c r="Y22" s="43" t="n">
        <x:f>(T22-Inputs!F9/2)*'Unit Map'!$I$9</x:f>
        <x:v>-0.08526842985925095</x:v>
      </x:c>
      <x:c r="Z22" s="43" t="n">
        <x:f>(T22+Inputs!G9/2)*'Unit Map'!$I$9</x:f>
        <x:v>0.02873157014074906</x:v>
      </x:c>
      <x:c r="AA22" s="43" t="n">
        <x:f>(T22-Inputs!G9/2)*'Unit Map'!$I$9</x:f>
        <x:v>-0.028268429859250942</x:v>
      </x:c>
      <x:c r="AB22" s="43" t="n">
        <x:f>(Inputs!$B$11/2-ABS(T22)-Inputs!F9/2)*'Unit Map'!$I$9</x:f>
        <x:v>0.02226842985925094</x:v>
      </x:c>
      <x:c r="AC22" s="43" t="n">
        <x:f>0</x:f>
        <x:v>0</x:v>
      </x:c>
      <x:c r="AD22" s="43" t="str">
        <x:f>IF(AB22&lt;0,"OVERLAP INDICATION","CLEARANCE")</x:f>
        <x:v>CLEARANCE</x:v>
      </x:c>
      <x:c r="AE22" s="43" t="n">
        <x:f>Q22</x:f>
        <x:v>12.8</x:v>
      </x:c>
      <x:c r="AF22" s="43" t="n">
        <x:f>Calc!J9*'Unit Map'!$I$16</x:f>
        <x:v>156000</x:v>
      </x:c>
      <x:c r="AG22" s="43" t="n">
        <x:f>Calc!K9*'Unit Map'!$I$17</x:f>
        <x:v>321759519.49374765</x:v>
      </x:c>
      <x:c r="AH22" s="43" t="n">
        <x:f>350000000*'Unit Map'!$I$17</x:f>
        <x:v>350000000</x:v>
      </x:c>
      <x:c r="AI22" s="43" t="n">
        <x:f>U22</x:f>
        <x:v>0.00023157014074905714</x:v>
      </x:c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3" t="n">
        <x:f>SUM(Inputs!$E$6:E8)+Inputs!E9*0.5</x:f>
        <x:v>15.8</x:v>
      </x:c>
      <x:c r="Q23" s="43" t="n">
        <x:f>P23*'Unit Map'!$I$8</x:f>
        <x:v>15.8</x:v>
      </x:c>
      <x:c r="R23" s="43" t="str">
        <x:f>Inputs!D9</x:f>
        <x:v>MWD / LWD</x:v>
      </x:c>
      <x:c r="S23" s="43" t="n">
        <x:f>0.5</x:f>
        <x:v>0.5</x:v>
      </x:c>
      <x:c r="T23" s="43" t="n">
        <x:f>IF(Inputs!$B$12="Lowside",-1,1)*(Calc!J9*Calc!B9^2/(8*(Inputs!$B$7*IF(Inputs!$C$7="GPa",1E9,IF(Inputs!$C$7="MPa",1E6,IF(Inputs!$C$7="Pa",1,IF(Inputs!$C$7="Mpsi",6894757293.168,IF(Inputs!$C$7="psi",6894.757293168,NA()))))))*Calc!F9))*Inputs!$B$13*SIN(PI()*S23)</x:f>
        <x:v>0.00032748963368796314</x:v>
      </x:c>
      <x:c r="U23" s="43" t="n">
        <x:f>T23*'Unit Map'!$I$9</x:f>
        <x:v>0.00032748963368796314</x:v>
      </x:c>
      <x:c r="V23" s="43" t="n">
        <x:f>Inputs!$B$11/2*'Unit Map'!$I$9</x:f>
        <x:v>0.108</x:v>
      </x:c>
      <x:c r="W23" s="43" t="n">
        <x:f>-Inputs!$B$11/2*'Unit Map'!$I$9</x:f>
        <x:v>-0.108</x:v>
      </x:c>
      <x:c r="X23" s="43" t="n">
        <x:f>(T23+Inputs!F9/2)*'Unit Map'!$I$9</x:f>
        <x:v>0.08582748963368797</x:v>
      </x:c>
      <x:c r="Y23" s="43" t="n">
        <x:f>(T23-Inputs!F9/2)*'Unit Map'!$I$9</x:f>
        <x:v>-0.08517251036631204</x:v>
      </x:c>
      <x:c r="Z23" s="43" t="n">
        <x:f>(T23+Inputs!G9/2)*'Unit Map'!$I$9</x:f>
        <x:v>0.028827489633687964</x:v>
      </x:c>
      <x:c r="AA23" s="43" t="n">
        <x:f>(T23-Inputs!G9/2)*'Unit Map'!$I$9</x:f>
        <x:v>-0.028172510366312038</x:v>
      </x:c>
      <x:c r="AB23" s="43" t="n">
        <x:f>(Inputs!$B$11/2-ABS(T23)-Inputs!F9/2)*'Unit Map'!$I$9</x:f>
        <x:v>0.02217251036631203</x:v>
      </x:c>
      <x:c r="AC23" s="43" t="n">
        <x:f>0</x:f>
        <x:v>0</x:v>
      </x:c>
      <x:c r="AD23" s="43" t="str">
        <x:f>IF(AB23&lt;0,"OVERLAP INDICATION","CLEARANCE")</x:f>
        <x:v>CLEARANCE</x:v>
      </x:c>
      <x:c r="AE23" s="43" t="n">
        <x:f>Q23</x:f>
        <x:v>15.8</x:v>
      </x:c>
      <x:c r="AF23" s="43" t="n">
        <x:f>Calc!J9*'Unit Map'!$I$16</x:f>
        <x:v>156000</x:v>
      </x:c>
      <x:c r="AG23" s="43" t="n">
        <x:f>Calc!K9*'Unit Map'!$I$17</x:f>
        <x:v>321759519.49374765</x:v>
      </x:c>
      <x:c r="AH23" s="43" t="n">
        <x:f>350000000*'Unit Map'!$I$17</x:f>
        <x:v>350000000</x:v>
      </x:c>
      <x:c r="AI23" s="43" t="n">
        <x:f>U23</x:f>
        <x:v>0.00032748963368796314</x:v>
      </x:c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3" t="n">
        <x:f>SUM(Inputs!$E$6:E8)+Inputs!E9*0.75</x:f>
        <x:v>18.8</x:v>
      </x:c>
      <x:c r="Q24" s="43" t="n">
        <x:f>P24*'Unit Map'!$I$8</x:f>
        <x:v>18.8</x:v>
      </x:c>
      <x:c r="R24" s="43" t="str">
        <x:f>Inputs!D9</x:f>
        <x:v>MWD / LWD</x:v>
      </x:c>
      <x:c r="S24" s="43" t="n">
        <x:f>0.75</x:f>
        <x:v>0.75</x:v>
      </x:c>
      <x:c r="T24" s="43" t="n">
        <x:f>IF(Inputs!$B$12="Lowside",-1,1)*(Calc!J9*Calc!B9^2/(8*(Inputs!$B$7*IF(Inputs!$C$7="GPa",1E9,IF(Inputs!$C$7="MPa",1E6,IF(Inputs!$C$7="Pa",1,IF(Inputs!$C$7="Mpsi",6894757293.168,IF(Inputs!$C$7="psi",6894.757293168,NA()))))))*Calc!F9))*Inputs!$B$13*SIN(PI()*S24)</x:f>
        <x:v>0.00023157014074905716</x:v>
      </x:c>
      <x:c r="U24" s="43" t="n">
        <x:f>T24*'Unit Map'!$I$9</x:f>
        <x:v>0.00023157014074905716</x:v>
      </x:c>
      <x:c r="V24" s="43" t="n">
        <x:f>Inputs!$B$11/2*'Unit Map'!$I$9</x:f>
        <x:v>0.108</x:v>
      </x:c>
      <x:c r="W24" s="43" t="n">
        <x:f>-Inputs!$B$11/2*'Unit Map'!$I$9</x:f>
        <x:v>-0.108</x:v>
      </x:c>
      <x:c r="X24" s="43" t="n">
        <x:f>(T24+Inputs!F9/2)*'Unit Map'!$I$9</x:f>
        <x:v>0.08573157014074906</x:v>
      </x:c>
      <x:c r="Y24" s="43" t="n">
        <x:f>(T24-Inputs!F9/2)*'Unit Map'!$I$9</x:f>
        <x:v>-0.08526842985925095</x:v>
      </x:c>
      <x:c r="Z24" s="43" t="n">
        <x:f>(T24+Inputs!G9/2)*'Unit Map'!$I$9</x:f>
        <x:v>0.02873157014074906</x:v>
      </x:c>
      <x:c r="AA24" s="43" t="n">
        <x:f>(T24-Inputs!G9/2)*'Unit Map'!$I$9</x:f>
        <x:v>-0.028268429859250942</x:v>
      </x:c>
      <x:c r="AB24" s="43" t="n">
        <x:f>(Inputs!$B$11/2-ABS(T24)-Inputs!F9/2)*'Unit Map'!$I$9</x:f>
        <x:v>0.02226842985925094</x:v>
      </x:c>
      <x:c r="AC24" s="43" t="n">
        <x:f>0</x:f>
        <x:v>0</x:v>
      </x:c>
      <x:c r="AD24" s="43" t="str">
        <x:f>IF(AB24&lt;0,"OVERLAP INDICATION","CLEARANCE")</x:f>
        <x:v>CLEARANCE</x:v>
      </x:c>
      <x:c r="AE24" s="43" t="n">
        <x:f>Q24</x:f>
        <x:v>18.8</x:v>
      </x:c>
      <x:c r="AF24" s="43" t="n">
        <x:f>Calc!J9*'Unit Map'!$I$16</x:f>
        <x:v>156000</x:v>
      </x:c>
      <x:c r="AG24" s="43" t="n">
        <x:f>Calc!K9*'Unit Map'!$I$17</x:f>
        <x:v>321759519.49374765</x:v>
      </x:c>
      <x:c r="AH24" s="43" t="n">
        <x:f>350000000*'Unit Map'!$I$17</x:f>
        <x:v>350000000</x:v>
      </x:c>
      <x:c r="AI24" s="43" t="n">
        <x:f>U24</x:f>
        <x:v>0.00023157014074905716</x:v>
      </x:c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3" t="n">
        <x:f>SUM(Inputs!$E$6:E8)+Inputs!E9*1</x:f>
        <x:v>21.8</x:v>
      </x:c>
      <x:c r="Q25" s="43" t="n">
        <x:f>P25*'Unit Map'!$I$8</x:f>
        <x:v>21.8</x:v>
      </x:c>
      <x:c r="R25" s="43" t="str">
        <x:f>Inputs!D9</x:f>
        <x:v>MWD / LWD</x:v>
      </x:c>
      <x:c r="S25" s="43" t="n">
        <x:f>1</x:f>
        <x:v>1</x:v>
      </x:c>
      <x:c r="T25" s="43" t="n">
        <x:f>IF(Inputs!$B$12="Lowside",-1,1)*(Calc!J9*Calc!B9^2/(8*(Inputs!$B$7*IF(Inputs!$C$7="GPa",1E9,IF(Inputs!$C$7="MPa",1E6,IF(Inputs!$C$7="Pa",1,IF(Inputs!$C$7="Mpsi",6894757293.168,IF(Inputs!$C$7="psi",6894.757293168,NA()))))))*Calc!F9))*Inputs!$B$13*SIN(PI()*S25)</x:f>
        <x:v>4.010591316499033e-20</x:v>
      </x:c>
      <x:c r="U25" s="43" t="n">
        <x:f>T25*'Unit Map'!$I$9</x:f>
        <x:v>4.010591316499033e-20</x:v>
      </x:c>
      <x:c r="V25" s="43" t="n">
        <x:f>Inputs!$B$11/2*'Unit Map'!$I$9</x:f>
        <x:v>0.108</x:v>
      </x:c>
      <x:c r="W25" s="43" t="n">
        <x:f>-Inputs!$B$11/2*'Unit Map'!$I$9</x:f>
        <x:v>-0.108</x:v>
      </x:c>
      <x:c r="X25" s="43" t="n">
        <x:f>(T25+Inputs!F9/2)*'Unit Map'!$I$9</x:f>
        <x:v>0.0855</x:v>
      </x:c>
      <x:c r="Y25" s="43" t="n">
        <x:f>(T25-Inputs!F9/2)*'Unit Map'!$I$9</x:f>
        <x:v>-0.0855</x:v>
      </x:c>
      <x:c r="Z25" s="43" t="n">
        <x:f>(T25+Inputs!G9/2)*'Unit Map'!$I$9</x:f>
        <x:v>0.0285</x:v>
      </x:c>
      <x:c r="AA25" s="43" t="n">
        <x:f>(T25-Inputs!G9/2)*'Unit Map'!$I$9</x:f>
        <x:v>-0.0285</x:v>
      </x:c>
      <x:c r="AB25" s="43" t="n">
        <x:f>(Inputs!$B$11/2-ABS(T25)-Inputs!F9/2)*'Unit Map'!$I$9</x:f>
        <x:v>0.022499999999999992</x:v>
      </x:c>
      <x:c r="AC25" s="43" t="n">
        <x:f>0</x:f>
        <x:v>0</x:v>
      </x:c>
      <x:c r="AD25" s="43" t="str">
        <x:f>IF(AB25&lt;0,"OVERLAP INDICATION","CLEARANCE")</x:f>
        <x:v>CLEARANCE</x:v>
      </x:c>
      <x:c r="AE25" s="43" t="n">
        <x:f>Q25</x:f>
        <x:v>21.8</x:v>
      </x:c>
      <x:c r="AF25" s="43" t="n">
        <x:f>Calc!J9*'Unit Map'!$I$16</x:f>
        <x:v>156000</x:v>
      </x:c>
      <x:c r="AG25" s="43" t="n">
        <x:f>Calc!K9*'Unit Map'!$I$17</x:f>
        <x:v>321759519.49374765</x:v>
      </x:c>
      <x:c r="AH25" s="43" t="n">
        <x:f>350000000*'Unit Map'!$I$17</x:f>
        <x:v>350000000</x:v>
      </x:c>
      <x:c r="AI25" s="43" t="n">
        <x:f>U25</x:f>
        <x:v>4.010591316499033e-20</x:v>
      </x:c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3" t="n">
        <x:f>SUM(Inputs!$E$6:E9)+Inputs!E10*0</x:f>
        <x:v>21.8</x:v>
      </x:c>
      <x:c r="Q26" s="43" t="n">
        <x:f>P26*'Unit Map'!$I$8</x:f>
        <x:v>21.8</x:v>
      </x:c>
      <x:c r="R26" s="43" t="str">
        <x:f>Inputs!D10</x:f>
        <x:v>Drill collar</x:v>
      </x:c>
      <x:c r="S26" s="43" t="n">
        <x:f>0</x:f>
        <x:v>0</x:v>
      </x:c>
      <x:c r="T26" s="43" t="n">
        <x:f>IF(Inputs!$B$12="Lowside",-1,1)*(Calc!J10*Calc!B10^2/(8*(Inputs!$B$7*IF(Inputs!$C$7="GPa",1E9,IF(Inputs!$C$7="MPa",1E6,IF(Inputs!$C$7="Pa",1,IF(Inputs!$C$7="Mpsi",6894757293.168,IF(Inputs!$C$7="psi",6894.757293168,NA()))))))*Calc!F10))*Inputs!$B$13*SIN(PI()*S26)</x:f>
        <x:v>0</x:v>
      </x:c>
      <x:c r="U26" s="43" t="n">
        <x:f>T26*'Unit Map'!$I$9</x:f>
        <x:v>0</x:v>
      </x:c>
      <x:c r="V26" s="43" t="n">
        <x:f>Inputs!$B$11/2*'Unit Map'!$I$9</x:f>
        <x:v>0.108</x:v>
      </x:c>
      <x:c r="W26" s="43" t="n">
        <x:f>-Inputs!$B$11/2*'Unit Map'!$I$9</x:f>
        <x:v>-0.108</x:v>
      </x:c>
      <x:c r="X26" s="43" t="n">
        <x:f>(T26+Inputs!F10/2)*'Unit Map'!$I$9</x:f>
        <x:v>0.0855</x:v>
      </x:c>
      <x:c r="Y26" s="43" t="n">
        <x:f>(T26-Inputs!F10/2)*'Unit Map'!$I$9</x:f>
        <x:v>-0.0855</x:v>
      </x:c>
      <x:c r="Z26" s="43" t="n">
        <x:f>(T26+Inputs!G10/2)*'Unit Map'!$I$9</x:f>
        <x:v>0.0355</x:v>
      </x:c>
      <x:c r="AA26" s="43" t="n">
        <x:f>(T26-Inputs!G10/2)*'Unit Map'!$I$9</x:f>
        <x:v>-0.0355</x:v>
      </x:c>
      <x:c r="AB26" s="43" t="n">
        <x:f>(Inputs!$B$11/2-ABS(T26)-Inputs!F10/2)*'Unit Map'!$I$9</x:f>
        <x:v>0.022499999999999992</x:v>
      </x:c>
      <x:c r="AC26" s="43" t="n">
        <x:f>0</x:f>
        <x:v>0</x:v>
      </x:c>
      <x:c r="AD26" s="43" t="str">
        <x:f>IF(AB26&lt;0,"OVERLAP INDICATION","CLEARANCE")</x:f>
        <x:v>CLEARANCE</x:v>
      </x:c>
      <x:c r="AE26" s="43" t="n">
        <x:f>Q26</x:f>
        <x:v>21.8</x:v>
      </x:c>
      <x:c r="AF26" s="43" t="n">
        <x:f>Calc!J10*'Unit Map'!$I$16</x:f>
        <x:v>990000.0000000001</x:v>
      </x:c>
      <x:c r="AG26" s="43" t="n">
        <x:f>Calc!K10*'Unit Map'!$I$17</x:f>
        <x:v>2078499354.9197993</x:v>
      </x:c>
      <x:c r="AH26" s="43" t="n">
        <x:f>350000000*'Unit Map'!$I$17</x:f>
        <x:v>350000000</x:v>
      </x:c>
      <x:c r="AI26" s="43" t="n">
        <x:f>U26</x:f>
        <x:v>0</x:v>
      </x:c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3" t="n">
        <x:f>SUM(Inputs!$E$6:E9)+Inputs!E10*0.25</x:f>
        <x:v>44.3</x:v>
      </x:c>
      <x:c r="Q27" s="43" t="n">
        <x:f>P27*'Unit Map'!$I$8</x:f>
        <x:v>44.3</x:v>
      </x:c>
      <x:c r="R27" s="43" t="str">
        <x:f>Inputs!D10</x:f>
        <x:v>Drill collar</x:v>
      </x:c>
      <x:c r="S27" s="43" t="n">
        <x:f>0.25</x:f>
        <x:v>0.25</x:v>
      </x:c>
      <x:c r="T27" s="43" t="n">
        <x:f>IF(Inputs!$B$12="Lowside",-1,1)*(Calc!J10*Calc!B10^2/(8*(Inputs!$B$7*IF(Inputs!$C$7="GPa",1E9,IF(Inputs!$C$7="MPa",1E6,IF(Inputs!$C$7="Pa",1,IF(Inputs!$C$7="Mpsi",6894757293.168,IF(Inputs!$C$7="psi",6894.757293168,NA()))))))*Calc!F10))*Inputs!$B$13*SIN(PI()*S27)</x:f>
        <x:v>0.08414408181897237</x:v>
      </x:c>
      <x:c r="U27" s="43" t="n">
        <x:f>T27*'Unit Map'!$I$9</x:f>
        <x:v>0.08414408181897237</x:v>
      </x:c>
      <x:c r="V27" s="43" t="n">
        <x:f>Inputs!$B$11/2*'Unit Map'!$I$9</x:f>
        <x:v>0.108</x:v>
      </x:c>
      <x:c r="W27" s="43" t="n">
        <x:f>-Inputs!$B$11/2*'Unit Map'!$I$9</x:f>
        <x:v>-0.108</x:v>
      </x:c>
      <x:c r="X27" s="43" t="n">
        <x:f>(T27+Inputs!F10/2)*'Unit Map'!$I$9</x:f>
        <x:v>0.1696440818189724</x:v>
      </x:c>
      <x:c r="Y27" s="43" t="n">
        <x:f>(T27-Inputs!F10/2)*'Unit Map'!$I$9</x:f>
        <x:v>-0.001355918181027635</x:v>
      </x:c>
      <x:c r="Z27" s="43" t="n">
        <x:f>(T27+Inputs!G10/2)*'Unit Map'!$I$9</x:f>
        <x:v>0.11964408181897238</x:v>
      </x:c>
      <x:c r="AA27" s="43" t="n">
        <x:f>(T27-Inputs!G10/2)*'Unit Map'!$I$9</x:f>
        <x:v>0.048644081818972375</x:v>
      </x:c>
      <x:c r="AB27" s="43" t="n">
        <x:f>(Inputs!$B$11/2-ABS(T27)-Inputs!F10/2)*'Unit Map'!$I$9</x:f>
        <x:v>-0.06164408181897238</x:v>
      </x:c>
      <x:c r="AC27" s="43" t="n">
        <x:f>0</x:f>
        <x:v>0</x:v>
      </x:c>
      <x:c r="AD27" s="43" t="str">
        <x:f>IF(AB27&lt;0,"OVERLAP INDICATION","CLEARANCE")</x:f>
        <x:v>OVERLAP INDICATION</x:v>
      </x:c>
      <x:c r="AE27" s="43" t="n">
        <x:f>Q27</x:f>
        <x:v>44.3</x:v>
      </x:c>
      <x:c r="AF27" s="43" t="n">
        <x:f>Calc!J10*'Unit Map'!$I$16</x:f>
        <x:v>990000.0000000001</x:v>
      </x:c>
      <x:c r="AG27" s="43" t="n">
        <x:f>Calc!K10*'Unit Map'!$I$17</x:f>
        <x:v>2078499354.9197993</x:v>
      </x:c>
      <x:c r="AH27" s="43" t="n">
        <x:f>350000000*'Unit Map'!$I$17</x:f>
        <x:v>350000000</x:v>
      </x:c>
      <x:c r="AI27" s="43" t="n">
        <x:f>U27</x:f>
        <x:v>0.08414408181897237</x:v>
      </x:c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3" t="n">
        <x:f>SUM(Inputs!$E$6:E9)+Inputs!E10*0.5</x:f>
        <x:v>66.8</x:v>
      </x:c>
      <x:c r="Q28" s="43" t="n">
        <x:f>P28*'Unit Map'!$I$8</x:f>
        <x:v>66.8</x:v>
      </x:c>
      <x:c r="R28" s="43" t="str">
        <x:f>Inputs!D10</x:f>
        <x:v>Drill collar</x:v>
      </x:c>
      <x:c r="S28" s="43" t="n">
        <x:f>0.5</x:f>
        <x:v>0.5</x:v>
      </x:c>
      <x:c r="T28" s="43" t="n">
        <x:f>IF(Inputs!$B$12="Lowside",-1,1)*(Calc!J10*Calc!B10^2/(8*(Inputs!$B$7*IF(Inputs!$C$7="GPa",1E9,IF(Inputs!$C$7="MPa",1E6,IF(Inputs!$C$7="Pa",1,IF(Inputs!$C$7="Mpsi",6894757293.168,IF(Inputs!$C$7="psi",6894.757293168,NA()))))))*Calc!F10))*Inputs!$B$13*SIN(PI()*S28)</x:f>
        <x:v>0.11899770170182211</x:v>
      </x:c>
      <x:c r="U28" s="43" t="n">
        <x:f>T28*'Unit Map'!$I$9</x:f>
        <x:v>0.11899770170182211</x:v>
      </x:c>
      <x:c r="V28" s="43" t="n">
        <x:f>Inputs!$B$11/2*'Unit Map'!$I$9</x:f>
        <x:v>0.108</x:v>
      </x:c>
      <x:c r="W28" s="43" t="n">
        <x:f>-Inputs!$B$11/2*'Unit Map'!$I$9</x:f>
        <x:v>-0.108</x:v>
      </x:c>
      <x:c r="X28" s="43" t="n">
        <x:f>(T28+Inputs!F10/2)*'Unit Map'!$I$9</x:f>
        <x:v>0.20449770170182213</x:v>
      </x:c>
      <x:c r="Y28" s="43" t="n">
        <x:f>(T28-Inputs!F10/2)*'Unit Map'!$I$9</x:f>
        <x:v>0.033497701701822105</x:v>
      </x:c>
      <x:c r="Z28" s="43" t="n">
        <x:f>(T28+Inputs!G10/2)*'Unit Map'!$I$9</x:f>
        <x:v>0.15449770170182212</x:v>
      </x:c>
      <x:c r="AA28" s="43" t="n">
        <x:f>(T28-Inputs!G10/2)*'Unit Map'!$I$9</x:f>
        <x:v>0.08349770170182211</x:v>
      </x:c>
      <x:c r="AB28" s="43" t="n">
        <x:f>(Inputs!$B$11/2-ABS(T28)-Inputs!F10/2)*'Unit Map'!$I$9</x:f>
        <x:v>-0.09649770170182212</x:v>
      </x:c>
      <x:c r="AC28" s="43" t="n">
        <x:f>0</x:f>
        <x:v>0</x:v>
      </x:c>
      <x:c r="AD28" s="43" t="str">
        <x:f>IF(AB28&lt;0,"OVERLAP INDICATION","CLEARANCE")</x:f>
        <x:v>OVERLAP INDICATION</x:v>
      </x:c>
      <x:c r="AE28" s="43" t="n">
        <x:f>Q28</x:f>
        <x:v>66.8</x:v>
      </x:c>
      <x:c r="AF28" s="43" t="n">
        <x:f>Calc!J10*'Unit Map'!$I$16</x:f>
        <x:v>990000.0000000001</x:v>
      </x:c>
      <x:c r="AG28" s="43" t="n">
        <x:f>Calc!K10*'Unit Map'!$I$17</x:f>
        <x:v>2078499354.9197993</x:v>
      </x:c>
      <x:c r="AH28" s="43" t="n">
        <x:f>350000000*'Unit Map'!$I$17</x:f>
        <x:v>350000000</x:v>
      </x:c>
      <x:c r="AI28" s="43" t="n">
        <x:f>U28</x:f>
        <x:v>0.11899770170182211</x:v>
      </x:c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3" t="n">
        <x:f>SUM(Inputs!$E$6:E9)+Inputs!E10*0.75</x:f>
        <x:v>89.3</x:v>
      </x:c>
      <x:c r="Q29" s="43" t="n">
        <x:f>P29*'Unit Map'!$I$8</x:f>
        <x:v>89.3</x:v>
      </x:c>
      <x:c r="R29" s="43" t="str">
        <x:f>Inputs!D10</x:f>
        <x:v>Drill collar</x:v>
      </x:c>
      <x:c r="S29" s="43" t="n">
        <x:f>0.75</x:f>
        <x:v>0.75</x:v>
      </x:c>
      <x:c r="T29" s="43" t="n">
        <x:f>IF(Inputs!$B$12="Lowside",-1,1)*(Calc!J10*Calc!B10^2/(8*(Inputs!$B$7*IF(Inputs!$C$7="GPa",1E9,IF(Inputs!$C$7="MPa",1E6,IF(Inputs!$C$7="Pa",1,IF(Inputs!$C$7="Mpsi",6894757293.168,IF(Inputs!$C$7="psi",6894.757293168,NA()))))))*Calc!F10))*Inputs!$B$13*SIN(PI()*S29)</x:f>
        <x:v>0.08414408181897239</x:v>
      </x:c>
      <x:c r="U29" s="43" t="n">
        <x:f>T29*'Unit Map'!$I$9</x:f>
        <x:v>0.08414408181897239</x:v>
      </x:c>
      <x:c r="V29" s="43" t="n">
        <x:f>Inputs!$B$11/2*'Unit Map'!$I$9</x:f>
        <x:v>0.108</x:v>
      </x:c>
      <x:c r="W29" s="43" t="n">
        <x:f>-Inputs!$B$11/2*'Unit Map'!$I$9</x:f>
        <x:v>-0.108</x:v>
      </x:c>
      <x:c r="X29" s="43" t="n">
        <x:f>(T29+Inputs!F10/2)*'Unit Map'!$I$9</x:f>
        <x:v>0.1696440818189724</x:v>
      </x:c>
      <x:c r="Y29" s="43" t="n">
        <x:f>(T29-Inputs!F10/2)*'Unit Map'!$I$9</x:f>
        <x:v>-0.001355918181027621</x:v>
      </x:c>
      <x:c r="Z29" s="43" t="n">
        <x:f>(T29+Inputs!G10/2)*'Unit Map'!$I$9</x:f>
        <x:v>0.11964408181897238</x:v>
      </x:c>
      <x:c r="AA29" s="43" t="n">
        <x:f>(T29-Inputs!G10/2)*'Unit Map'!$I$9</x:f>
        <x:v>0.04864408181897239</x:v>
      </x:c>
      <x:c r="AB29" s="43" t="n">
        <x:f>(Inputs!$B$11/2-ABS(T29)-Inputs!F10/2)*'Unit Map'!$I$9</x:f>
        <x:v>-0.06164408181897239</x:v>
      </x:c>
      <x:c r="AC29" s="43" t="n">
        <x:f>0</x:f>
        <x:v>0</x:v>
      </x:c>
      <x:c r="AD29" s="43" t="str">
        <x:f>IF(AB29&lt;0,"OVERLAP INDICATION","CLEARANCE")</x:f>
        <x:v>OVERLAP INDICATION</x:v>
      </x:c>
      <x:c r="AE29" s="43" t="n">
        <x:f>Q29</x:f>
        <x:v>89.3</x:v>
      </x:c>
      <x:c r="AF29" s="43" t="n">
        <x:f>Calc!J10*'Unit Map'!$I$16</x:f>
        <x:v>990000.0000000001</x:v>
      </x:c>
      <x:c r="AG29" s="43" t="n">
        <x:f>Calc!K10*'Unit Map'!$I$17</x:f>
        <x:v>2078499354.9197993</x:v>
      </x:c>
      <x:c r="AH29" s="43" t="n">
        <x:f>350000000*'Unit Map'!$I$17</x:f>
        <x:v>350000000</x:v>
      </x:c>
      <x:c r="AI29" s="43" t="n">
        <x:f>U29</x:f>
        <x:v>0.08414408181897239</x:v>
      </x:c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3" t="n">
        <x:f>SUM(Inputs!$E$6:E9)+Inputs!E10*1</x:f>
        <x:v>111.8</x:v>
      </x:c>
      <x:c r="Q30" s="43" t="n">
        <x:f>P30*'Unit Map'!$I$8</x:f>
        <x:v>111.8</x:v>
      </x:c>
      <x:c r="R30" s="43" t="str">
        <x:f>Inputs!D10</x:f>
        <x:v>Drill collar</x:v>
      </x:c>
      <x:c r="S30" s="43" t="n">
        <x:f>1</x:f>
        <x:v>1</x:v>
      </x:c>
      <x:c r="T30" s="43" t="n">
        <x:f>IF(Inputs!$B$12="Lowside",-1,1)*(Calc!J10*Calc!B10^2/(8*(Inputs!$B$7*IF(Inputs!$C$7="GPa",1E9,IF(Inputs!$C$7="MPa",1E6,IF(Inputs!$C$7="Pa",1,IF(Inputs!$C$7="Mpsi",6894757293.168,IF(Inputs!$C$7="psi",6894.757293168,NA()))))))*Calc!F10))*Inputs!$B$13*SIN(PI()*S30)</x:f>
        <x:v>1.45730154495028e-17</x:v>
      </x:c>
      <x:c r="U30" s="43" t="n">
        <x:f>T30*'Unit Map'!$I$9</x:f>
        <x:v>1.45730154495028e-17</x:v>
      </x:c>
      <x:c r="V30" s="43" t="n">
        <x:f>Inputs!$B$11/2*'Unit Map'!$I$9</x:f>
        <x:v>0.108</x:v>
      </x:c>
      <x:c r="W30" s="43" t="n">
        <x:f>-Inputs!$B$11/2*'Unit Map'!$I$9</x:f>
        <x:v>-0.108</x:v>
      </x:c>
      <x:c r="X30" s="43" t="n">
        <x:f>(T30+Inputs!F10/2)*'Unit Map'!$I$9</x:f>
        <x:v>0.08550000000000002</x:v>
      </x:c>
      <x:c r="Y30" s="43" t="n">
        <x:f>(T30-Inputs!F10/2)*'Unit Map'!$I$9</x:f>
        <x:v>-0.08549999999999999</x:v>
      </x:c>
      <x:c r="Z30" s="43" t="n">
        <x:f>(T30+Inputs!G10/2)*'Unit Map'!$I$9</x:f>
        <x:v>0.03550000000000001</x:v>
      </x:c>
      <x:c r="AA30" s="43" t="n">
        <x:f>(T30-Inputs!G10/2)*'Unit Map'!$I$9</x:f>
        <x:v>-0.03549999999999998</x:v>
      </x:c>
      <x:c r="AB30" s="43" t="n">
        <x:f>(Inputs!$B$11/2-ABS(T30)-Inputs!F10/2)*'Unit Map'!$I$9</x:f>
        <x:v>0.02249999999999998</x:v>
      </x:c>
      <x:c r="AC30" s="43" t="n">
        <x:f>0</x:f>
        <x:v>0</x:v>
      </x:c>
      <x:c r="AD30" s="43" t="str">
        <x:f>IF(AB30&lt;0,"OVERLAP INDICATION","CLEARANCE")</x:f>
        <x:v>CLEARANCE</x:v>
      </x:c>
      <x:c r="AE30" s="43" t="n">
        <x:f>Q30</x:f>
        <x:v>111.8</x:v>
      </x:c>
      <x:c r="AF30" s="43" t="n">
        <x:f>Calc!J10*'Unit Map'!$I$16</x:f>
        <x:v>990000.0000000001</x:v>
      </x:c>
      <x:c r="AG30" s="43" t="n">
        <x:f>Calc!K10*'Unit Map'!$I$17</x:f>
        <x:v>2078499354.9197993</x:v>
      </x:c>
      <x:c r="AH30" s="43" t="n">
        <x:f>350000000*'Unit Map'!$I$17</x:f>
        <x:v>350000000</x:v>
      </x:c>
      <x:c r="AI30" s="43" t="n">
        <x:f>U30</x:f>
        <x:v>1.45730154495028e-17</x:v>
      </x:c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3" t="n">
        <x:f>SUM(Inputs!$E$6:E10)+Inputs!E11*0</x:f>
        <x:v>111.8</x:v>
      </x:c>
      <x:c r="Q31" s="43" t="n">
        <x:f>P31*'Unit Map'!$I$8</x:f>
        <x:v>111.8</x:v>
      </x:c>
      <x:c r="R31" s="43" t="str">
        <x:f>Inputs!D11</x:f>
        <x:v>HWDP transition</x:v>
      </x:c>
      <x:c r="S31" s="43" t="n">
        <x:f>0</x:f>
        <x:v>0</x:v>
      </x:c>
      <x:c r="T31" s="43" t="n">
        <x:f>IF(Inputs!$B$12="Lowside",-1,1)*(Calc!J11*Calc!B11^2/(8*(Inputs!$B$7*IF(Inputs!$C$7="GPa",1E9,IF(Inputs!$C$7="MPa",1E6,IF(Inputs!$C$7="Pa",1,IF(Inputs!$C$7="Mpsi",6894757293.168,IF(Inputs!$C$7="psi",6894.757293168,NA()))))))*Calc!F11))*Inputs!$B$13*SIN(PI()*S31)</x:f>
        <x:v>0</x:v>
      </x:c>
      <x:c r="U31" s="43" t="n">
        <x:f>T31*'Unit Map'!$I$9</x:f>
        <x:v>0</x:v>
      </x:c>
      <x:c r="V31" s="43" t="n">
        <x:f>Inputs!$B$11/2*'Unit Map'!$I$9</x:f>
        <x:v>0.108</x:v>
      </x:c>
      <x:c r="W31" s="43" t="n">
        <x:f>-Inputs!$B$11/2*'Unit Map'!$I$9</x:f>
        <x:v>-0.108</x:v>
      </x:c>
      <x:c r="X31" s="43" t="n">
        <x:f>(T31+Inputs!F11/2)*'Unit Map'!$I$9</x:f>
        <x:v>0.07</x:v>
      </x:c>
      <x:c r="Y31" s="43" t="n">
        <x:f>(T31-Inputs!F11/2)*'Unit Map'!$I$9</x:f>
        <x:v>-0.07</x:v>
      </x:c>
      <x:c r="Z31" s="43" t="n">
        <x:f>(T31+Inputs!G11/2)*'Unit Map'!$I$9</x:f>
        <x:v>0.038</x:v>
      </x:c>
      <x:c r="AA31" s="43" t="n">
        <x:f>(T31-Inputs!G11/2)*'Unit Map'!$I$9</x:f>
        <x:v>-0.038</x:v>
      </x:c>
      <x:c r="AB31" s="43" t="n">
        <x:f>(Inputs!$B$11/2-ABS(T31)-Inputs!F11/2)*'Unit Map'!$I$9</x:f>
        <x:v>0.03799999999999999</x:v>
      </x:c>
      <x:c r="AC31" s="43" t="n">
        <x:f>0</x:f>
        <x:v>0</x:v>
      </x:c>
      <x:c r="AD31" s="43" t="str">
        <x:f>IF(AB31&lt;0,"OVERLAP INDICATION","CLEARANCE")</x:f>
        <x:v>CLEARANCE</x:v>
      </x:c>
      <x:c r="AE31" s="43" t="n">
        <x:f>Q31</x:f>
        <x:v>111.8</x:v>
      </x:c>
      <x:c r="AF31" s="43" t="n">
        <x:f>Calc!J11*'Unit Map'!$I$16</x:f>
        <x:v>480000</x:v>
      </x:c>
      <x:c r="AG31" s="43" t="n">
        <x:f>Calc!K11*'Unit Map'!$I$17</x:f>
        <x:v>1951248076.2982817</x:v>
      </x:c>
      <x:c r="AH31" s="43" t="n">
        <x:f>350000000*'Unit Map'!$I$17</x:f>
        <x:v>350000000</x:v>
      </x:c>
      <x:c r="AI31" s="43" t="n">
        <x:f>U31</x:f>
        <x:v>0</x:v>
      </x:c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3" t="n">
        <x:f>SUM(Inputs!$E$6:E10)+Inputs!E11*0.25</x:f>
        <x:v>126.8</x:v>
      </x:c>
      <x:c r="Q32" s="43" t="n">
        <x:f>P32*'Unit Map'!$I$8</x:f>
        <x:v>126.8</x:v>
      </x:c>
      <x:c r="R32" s="43" t="str">
        <x:f>Inputs!D11</x:f>
        <x:v>HWDP transition</x:v>
      </x:c>
      <x:c r="S32" s="43" t="n">
        <x:f>0.25</x:f>
        <x:v>0.25</x:v>
      </x:c>
      <x:c r="T32" s="43" t="n">
        <x:f>IF(Inputs!$B$12="Lowside",-1,1)*(Calc!J11*Calc!B11^2/(8*(Inputs!$B$7*IF(Inputs!$C$7="GPa",1E9,IF(Inputs!$C$7="MPa",1E6,IF(Inputs!$C$7="Pa",1,IF(Inputs!$C$7="Mpsi",6894757293.168,IF(Inputs!$C$7="psi",6894.757293168,NA()))))))*Calc!F11))*Inputs!$B$13*SIN(PI()*S32)</x:f>
        <x:v>0.04288167354226738</x:v>
      </x:c>
      <x:c r="U32" s="43" t="n">
        <x:f>T32*'Unit Map'!$I$9</x:f>
        <x:v>0.04288167354226738</x:v>
      </x:c>
      <x:c r="V32" s="43" t="n">
        <x:f>Inputs!$B$11/2*'Unit Map'!$I$9</x:f>
        <x:v>0.108</x:v>
      </x:c>
      <x:c r="W32" s="43" t="n">
        <x:f>-Inputs!$B$11/2*'Unit Map'!$I$9</x:f>
        <x:v>-0.108</x:v>
      </x:c>
      <x:c r="X32" s="43" t="n">
        <x:f>(T32+Inputs!F11/2)*'Unit Map'!$I$9</x:f>
        <x:v>0.11288167354226739</x:v>
      </x:c>
      <x:c r="Y32" s="43" t="n">
        <x:f>(T32-Inputs!F11/2)*'Unit Map'!$I$9</x:f>
        <x:v>-0.027118326457732628</x:v>
      </x:c>
      <x:c r="Z32" s="43" t="n">
        <x:f>(T32+Inputs!G11/2)*'Unit Map'!$I$9</x:f>
        <x:v>0.08088167354226738</x:v>
      </x:c>
      <x:c r="AA32" s="43" t="n">
        <x:f>(T32-Inputs!G11/2)*'Unit Map'!$I$9</x:f>
        <x:v>0.00488167354226738</x:v>
      </x:c>
      <x:c r="AB32" s="43" t="n">
        <x:f>(Inputs!$B$11/2-ABS(T32)-Inputs!F11/2)*'Unit Map'!$I$9</x:f>
        <x:v>-0.004881673542267387</x:v>
      </x:c>
      <x:c r="AC32" s="43" t="n">
        <x:f>0</x:f>
        <x:v>0</x:v>
      </x:c>
      <x:c r="AD32" s="43" t="str">
        <x:f>IF(AB32&lt;0,"OVERLAP INDICATION","CLEARANCE")</x:f>
        <x:v>OVERLAP INDICATION</x:v>
      </x:c>
      <x:c r="AE32" s="43" t="n">
        <x:f>Q32</x:f>
        <x:v>126.8</x:v>
      </x:c>
      <x:c r="AF32" s="43" t="n">
        <x:f>Calc!J11*'Unit Map'!$I$16</x:f>
        <x:v>480000</x:v>
      </x:c>
      <x:c r="AG32" s="43" t="n">
        <x:f>Calc!K11*'Unit Map'!$I$17</x:f>
        <x:v>1951248076.2982817</x:v>
      </x:c>
      <x:c r="AH32" s="43" t="n">
        <x:f>350000000*'Unit Map'!$I$17</x:f>
        <x:v>350000000</x:v>
      </x:c>
      <x:c r="AI32" s="43" t="n">
        <x:f>U32</x:f>
        <x:v>0.04288167354226738</x:v>
      </x:c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3" t="n">
        <x:f>SUM(Inputs!$E$6:E10)+Inputs!E11*0.5</x:f>
        <x:v>141.8</x:v>
      </x:c>
      <x:c r="Q33" s="43" t="n">
        <x:f>P33*'Unit Map'!$I$8</x:f>
        <x:v>141.8</x:v>
      </x:c>
      <x:c r="R33" s="43" t="str">
        <x:f>Inputs!D11</x:f>
        <x:v>HWDP transition</x:v>
      </x:c>
      <x:c r="S33" s="43" t="n">
        <x:f>0.5</x:f>
        <x:v>0.5</x:v>
      </x:c>
      <x:c r="T33" s="43" t="n">
        <x:f>IF(Inputs!$B$12="Lowside",-1,1)*(Calc!J11*Calc!B11^2/(8*(Inputs!$B$7*IF(Inputs!$C$7="GPa",1E9,IF(Inputs!$C$7="MPa",1E6,IF(Inputs!$C$7="Pa",1,IF(Inputs!$C$7="Mpsi",6894757293.168,IF(Inputs!$C$7="psi",6894.757293168,NA()))))))*Calc!F11))*Inputs!$B$13*SIN(PI()*S33)</x:f>
        <x:v>0.060643844300730054</x:v>
      </x:c>
      <x:c r="U33" s="43" t="n">
        <x:f>T33*'Unit Map'!$I$9</x:f>
        <x:v>0.060643844300730054</x:v>
      </x:c>
      <x:c r="V33" s="43" t="n">
        <x:f>Inputs!$B$11/2*'Unit Map'!$I$9</x:f>
        <x:v>0.108</x:v>
      </x:c>
      <x:c r="W33" s="43" t="n">
        <x:f>-Inputs!$B$11/2*'Unit Map'!$I$9</x:f>
        <x:v>-0.108</x:v>
      </x:c>
      <x:c r="X33" s="43" t="n">
        <x:f>(T33+Inputs!F11/2)*'Unit Map'!$I$9</x:f>
        <x:v>0.13064384430073006</x:v>
      </x:c>
      <x:c r="Y33" s="43" t="n">
        <x:f>(T33-Inputs!F11/2)*'Unit Map'!$I$9</x:f>
        <x:v>-0.009356155699269952</x:v>
      </x:c>
      <x:c r="Z33" s="43" t="n">
        <x:f>(T33+Inputs!G11/2)*'Unit Map'!$I$9</x:f>
        <x:v>0.09864384430073006</x:v>
      </x:c>
      <x:c r="AA33" s="43" t="n">
        <x:f>(T33-Inputs!G11/2)*'Unit Map'!$I$9</x:f>
        <x:v>0.022643844300730055</x:v>
      </x:c>
      <x:c r="AB33" s="43" t="n">
        <x:f>(Inputs!$B$11/2-ABS(T33)-Inputs!F11/2)*'Unit Map'!$I$9</x:f>
        <x:v>-0.022643844300730062</x:v>
      </x:c>
      <x:c r="AC33" s="43" t="n">
        <x:f>0</x:f>
        <x:v>0</x:v>
      </x:c>
      <x:c r="AD33" s="43" t="str">
        <x:f>IF(AB33&lt;0,"OVERLAP INDICATION","CLEARANCE")</x:f>
        <x:v>OVERLAP INDICATION</x:v>
      </x:c>
      <x:c r="AE33" s="43" t="n">
        <x:f>Q33</x:f>
        <x:v>141.8</x:v>
      </x:c>
      <x:c r="AF33" s="43" t="n">
        <x:f>Calc!J11*'Unit Map'!$I$16</x:f>
        <x:v>480000</x:v>
      </x:c>
      <x:c r="AG33" s="43" t="n">
        <x:f>Calc!K11*'Unit Map'!$I$17</x:f>
        <x:v>1951248076.2982817</x:v>
      </x:c>
      <x:c r="AH33" s="43" t="n">
        <x:f>350000000*'Unit Map'!$I$17</x:f>
        <x:v>350000000</x:v>
      </x:c>
      <x:c r="AI33" s="43" t="n">
        <x:f>U33</x:f>
        <x:v>0.060643844300730054</x:v>
      </x:c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3" t="n">
        <x:f>SUM(Inputs!$E$6:E10)+Inputs!E11*0.75</x:f>
        <x:v>156.8</x:v>
      </x:c>
      <x:c r="Q34" s="43" t="n">
        <x:f>P34*'Unit Map'!$I$8</x:f>
        <x:v>156.8</x:v>
      </x:c>
      <x:c r="R34" s="43" t="str">
        <x:f>Inputs!D11</x:f>
        <x:v>HWDP transition</x:v>
      </x:c>
      <x:c r="S34" s="43" t="n">
        <x:f>0.75</x:f>
        <x:v>0.75</x:v>
      </x:c>
      <x:c r="T34" s="43" t="n">
        <x:f>IF(Inputs!$B$12="Lowside",-1,1)*(Calc!J11*Calc!B11^2/(8*(Inputs!$B$7*IF(Inputs!$C$7="GPa",1E9,IF(Inputs!$C$7="MPa",1E6,IF(Inputs!$C$7="Pa",1,IF(Inputs!$C$7="Mpsi",6894757293.168,IF(Inputs!$C$7="psi",6894.757293168,NA()))))))*Calc!F11))*Inputs!$B$13*SIN(PI()*S34)</x:f>
        <x:v>0.042881673542267386</x:v>
      </x:c>
      <x:c r="U34" s="43" t="n">
        <x:f>T34*'Unit Map'!$I$9</x:f>
        <x:v>0.042881673542267386</x:v>
      </x:c>
      <x:c r="V34" s="43" t="n">
        <x:f>Inputs!$B$11/2*'Unit Map'!$I$9</x:f>
        <x:v>0.108</x:v>
      </x:c>
      <x:c r="W34" s="43" t="n">
        <x:f>-Inputs!$B$11/2*'Unit Map'!$I$9</x:f>
        <x:v>-0.108</x:v>
      </x:c>
      <x:c r="X34" s="43" t="n">
        <x:f>(T34+Inputs!F11/2)*'Unit Map'!$I$9</x:f>
        <x:v>0.11288167354226739</x:v>
      </x:c>
      <x:c r="Y34" s="43" t="n">
        <x:f>(T34-Inputs!F11/2)*'Unit Map'!$I$9</x:f>
        <x:v>-0.02711832645773262</x:v>
      </x:c>
      <x:c r="Z34" s="43" t="n">
        <x:f>(T34+Inputs!G11/2)*'Unit Map'!$I$9</x:f>
        <x:v>0.08088167354226738</x:v>
      </x:c>
      <x:c r="AA34" s="43" t="n">
        <x:f>(T34-Inputs!G11/2)*'Unit Map'!$I$9</x:f>
        <x:v>0.004881673542267387</x:v>
      </x:c>
      <x:c r="AB34" s="43" t="n">
        <x:f>(Inputs!$B$11/2-ABS(T34)-Inputs!F11/2)*'Unit Map'!$I$9</x:f>
        <x:v>-0.004881673542267401</x:v>
      </x:c>
      <x:c r="AC34" s="43" t="n">
        <x:f>0</x:f>
        <x:v>0</x:v>
      </x:c>
      <x:c r="AD34" s="43" t="str">
        <x:f>IF(AB34&lt;0,"OVERLAP INDICATION","CLEARANCE")</x:f>
        <x:v>OVERLAP INDICATION</x:v>
      </x:c>
      <x:c r="AE34" s="43" t="n">
        <x:f>Q34</x:f>
        <x:v>156.8</x:v>
      </x:c>
      <x:c r="AF34" s="43" t="n">
        <x:f>Calc!J11*'Unit Map'!$I$16</x:f>
        <x:v>480000</x:v>
      </x:c>
      <x:c r="AG34" s="43" t="n">
        <x:f>Calc!K11*'Unit Map'!$I$17</x:f>
        <x:v>1951248076.2982817</x:v>
      </x:c>
      <x:c r="AH34" s="43" t="n">
        <x:f>350000000*'Unit Map'!$I$17</x:f>
        <x:v>350000000</x:v>
      </x:c>
      <x:c r="AI34" s="43" t="n">
        <x:f>U34</x:f>
        <x:v>0.042881673542267386</x:v>
      </x:c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3" t="n">
        <x:f>SUM(Inputs!$E$6:E10)+Inputs!E11*1</x:f>
        <x:v>171.8</x:v>
      </x:c>
      <x:c r="Q35" s="43" t="n">
        <x:f>P35*'Unit Map'!$I$8</x:f>
        <x:v>171.8</x:v>
      </x:c>
      <x:c r="R35" s="43" t="str">
        <x:f>Inputs!D11</x:f>
        <x:v>HWDP transition</x:v>
      </x:c>
      <x:c r="S35" s="43" t="n">
        <x:f>1</x:f>
        <x:v>1</x:v>
      </x:c>
      <x:c r="T35" s="43" t="n">
        <x:f>IF(Inputs!$B$12="Lowside",-1,1)*(Calc!J11*Calc!B11^2/(8*(Inputs!$B$7*IF(Inputs!$C$7="GPa",1E9,IF(Inputs!$C$7="MPa",1E6,IF(Inputs!$C$7="Pa",1,IF(Inputs!$C$7="Mpsi",6894757293.168,IF(Inputs!$C$7="psi",6894.757293168,NA()))))))*Calc!F11))*Inputs!$B$13*SIN(PI()*S35)</x:f>
        <x:v>7.426728981087952e-18</x:v>
      </x:c>
      <x:c r="U35" s="43" t="n">
        <x:f>T35*'Unit Map'!$I$9</x:f>
        <x:v>7.426728981087952e-18</x:v>
      </x:c>
      <x:c r="V35" s="43" t="n">
        <x:f>Inputs!$B$11/2*'Unit Map'!$I$9</x:f>
        <x:v>0.108</x:v>
      </x:c>
      <x:c r="W35" s="43" t="n">
        <x:f>-Inputs!$B$11/2*'Unit Map'!$I$9</x:f>
        <x:v>-0.108</x:v>
      </x:c>
      <x:c r="X35" s="43" t="n">
        <x:f>(T35+Inputs!F11/2)*'Unit Map'!$I$9</x:f>
        <x:v>0.07000000000000002</x:v>
      </x:c>
      <x:c r="Y35" s="43" t="n">
        <x:f>(T35-Inputs!F11/2)*'Unit Map'!$I$9</x:f>
        <x:v>-0.06999999999999999</x:v>
      </x:c>
      <x:c r="Z35" s="43" t="n">
        <x:f>(T35+Inputs!G11/2)*'Unit Map'!$I$9</x:f>
        <x:v>0.038000000000000006</x:v>
      </x:c>
      <x:c r="AA35" s="43" t="n">
        <x:f>(T35-Inputs!G11/2)*'Unit Map'!$I$9</x:f>
        <x:v>-0.03799999999999999</x:v>
      </x:c>
      <x:c r="AB35" s="43" t="n">
        <x:f>(Inputs!$B$11/2-ABS(T35)-Inputs!F11/2)*'Unit Map'!$I$9</x:f>
        <x:v>0.03799999999999998</x:v>
      </x:c>
      <x:c r="AC35" s="43" t="n">
        <x:f>0</x:f>
        <x:v>0</x:v>
      </x:c>
      <x:c r="AD35" s="43" t="str">
        <x:f>IF(AB35&lt;0,"OVERLAP INDICATION","CLEARANCE")</x:f>
        <x:v>CLEARANCE</x:v>
      </x:c>
      <x:c r="AE35" s="43" t="n">
        <x:f>Q35</x:f>
        <x:v>171.8</x:v>
      </x:c>
      <x:c r="AF35" s="43" t="n">
        <x:f>Calc!J11*'Unit Map'!$I$16</x:f>
        <x:v>480000</x:v>
      </x:c>
      <x:c r="AG35" s="43" t="n">
        <x:f>Calc!K11*'Unit Map'!$I$17</x:f>
        <x:v>1951248076.2982817</x:v>
      </x:c>
      <x:c r="AH35" s="43" t="n">
        <x:f>350000000*'Unit Map'!$I$17</x:f>
        <x:v>350000000</x:v>
      </x:c>
      <x:c r="AI35" s="43" t="n">
        <x:f>U35</x:f>
        <x:v>7.426728981087952e-18</x:v>
      </x:c>
    </x:row>
  </x:sheetData>
  <x:mergeCells>
    <x:mergeCell ref="A1:N1"/>
    <x:mergeCell ref="A3:N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2" hidden="0" customWidth="1"/>
  </x:cols>
  <x:sheetData>
    <x:row r="1" ht="26" customHeight="1">
      <x:c r="A1" s="39" t="str">
        <x:v>WellForge | Exchange Map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9" t="str">
        <x:v>Declarative JSON exchange destinations — documentation only; automation reads this protected table</x:v>
      </x:c>
      <x:c r="B3" s="49" t="str">
        <x:v>Declarative JSON exchange destinations — documentation only; automation reads this protected table</x:v>
      </x:c>
      <x:c r="C3" s="49" t="str">
        <x:v>Declarative JSON exchange destinations — documentation only; automation reads this protected table</x:v>
      </x:c>
      <x:c r="D3" s="49" t="str">
        <x:v>Declarative JSON exchange destinations — documentation only; automation reads this protected table</x:v>
      </x:c>
      <x:c r="E3" s="49" t="str">
        <x:v>Declarative JSON exchange destinations — documentation only; automation reads this protected table</x:v>
      </x:c>
      <x:c r="F3" s="49" t="str">
        <x:v>Declarative JSON exchange destinations — documentation only; automation reads this protected table</x:v>
      </x:c>
      <x:c r="G3" s="49" t="str">
        <x:v>Declarative JSON exchange destinations — documentation only; automation reads this protected table</x:v>
      </x:c>
      <x:c r="H3" s="49" t="str">
        <x:v>Declarative JSON exchange destinations — documentation only; automation reads this protected table</x:v>
      </x:c>
      <x:c r="I3" s="49" t="str">
        <x:v>Declarative JSON exchange destinations — documentation only; automation reads this protected table</x:v>
      </x:c>
      <x:c r="J3" s="49" t="str">
        <x:v>Declarative JSON exchange destinations — documentation only; automation reads this protected table</x:v>
      </x:c>
      <x:c r="K3" s="49" t="str">
        <x:v>Declarative JSON exchange destinations — documentation only; automation reads this protected table</x:v>
      </x:c>
      <x:c r="L3" s="49" t="str">
        <x:v>Declarative JSON exchange destinations — documentation only; automation reads this protected table</x:v>
      </x:c>
      <x:c r="M3" s="49" t="str">
        <x:v>Declarative JSON exchange destinations — documentation only; automation reads this protected table</x:v>
      </x:c>
      <x:c r="N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50" t="str">
        <x:v>JSON Pointer</x:v>
      </x:c>
      <x:c r="B5" s="50" t="str">
        <x:v>Direction</x:v>
      </x:c>
      <x:c r="C5" s="50" t="str">
        <x:v>Sheet</x:v>
      </x:c>
      <x:c r="D5" s="50" t="str">
        <x:v>Address</x:v>
      </x:c>
      <x:c r="E5" s="50" t="str">
        <x:v>Shape</x:v>
      </x:c>
      <x:c r="F5" s="50" t="str">
        <x:v>Value column</x:v>
      </x:c>
      <x:c r="G5" s="50" t="str">
        <x:v>Stable ID column</x:v>
      </x:c>
      <x:c r="H5" s="50" t="str">
        <x:v>Row capacity</x:v>
      </x:c>
      <x:c r="I5" s="50" t="str">
        <x:v>Unit source</x:v>
      </x:c>
      <x:c r="J5" s="50" t="str">
        <x:v>Dimension</x:v>
      </x:c>
      <x:c r="K5" s="50" t="str">
        <x:v>Data type</x:v>
      </x:c>
      <x:c r="L5" s="50" t="str">
        <x:v>Required</x:v>
      </x:c>
      <x:c r="M5" s="50" t="str">
        <x:v>Writable</x:v>
      </x:c>
      <x:c r="N5" s="40"/>
    </x:row>
    <x:row r="6">
      <x:c r="A6" s="48" t="str">
        <x:v>/operatingPoint/rotarySpeed</x:v>
      </x:c>
      <x:c r="B6" s="48" t="str">
        <x:v>Input</x:v>
      </x:c>
      <x:c r="C6" s="48" t="str">
        <x:v>Inputs</x:v>
      </x:c>
      <x:c r="D6" s="48" t="str">
        <x:v>B5</x:v>
      </x:c>
      <x:c r="E6" s="48" t="str">
        <x:v>Scalar</x:v>
      </x:c>
      <x:c r="F6" s="48" t="str"/>
      <x:c r="G6" s="48" t="str"/>
      <x:c r="H6" s="48" t="str"/>
      <x:c r="I6" s="48" t="str">
        <x:v>rpm</x:v>
      </x:c>
      <x:c r="J6" s="48" t="str">
        <x:v>rotationalSpeed</x:v>
      </x:c>
      <x:c r="K6" s="48" t="str">
        <x:v>number</x:v>
      </x:c>
      <x:c r="L6" s="51" t="b">
        <x:v>1</x:v>
      </x:c>
      <x:c r="M6" s="51" t="b">
        <x:v>1</x:v>
      </x:c>
      <x:c r="N6" s="40"/>
    </x:row>
    <x:row r="7">
      <x:c r="A7" s="48" t="str">
        <x:v>/operatingPoint/flowRate</x:v>
      </x:c>
      <x:c r="B7" s="48" t="str">
        <x:v>Input</x:v>
      </x:c>
      <x:c r="C7" s="48" t="str">
        <x:v>Inputs</x:v>
      </x:c>
      <x:c r="D7" s="48" t="str">
        <x:v>B6</x:v>
      </x:c>
      <x:c r="E7" s="48" t="str">
        <x:v>Scalar</x:v>
      </x:c>
      <x:c r="F7" s="48" t="str"/>
      <x:c r="G7" s="48" t="str"/>
      <x:c r="H7" s="48" t="str"/>
      <x:c r="I7" s="48" t="str">
        <x:v>m3/s</x:v>
      </x:c>
      <x:c r="J7" s="48" t="str">
        <x:v>flowRate</x:v>
      </x:c>
      <x:c r="K7" s="48" t="str">
        <x:v>number</x:v>
      </x:c>
      <x:c r="L7" s="51" t="b">
        <x:v>1</x:v>
      </x:c>
      <x:c r="M7" s="51" t="b">
        <x:v>1</x:v>
      </x:c>
      <x:c r="N7" s="40"/>
    </x:row>
    <x:row r="8">
      <x:c r="A8" s="48" t="str">
        <x:v>/analyses/bha/youngModulus</x:v>
      </x:c>
      <x:c r="B8" s="48" t="str">
        <x:v>Input</x:v>
      </x:c>
      <x:c r="C8" s="48" t="str">
        <x:v>Inputs</x:v>
      </x:c>
      <x:c r="D8" s="48" t="str">
        <x:v>B7</x:v>
      </x:c>
      <x:c r="E8" s="48" t="str">
        <x:v>Scalar</x:v>
      </x:c>
      <x:c r="F8" s="48" t="str"/>
      <x:c r="G8" s="48" t="str"/>
      <x:c r="H8" s="48" t="str"/>
      <x:c r="I8" s="48" t="str">
        <x:v>Inputs!C7</x:v>
      </x:c>
      <x:c r="J8" s="48" t="str">
        <x:v>pressure</x:v>
      </x:c>
      <x:c r="K8" s="48" t="str">
        <x:v>number</x:v>
      </x:c>
      <x:c r="L8" s="51" t="b">
        <x:v>1</x:v>
      </x:c>
      <x:c r="M8" s="51" t="b">
        <x:v>1</x:v>
      </x:c>
      <x:c r="N8" s="40"/>
    </x:row>
    <x:row r="9">
      <x:c r="A9" s="48" t="str">
        <x:v>/analyses/bha/materialDensity</x:v>
      </x:c>
      <x:c r="B9" s="48" t="str">
        <x:v>Input</x:v>
      </x:c>
      <x:c r="C9" s="48" t="str">
        <x:v>Inputs</x:v>
      </x:c>
      <x:c r="D9" s="48" t="str">
        <x:v>B8</x:v>
      </x:c>
      <x:c r="E9" s="48" t="str">
        <x:v>Scalar</x:v>
      </x:c>
      <x:c r="F9" s="48" t="str"/>
      <x:c r="G9" s="48" t="str"/>
      <x:c r="H9" s="48" t="str"/>
      <x:c r="I9" s="48" t="str">
        <x:v>kg/m3</x:v>
      </x:c>
      <x:c r="J9" s="48" t="str">
        <x:v>density</x:v>
      </x:c>
      <x:c r="K9" s="48" t="str">
        <x:v>number</x:v>
      </x:c>
      <x:c r="L9" s="51" t="b">
        <x:v>1</x:v>
      </x:c>
      <x:c r="M9" s="51" t="b">
        <x:v>1</x:v>
      </x:c>
      <x:c r="N9" s="40"/>
    </x:row>
    <x:row r="10">
      <x:c r="A10" s="48" t="str">
        <x:v>/analyses/bha/lowWob</x:v>
      </x:c>
      <x:c r="B10" s="48" t="str">
        <x:v>Input</x:v>
      </x:c>
      <x:c r="C10" s="48" t="str">
        <x:v>Inputs</x:v>
      </x:c>
      <x:c r="D10" s="48" t="str">
        <x:v>B9</x:v>
      </x:c>
      <x:c r="E10" s="48" t="str">
        <x:v>Scalar</x:v>
      </x:c>
      <x:c r="F10" s="48" t="str"/>
      <x:c r="G10" s="48" t="str"/>
      <x:c r="H10" s="48" t="str"/>
      <x:c r="I10" s="48" t="str">
        <x:v>N</x:v>
      </x:c>
      <x:c r="J10" s="48" t="str">
        <x:v>force</x:v>
      </x:c>
      <x:c r="K10" s="48" t="str">
        <x:v>number</x:v>
      </x:c>
      <x:c r="L10" s="51" t="b">
        <x:v>1</x:v>
      </x:c>
      <x:c r="M10" s="51" t="b">
        <x:v>1</x:v>
      </x:c>
      <x:c r="N10" s="40"/>
    </x:row>
    <x:row r="11">
      <x:c r="A11" s="48" t="str">
        <x:v>/operatingPoint/wob</x:v>
      </x:c>
      <x:c r="B11" s="48" t="str">
        <x:v>Input</x:v>
      </x:c>
      <x:c r="C11" s="48" t="str">
        <x:v>Inputs</x:v>
      </x:c>
      <x:c r="D11" s="48" t="str">
        <x:v>B10</x:v>
      </x:c>
      <x:c r="E11" s="48" t="str">
        <x:v>Scalar</x:v>
      </x:c>
      <x:c r="F11" s="48" t="str"/>
      <x:c r="G11" s="48" t="str"/>
      <x:c r="H11" s="48" t="str"/>
      <x:c r="I11" s="48" t="str">
        <x:v>N</x:v>
      </x:c>
      <x:c r="J11" s="48" t="str">
        <x:v>force</x:v>
      </x:c>
      <x:c r="K11" s="48" t="str">
        <x:v>number</x:v>
      </x:c>
      <x:c r="L11" s="51" t="b">
        <x:v>1</x:v>
      </x:c>
      <x:c r="M11" s="51" t="b">
        <x:v>1</x:v>
      </x:c>
      <x:c r="N11" s="40"/>
    </x:row>
    <x:row r="12">
      <x:c r="A12" s="48" t="str">
        <x:v>/bhaComponents/*/name</x:v>
      </x:c>
      <x:c r="B12" s="48" t="str">
        <x:v>Input</x:v>
      </x:c>
      <x:c r="C12" s="48" t="str">
        <x:v>Inputs</x:v>
      </x:c>
      <x:c r="D12" s="48" t="str">
        <x:v>D6:D11</x:v>
      </x:c>
      <x:c r="E12" s="48" t="str">
        <x:v>Table</x:v>
      </x:c>
      <x:c r="F12" s="48" t="str">
        <x:v>D</x:v>
      </x:c>
      <x:c r="G12" s="48" t="str">
        <x:v>I</x:v>
      </x:c>
      <x:c r="H12" s="48" t="n">
        <x:v>6</x:v>
      </x:c>
      <x:c r="I12" s="48" t="str">
        <x:v>text</x:v>
      </x:c>
      <x:c r="J12" s="48" t="str">
        <x:v>text</x:v>
      </x:c>
      <x:c r="K12" s="48" t="str">
        <x:v>string</x:v>
      </x:c>
      <x:c r="L12" s="51" t="b">
        <x:v>1</x:v>
      </x:c>
      <x:c r="M12" s="51" t="b">
        <x:v>1</x:v>
      </x:c>
      <x:c r="N12" s="40"/>
    </x:row>
    <x:row r="13">
      <x:c r="A13" s="48" t="str">
        <x:v>/bhaComponents/*/length</x:v>
      </x:c>
      <x:c r="B13" s="48" t="str">
        <x:v>Input</x:v>
      </x:c>
      <x:c r="C13" s="48" t="str">
        <x:v>Inputs</x:v>
      </x:c>
      <x:c r="D13" s="48" t="str">
        <x:v>E6:E11</x:v>
      </x:c>
      <x:c r="E13" s="48" t="str">
        <x:v>Table</x:v>
      </x:c>
      <x:c r="F13" s="48" t="str">
        <x:v>E</x:v>
      </x:c>
      <x:c r="G13" s="48" t="str">
        <x:v>I</x:v>
      </x:c>
      <x:c r="H13" s="48" t="n">
        <x:v>6</x:v>
      </x:c>
      <x:c r="I13" s="48" t="str">
        <x:v>m</x:v>
      </x:c>
      <x:c r="J13" s="48" t="str">
        <x:v>length</x:v>
      </x:c>
      <x:c r="K13" s="48" t="str">
        <x:v>number</x:v>
      </x:c>
      <x:c r="L13" s="51" t="b">
        <x:v>1</x:v>
      </x:c>
      <x:c r="M13" s="51" t="b">
        <x:v>1</x:v>
      </x:c>
      <x:c r="N13" s="40"/>
    </x:row>
    <x:row r="14">
      <x:c r="A14" s="48" t="str">
        <x:v>/bhaComponents/*/outerDiameter</x:v>
      </x:c>
      <x:c r="B14" s="48" t="str">
        <x:v>Input</x:v>
      </x:c>
      <x:c r="C14" s="48" t="str">
        <x:v>Inputs</x:v>
      </x:c>
      <x:c r="D14" s="48" t="str">
        <x:v>F6:F11</x:v>
      </x:c>
      <x:c r="E14" s="48" t="str">
        <x:v>Table</x:v>
      </x:c>
      <x:c r="F14" s="48" t="str">
        <x:v>F</x:v>
      </x:c>
      <x:c r="G14" s="48" t="str">
        <x:v>I</x:v>
      </x:c>
      <x:c r="H14" s="48" t="n">
        <x:v>6</x:v>
      </x:c>
      <x:c r="I14" s="48" t="str">
        <x:v>m</x:v>
      </x:c>
      <x:c r="J14" s="48" t="str">
        <x:v>diameter</x:v>
      </x:c>
      <x:c r="K14" s="48" t="str">
        <x:v>number</x:v>
      </x:c>
      <x:c r="L14" s="51" t="b">
        <x:v>1</x:v>
      </x:c>
      <x:c r="M14" s="51" t="b">
        <x:v>1</x:v>
      </x:c>
      <x:c r="N14" s="40"/>
    </x:row>
    <x:row r="15">
      <x:c r="A15" s="48" t="str">
        <x:v>/bhaComponents/*/innerDiameter</x:v>
      </x:c>
      <x:c r="B15" s="48" t="str">
        <x:v>Input</x:v>
      </x:c>
      <x:c r="C15" s="48" t="str">
        <x:v>Inputs</x:v>
      </x:c>
      <x:c r="D15" s="48" t="str">
        <x:v>G6:G11</x:v>
      </x:c>
      <x:c r="E15" s="48" t="str">
        <x:v>Table</x:v>
      </x:c>
      <x:c r="F15" s="48" t="str">
        <x:v>G</x:v>
      </x:c>
      <x:c r="G15" s="48" t="str">
        <x:v>I</x:v>
      </x:c>
      <x:c r="H15" s="48" t="n">
        <x:v>6</x:v>
      </x:c>
      <x:c r="I15" s="48" t="str">
        <x:v>m</x:v>
      </x:c>
      <x:c r="J15" s="48" t="str">
        <x:v>diameter</x:v>
      </x:c>
      <x:c r="K15" s="48" t="str">
        <x:v>number</x:v>
      </x:c>
      <x:c r="L15" s="51" t="b">
        <x:v>1</x:v>
      </x:c>
      <x:c r="M15" s="51" t="b">
        <x:v>1</x:v>
      </x:c>
      <x:c r="N15" s="40"/>
    </x:row>
    <x:row r="16">
      <x:c r="A16" s="48" t="str">
        <x:v>/bhaComponents/*/supportFactor</x:v>
      </x:c>
      <x:c r="B16" s="48" t="str">
        <x:v>Input</x:v>
      </x:c>
      <x:c r="C16" s="48" t="str">
        <x:v>Inputs</x:v>
      </x:c>
      <x:c r="D16" s="48" t="str">
        <x:v>H6:H11</x:v>
      </x:c>
      <x:c r="E16" s="48" t="str">
        <x:v>Table</x:v>
      </x:c>
      <x:c r="F16" s="48" t="str">
        <x:v>H</x:v>
      </x:c>
      <x:c r="G16" s="48" t="str">
        <x:v>I</x:v>
      </x:c>
      <x:c r="H16" s="48" t="n">
        <x:v>6</x:v>
      </x:c>
      <x:c r="I16" s="48" t="str">
        <x:v>1</x:v>
      </x:c>
      <x:c r="J16" s="48" t="str">
        <x:v>unitless</x:v>
      </x:c>
      <x:c r="K16" s="48" t="str">
        <x:v>number</x:v>
      </x:c>
      <x:c r="L16" s="51" t="b">
        <x:v>1</x:v>
      </x:c>
      <x:c r="M16" s="51" t="b">
        <x:v>1</x:v>
      </x:c>
      <x:c r="N16" s="40"/>
    </x:row>
    <x:row r="17">
      <x:c r="A17" s="48" t="str">
        <x:v>/analyses/bha/results/*/component</x:v>
      </x:c>
      <x:c r="B17" s="48" t="str">
        <x:v>Output</x:v>
      </x:c>
      <x:c r="C17" s="48" t="str">
        <x:v>Results</x:v>
      </x:c>
      <x:c r="D17" s="48" t="str">
        <x:v>A6:A11</x:v>
      </x:c>
      <x:c r="E17" s="48" t="str">
        <x:v>Table</x:v>
      </x:c>
      <x:c r="F17" s="48" t="str">
        <x:v>A</x:v>
      </x:c>
      <x:c r="G17" s="48" t="str">
        <x:v>F</x:v>
      </x:c>
      <x:c r="H17" s="48" t="n">
        <x:v>6</x:v>
      </x:c>
      <x:c r="I17" s="48" t="str">
        <x:v>text</x:v>
      </x:c>
      <x:c r="J17" s="48" t="str">
        <x:v>text</x:v>
      </x:c>
      <x:c r="K17" s="48" t="str">
        <x:v>string</x:v>
      </x:c>
      <x:c r="L17" s="51" t="b">
        <x:v>0</x:v>
      </x:c>
      <x:c r="M17" s="51" t="b">
        <x:v>0</x:v>
      </x:c>
      <x:c r="N17" s="40"/>
    </x:row>
    <x:row r="18">
      <x:c r="A18" s="48" t="str">
        <x:v>/analyses/bha/results/*/firstModeFrequency</x:v>
      </x:c>
      <x:c r="B18" s="48" t="str">
        <x:v>Output</x:v>
      </x:c>
      <x:c r="C18" s="48" t="str">
        <x:v>Results</x:v>
      </x:c>
      <x:c r="D18" s="48" t="str">
        <x:v>B6:B11</x:v>
      </x:c>
      <x:c r="E18" s="48" t="str">
        <x:v>Table</x:v>
      </x:c>
      <x:c r="F18" s="48" t="str">
        <x:v>B</x:v>
      </x:c>
      <x:c r="G18" s="48" t="str">
        <x:v>F</x:v>
      </x:c>
      <x:c r="H18" s="48" t="n">
        <x:v>6</x:v>
      </x:c>
      <x:c r="I18" s="48" t="str">
        <x:v>Hz</x:v>
      </x:c>
      <x:c r="J18" s="48" t="str">
        <x:v>frequency</x:v>
      </x:c>
      <x:c r="K18" s="48" t="str">
        <x:v>number</x:v>
      </x:c>
      <x:c r="L18" s="51" t="b">
        <x:v>0</x:v>
      </x:c>
      <x:c r="M18" s="51" t="b">
        <x:v>0</x:v>
      </x:c>
      <x:c r="N18" s="40"/>
    </x:row>
    <x:row r="19">
      <x:c r="A19" s="48" t="str">
        <x:v>/analyses/bha/results/*/bendingStress</x:v>
      </x:c>
      <x:c r="B19" s="48" t="str">
        <x:v>Output</x:v>
      </x:c>
      <x:c r="C19" s="48" t="str">
        <x:v>Results</x:v>
      </x:c>
      <x:c r="D19" s="48" t="str">
        <x:v>C6:C11</x:v>
      </x:c>
      <x:c r="E19" s="48" t="str">
        <x:v>Table</x:v>
      </x:c>
      <x:c r="F19" s="48" t="str">
        <x:v>C</x:v>
      </x:c>
      <x:c r="G19" s="48" t="str">
        <x:v>F</x:v>
      </x:c>
      <x:c r="H19" s="48" t="n">
        <x:v>6</x:v>
      </x:c>
      <x:c r="I19" s="48" t="str">
        <x:v>Results!C4</x:v>
      </x:c>
      <x:c r="J19" s="48" t="str">
        <x:v>stress</x:v>
      </x:c>
      <x:c r="K19" s="48" t="str">
        <x:v>number</x:v>
      </x:c>
      <x:c r="L19" s="51" t="b">
        <x:v>0</x:v>
      </x:c>
      <x:c r="M19" s="51" t="b">
        <x:v>0</x:v>
      </x:c>
      <x:c r="N19" s="40"/>
    </x:row>
    <x:row r="20">
      <x:c r="A20" s="48" t="str">
        <x:v>/analyses/bha/results/*/wobCase1Tendency</x:v>
      </x:c>
      <x:c r="B20" s="48" t="str">
        <x:v>Output</x:v>
      </x:c>
      <x:c r="C20" s="48" t="str">
        <x:v>Results</x:v>
      </x:c>
      <x:c r="D20" s="48" t="str">
        <x:v>D6:D11</x:v>
      </x:c>
      <x:c r="E20" s="48" t="str">
        <x:v>Table</x:v>
      </x:c>
      <x:c r="F20" s="48" t="str">
        <x:v>D</x:v>
      </x:c>
      <x:c r="G20" s="48" t="str">
        <x:v>F</x:v>
      </x:c>
      <x:c r="H20" s="48" t="n">
        <x:v>6</x:v>
      </x:c>
      <x:c r="I20" s="48" t="str">
        <x:v>1</x:v>
      </x:c>
      <x:c r="J20" s="48" t="str">
        <x:v>unitless</x:v>
      </x:c>
      <x:c r="K20" s="48" t="str">
        <x:v>number</x:v>
      </x:c>
      <x:c r="L20" s="51" t="b">
        <x:v>0</x:v>
      </x:c>
      <x:c r="M20" s="51" t="b">
        <x:v>0</x:v>
      </x:c>
      <x:c r="N20" s="40"/>
    </x:row>
    <x:row r="21">
      <x:c r="A21" s="48" t="str">
        <x:v>/analyses/bha/results/*/wobCase2Tendency</x:v>
      </x:c>
      <x:c r="B21" s="48" t="str">
        <x:v>Output</x:v>
      </x:c>
      <x:c r="C21" s="48" t="str">
        <x:v>Results</x:v>
      </x:c>
      <x:c r="D21" s="48" t="str">
        <x:v>E6:E11</x:v>
      </x:c>
      <x:c r="E21" s="48" t="str">
        <x:v>Table</x:v>
      </x:c>
      <x:c r="F21" s="48" t="str">
        <x:v>E</x:v>
      </x:c>
      <x:c r="G21" s="48" t="str">
        <x:v>F</x:v>
      </x:c>
      <x:c r="H21" s="48" t="n">
        <x:v>6</x:v>
      </x:c>
      <x:c r="I21" s="48" t="str">
        <x:v>1</x:v>
      </x:c>
      <x:c r="J21" s="48" t="str">
        <x:v>unitless</x:v>
      </x:c>
      <x:c r="K21" s="48" t="str">
        <x:v>number</x:v>
      </x:c>
      <x:c r="L21" s="51" t="b">
        <x:v>0</x:v>
      </x:c>
      <x:c r="M21" s="51" t="b">
        <x:v>0</x:v>
      </x:c>
      <x:c r="N21" s="40"/>
    </x:row>
    <x:row r="22">
      <x:c r="A22" s="48" t="str">
        <x:v>/analyses/bha/toolfaceResponse/*/toolface</x:v>
      </x:c>
      <x:c r="B22" s="48" t="str">
        <x:v>Output</x:v>
      </x:c>
      <x:c r="C22" s="48" t="str">
        <x:v>Results</x:v>
      </x:c>
      <x:c r="D22" s="48" t="str">
        <x:v>G6:G17</x:v>
      </x:c>
      <x:c r="E22" s="48" t="str">
        <x:v>Table</x:v>
      </x:c>
      <x:c r="F22" s="48" t="str">
        <x:v>G</x:v>
      </x:c>
      <x:c r="G22" s="48" t="str">
        <x:v>N</x:v>
      </x:c>
      <x:c r="H22" s="48" t="n">
        <x:v>12</x:v>
      </x:c>
      <x:c r="I22" s="48" t="str">
        <x:v>Unit Map!H18</x:v>
      </x:c>
      <x:c r="J22" s="48" t="str">
        <x:v>angle</x:v>
      </x:c>
      <x:c r="K22" s="48" t="str">
        <x:v>number</x:v>
      </x:c>
      <x:c r="L22" s="51" t="b">
        <x:v>0</x:v>
      </x:c>
      <x:c r="M22" s="51" t="b">
        <x:v>0</x:v>
      </x:c>
      <x:c r="N22" s="40"/>
    </x:row>
    <x:row r="23">
      <x:c r="A23" s="48" t="str">
        <x:v>/analyses/bha/toolfaceResponse/*/wobCase1Magnitude</x:v>
      </x:c>
      <x:c r="B23" s="48" t="str">
        <x:v>Output</x:v>
      </x:c>
      <x:c r="C23" s="48" t="str">
        <x:v>Results</x:v>
      </x:c>
      <x:c r="D23" s="48" t="str">
        <x:v>H6:H17</x:v>
      </x:c>
      <x:c r="E23" s="48" t="str">
        <x:v>Table</x:v>
      </x:c>
      <x:c r="F23" s="48" t="str">
        <x:v>H</x:v>
      </x:c>
      <x:c r="G23" s="48" t="str">
        <x:v>N</x:v>
      </x:c>
      <x:c r="H23" s="48" t="n">
        <x:v>12</x:v>
      </x:c>
      <x:c r="I23" s="48" t="str">
        <x:v>1</x:v>
      </x:c>
      <x:c r="J23" s="48" t="str">
        <x:v>unitless</x:v>
      </x:c>
      <x:c r="K23" s="48" t="str">
        <x:v>number</x:v>
      </x:c>
      <x:c r="L23" s="51" t="b">
        <x:v>0</x:v>
      </x:c>
      <x:c r="M23" s="51" t="b">
        <x:v>0</x:v>
      </x:c>
      <x:c r="N23" s="40"/>
    </x:row>
    <x:row r="24">
      <x:c r="A24" s="48" t="str">
        <x:v>/analyses/bha/toolfaceResponse/*/wobCase1X</x:v>
      </x:c>
      <x:c r="B24" s="48" t="str">
        <x:v>Output</x:v>
      </x:c>
      <x:c r="C24" s="48" t="str">
        <x:v>Results</x:v>
      </x:c>
      <x:c r="D24" s="48" t="str">
        <x:v>I6:I17</x:v>
      </x:c>
      <x:c r="E24" s="48" t="str">
        <x:v>Table</x:v>
      </x:c>
      <x:c r="F24" s="48" t="str">
        <x:v>I</x:v>
      </x:c>
      <x:c r="G24" s="48" t="str">
        <x:v>N</x:v>
      </x:c>
      <x:c r="H24" s="48" t="n">
        <x:v>12</x:v>
      </x:c>
      <x:c r="I24" s="48" t="str">
        <x:v>1</x:v>
      </x:c>
      <x:c r="J24" s="48" t="str">
        <x:v>unitless</x:v>
      </x:c>
      <x:c r="K24" s="48" t="str">
        <x:v>number</x:v>
      </x:c>
      <x:c r="L24" s="51" t="b">
        <x:v>0</x:v>
      </x:c>
      <x:c r="M24" s="51" t="b">
        <x:v>0</x:v>
      </x:c>
      <x:c r="N24" s="40"/>
    </x:row>
    <x:row r="25">
      <x:c r="A25" s="48" t="str">
        <x:v>/analyses/bha/toolfaceResponse/*/wobCase1Y</x:v>
      </x:c>
      <x:c r="B25" s="48" t="str">
        <x:v>Output</x:v>
      </x:c>
      <x:c r="C25" s="48" t="str">
        <x:v>Results</x:v>
      </x:c>
      <x:c r="D25" s="48" t="str">
        <x:v>J6:J17</x:v>
      </x:c>
      <x:c r="E25" s="48" t="str">
        <x:v>Table</x:v>
      </x:c>
      <x:c r="F25" s="48" t="str">
        <x:v>J</x:v>
      </x:c>
      <x:c r="G25" s="48" t="str">
        <x:v>N</x:v>
      </x:c>
      <x:c r="H25" s="48" t="n">
        <x:v>12</x:v>
      </x:c>
      <x:c r="I25" s="48" t="str">
        <x:v>1</x:v>
      </x:c>
      <x:c r="J25" s="48" t="str">
        <x:v>unitless</x:v>
      </x:c>
      <x:c r="K25" s="48" t="str">
        <x:v>number</x:v>
      </x:c>
      <x:c r="L25" s="51" t="b">
        <x:v>0</x:v>
      </x:c>
      <x:c r="M25" s="51" t="b">
        <x:v>0</x:v>
      </x:c>
      <x:c r="N25" s="40"/>
    </x:row>
    <x:row r="26">
      <x:c r="A26" s="48" t="str">
        <x:v>/analyses/bha/toolfaceResponse/*/wobCase2Magnitude</x:v>
      </x:c>
      <x:c r="B26" s="48" t="str">
        <x:v>Output</x:v>
      </x:c>
      <x:c r="C26" s="48" t="str">
        <x:v>Results</x:v>
      </x:c>
      <x:c r="D26" s="48" t="str">
        <x:v>K6:K17</x:v>
      </x:c>
      <x:c r="E26" s="48" t="str">
        <x:v>Table</x:v>
      </x:c>
      <x:c r="F26" s="48" t="str">
        <x:v>K</x:v>
      </x:c>
      <x:c r="G26" s="48" t="str">
        <x:v>N</x:v>
      </x:c>
      <x:c r="H26" s="48" t="n">
        <x:v>12</x:v>
      </x:c>
      <x:c r="I26" s="48" t="str">
        <x:v>1</x:v>
      </x:c>
      <x:c r="J26" s="48" t="str">
        <x:v>unitless</x:v>
      </x:c>
      <x:c r="K26" s="48" t="str">
        <x:v>number</x:v>
      </x:c>
      <x:c r="L26" s="51" t="b">
        <x:v>0</x:v>
      </x:c>
      <x:c r="M26" s="51" t="b">
        <x:v>0</x:v>
      </x:c>
      <x:c r="N26" s="40"/>
    </x:row>
    <x:row r="27">
      <x:c r="A27" s="48" t="str">
        <x:v>/analyses/bha/toolfaceResponse/*/wobCase2X</x:v>
      </x:c>
      <x:c r="B27" s="48" t="str">
        <x:v>Output</x:v>
      </x:c>
      <x:c r="C27" s="48" t="str">
        <x:v>Results</x:v>
      </x:c>
      <x:c r="D27" s="48" t="str">
        <x:v>L6:L17</x:v>
      </x:c>
      <x:c r="E27" s="48" t="str">
        <x:v>Table</x:v>
      </x:c>
      <x:c r="F27" s="48" t="str">
        <x:v>L</x:v>
      </x:c>
      <x:c r="G27" s="48" t="str">
        <x:v>N</x:v>
      </x:c>
      <x:c r="H27" s="48" t="n">
        <x:v>12</x:v>
      </x:c>
      <x:c r="I27" s="48" t="str">
        <x:v>1</x:v>
      </x:c>
      <x:c r="J27" s="48" t="str">
        <x:v>unitless</x:v>
      </x:c>
      <x:c r="K27" s="48" t="str">
        <x:v>number</x:v>
      </x:c>
      <x:c r="L27" s="51" t="b">
        <x:v>0</x:v>
      </x:c>
      <x:c r="M27" s="51" t="b">
        <x:v>0</x:v>
      </x:c>
      <x:c r="N27" s="40"/>
    </x:row>
    <x:row r="28">
      <x:c r="A28" s="48" t="str">
        <x:v>/analyses/bha/toolfaceResponse/*/wobCase2Y</x:v>
      </x:c>
      <x:c r="B28" s="48" t="str">
        <x:v>Output</x:v>
      </x:c>
      <x:c r="C28" s="48" t="str">
        <x:v>Results</x:v>
      </x:c>
      <x:c r="D28" s="48" t="str">
        <x:v>M6:M17</x:v>
      </x:c>
      <x:c r="E28" s="48" t="str">
        <x:v>Table</x:v>
      </x:c>
      <x:c r="F28" s="48" t="str">
        <x:v>M</x:v>
      </x:c>
      <x:c r="G28" s="48" t="str">
        <x:v>N</x:v>
      </x:c>
      <x:c r="H28" s="48" t="n">
        <x:v>12</x:v>
      </x:c>
      <x:c r="I28" s="48" t="str">
        <x:v>1</x:v>
      </x:c>
      <x:c r="J28" s="48" t="str">
        <x:v>unitless</x:v>
      </x:c>
      <x:c r="K28" s="48" t="str">
        <x:v>number</x:v>
      </x:c>
      <x:c r="L28" s="51" t="b">
        <x:v>0</x:v>
      </x:c>
      <x:c r="M28" s="51" t="b">
        <x:v>0</x:v>
      </x:c>
      <x:c r="N28" s="40"/>
    </x:row>
    <x:row r="29">
      <x:c r="A29" s="48" t="str">
        <x:v>/analyses/bha/summary/lowestFirstModeFrequency</x:v>
      </x:c>
      <x:c r="B29" s="48" t="str">
        <x:v>Output</x:v>
      </x:c>
      <x:c r="C29" s="48" t="str">
        <x:v>Summary</x:v>
      </x:c>
      <x:c r="D29" s="48" t="str">
        <x:v>B6</x:v>
      </x:c>
      <x:c r="E29" s="48" t="str">
        <x:v>Scalar</x:v>
      </x:c>
      <x:c r="F29" s="48" t="str"/>
      <x:c r="G29" s="48" t="str"/>
      <x:c r="H29" s="48" t="str"/>
      <x:c r="I29" s="48" t="str">
        <x:v>Hz</x:v>
      </x:c>
      <x:c r="J29" s="48" t="str">
        <x:v>frequency</x:v>
      </x:c>
      <x:c r="K29" s="48" t="str">
        <x:v>number</x:v>
      </x:c>
      <x:c r="L29" s="51" t="b">
        <x:v>0</x:v>
      </x:c>
      <x:c r="M29" s="51" t="b">
        <x:v>0</x:v>
      </x:c>
      <x:c r="N29" s="40"/>
    </x:row>
    <x:row r="30">
      <x:c r="A30" s="48" t="str">
        <x:v>/analyses/bha/summary/peakBendingStress</x:v>
      </x:c>
      <x:c r="B30" s="48" t="str">
        <x:v>Output</x:v>
      </x:c>
      <x:c r="C30" s="48" t="str">
        <x:v>Summary</x:v>
      </x:c>
      <x:c r="D30" s="48" t="str">
        <x:v>B7</x:v>
      </x:c>
      <x:c r="E30" s="48" t="str">
        <x:v>Scalar</x:v>
      </x:c>
      <x:c r="F30" s="48" t="str"/>
      <x:c r="G30" s="48" t="str"/>
      <x:c r="H30" s="48" t="str"/>
      <x:c r="I30" s="48" t="str">
        <x:v>Unit Map!H17</x:v>
      </x:c>
      <x:c r="J30" s="48" t="str">
        <x:v>stress</x:v>
      </x:c>
      <x:c r="K30" s="48" t="str">
        <x:v>number</x:v>
      </x:c>
      <x:c r="L30" s="51" t="b">
        <x:v>0</x:v>
      </x:c>
      <x:c r="M30" s="51" t="b">
        <x:v>0</x:v>
      </x:c>
      <x:c r="N30" s="40"/>
    </x:row>
    <x:row r="31">
      <x:c r="A31" s="48" t="str">
        <x:v>/analyses/bha/summary/vibrationScreening</x:v>
      </x:c>
      <x:c r="B31" s="48" t="str">
        <x:v>Output</x:v>
      </x:c>
      <x:c r="C31" s="48" t="str">
        <x:v>Summary</x:v>
      </x:c>
      <x:c r="D31" s="48" t="str">
        <x:v>B8</x:v>
      </x:c>
      <x:c r="E31" s="48" t="str">
        <x:v>Scalar</x:v>
      </x:c>
      <x:c r="F31" s="48" t="str"/>
      <x:c r="G31" s="48" t="str"/>
      <x:c r="H31" s="48" t="str"/>
      <x:c r="I31" s="48" t="str">
        <x:v>text</x:v>
      </x:c>
      <x:c r="J31" s="48" t="str">
        <x:v>status</x:v>
      </x:c>
      <x:c r="K31" s="48" t="str">
        <x:v>status</x:v>
      </x:c>
      <x:c r="L31" s="51" t="b">
        <x:v>0</x:v>
      </x:c>
      <x:c r="M31" s="51" t="b">
        <x:v>0</x:v>
      </x:c>
      <x:c r="N31" s="40"/>
    </x:row>
  </x:sheetData>
  <x:sheetProtection sheet="1" objects="1" scenarios="1"/>
  <x:protectedRanges>
    <x:protectedRange name="ExchangeMapDocumentation" sqref="A3:M3"/>
  </x:protectedRanges>
  <x:mergeCells>
    <x:mergeCell ref="A1:N1"/>
    <x:mergeCell ref="A3:M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Exchange State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 t="str">
        <x:v>Round-trip unit preservation state — managed by WellForge exchange automation</x:v>
      </x:c>
      <x:c r="B3" s="41" t="str">
        <x:v>Round-trip unit preservation state — managed by WellForge exchange automation</x:v>
      </x:c>
      <x:c r="C3" s="41" t="str">
        <x:v>Round-trip unit preservation state — managed by WellForge exchange automation</x:v>
      </x:c>
      <x:c r="D3" s="41" t="str">
        <x:v>Round-trip unit preservation state — managed by WellForge exchange automation</x:v>
      </x:c>
      <x:c r="E3" s="41" t="str">
        <x:v>Round-trip unit preservation state — managed by WellForge exchange automation</x:v>
      </x:c>
      <x:c r="F3" s="41" t="str">
        <x:v>Round-trip unit preservation state — managed by WellForge exchange automation</x:v>
      </x:c>
      <x:c r="G3" s="40"/>
      <x:c r="H3" s="40"/>
      <x:c r="I3" s="40"/>
      <x:c r="J3" s="40"/>
      <x:c r="K3" s="40"/>
      <x:c r="L3" s="40"/>
      <x:c r="M3" s="40"/>
      <x:c r="N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50" t="str">
        <x:v>Pointer</x:v>
      </x:c>
      <x:c r="B5" s="50" t="str">
        <x:v>Original value</x:v>
      </x:c>
      <x:c r="C5" s="50" t="str">
        <x:v>Original unit</x:v>
      </x:c>
      <x:c r="D5" s="50" t="str">
        <x:v>Canonical value</x:v>
      </x:c>
      <x:c r="E5" s="50" t="str">
        <x:v>Destination</x:v>
      </x:c>
      <x:c r="F5" s="50" t="str">
        <x:v>Imported at</x:v>
      </x:c>
      <x:c r="G5" s="40"/>
      <x:c r="H5" s="40"/>
      <x:c r="I5" s="40"/>
      <x:c r="J5" s="40"/>
      <x:c r="K5" s="40"/>
      <x:c r="L5" s="40"/>
      <x:c r="M5" s="40"/>
      <x:c r="N5" s="40"/>
    </x:row>
  </x:sheetData>
  <x:sheetProtection sheet="1" objects="1" scenarios="1"/>
  <x:mergeCells>
    <x:mergeCell ref="A1:N1"/>
    <x:mergeCell ref="A3:F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WellForge | Exchange Buffer | Formula-driven planning and review workbook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>
      <x:c r="A3" s="41" t="str">
        <x:v>Office Script and desktop JSON exchange buffer</x:v>
      </x:c>
      <x:c r="B3" s="41" t="str">
        <x:v>Office Script and desktop JSON exchange buffer</x:v>
      </x:c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 ht="96" customHeight="1">
      <x:c r="A5" s="50" t="str">
        <x:v>Payload</x:v>
      </x:c>
      <x:c r="B5" s="52" t="str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</x:row>
    <x:row r="6">
      <x:c r="A6" s="50" t="str">
        <x:v>Action</x:v>
      </x:c>
      <x:c r="B6" s="53" t="str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>
      <x:c r="A7" s="50" t="str">
        <x:v>Status</x:v>
      </x:c>
      <x:c r="B7" s="54" t="str">
        <x:v>Ready</x:v>
      </x:c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>
      <x:c r="A8" s="50" t="str">
        <x:v>Diagnostics</x:v>
      </x:c>
      <x:c r="B8" s="55" t="str"/>
      <x:c r="C8" s="40"/>
      <x:c r="D8" s="40"/>
      <x:c r="E8" s="40"/>
      <x:c r="F8" s="40"/>
      <x:c r="G8" s="40"/>
      <x:c r="H8" s="40"/>
      <x:c r="I8" s="40"/>
      <x:c r="J8" s="40"/>
      <x:c r="K8" s="40"/>
      <x:c r="L8" s="40"/>
      <x:c r="M8" s="40"/>
      <x:c r="N8" s="40"/>
    </x:row>
  </x:sheetData>
  <x:mergeCells>
    <x:mergeCell ref="A1:N1"/>
    <x:mergeCell ref="A3:B3"/>
  </x:mergeCells>
  <x:pageMargins left="0.7" right="0.7" top="0.75" bottom="0.75" header="0.3" footer="0.3"/>
</x:worksheet>
</file>