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Id5"/>
    <x:sheet xmlns:r="http://schemas.openxmlformats.org/officeDocument/2006/relationships" name="Inputs" sheetId="2" r:id="rId16"/>
    <x:sheet xmlns:r="http://schemas.openxmlformats.org/officeDocument/2006/relationships" name="Survey" sheetId="3" r:id="rId18"/>
    <x:sheet xmlns:r="http://schemas.openxmlformats.org/officeDocument/2006/relationships" name="Results" sheetId="4" r:id="rId19"/>
    <x:sheet xmlns:r="http://schemas.openxmlformats.org/officeDocument/2006/relationships" name="Graphs" sheetId="5" r:id="rId20"/>
    <x:sheet xmlns:r="http://schemas.openxmlformats.org/officeDocument/2006/relationships" name="Fluid Model" sheetId="6" r:id="rId21"/>
    <x:sheet xmlns:r="http://schemas.openxmlformats.org/officeDocument/2006/relationships" name="Flow Path" sheetId="7" r:id="rId22"/>
    <x:sheet xmlns:r="http://schemas.openxmlformats.org/officeDocument/2006/relationships" name="Nozzle Cases" sheetId="8" r:id="rId23"/>
    <x:sheet xmlns:r="http://schemas.openxmlformats.org/officeDocument/2006/relationships" name="Pressure Profile" sheetId="9" r:id="rId24"/>
    <x:sheet xmlns:r="http://schemas.openxmlformats.org/officeDocument/2006/relationships" name="Hydraulics Charts" sheetId="10" r:id="rId6"/>
    <x:sheet xmlns:r="http://schemas.openxmlformats.org/officeDocument/2006/relationships" name="Flow Cases" sheetId="11" r:id="rId7"/>
    <x:sheet xmlns:r="http://schemas.openxmlformats.org/officeDocument/2006/relationships" name="Hydraulics Dashboard" sheetId="12" r:id="rId8"/>
    <x:sheet xmlns:r="http://schemas.openxmlformats.org/officeDocument/2006/relationships" name="BHA Assembly" sheetId="13" r:id="rId9"/>
    <x:sheet xmlns:r="http://schemas.openxmlformats.org/officeDocument/2006/relationships" name="Chart Settings" sheetId="14" r:id="rId10"/>
    <x:sheet xmlns:r="http://schemas.openxmlformats.org/officeDocument/2006/relationships" name="Unit Map" sheetId="15" r:id="rId11"/>
    <x:sheet xmlns:r="http://schemas.openxmlformats.org/officeDocument/2006/relationships" name="Checks" sheetId="16" r:id="rId12"/>
    <x:sheet xmlns:r="http://schemas.openxmlformats.org/officeDocument/2006/relationships" name="Calc" sheetId="17" r:id="rId13" state="hidden"/>
    <x:sheet xmlns:r="http://schemas.openxmlformats.org/officeDocument/2006/relationships" name="Exchange Map" sheetId="18" r:id="rId14"/>
    <x:sheet xmlns:r="http://schemas.openxmlformats.org/officeDocument/2006/relationships" name="Exchange State" sheetId="19" r:id="rId15" state="hidden"/>
    <x:sheet xmlns:r="http://schemas.openxmlformats.org/officeDocument/2006/relationships" name="Exchange Buffer" sheetId="20" r:id="rI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#,##0.00"/>
    <x:numFmt numFmtId="202" formatCode="#,##0.00;[Red]-#,##0.00"/>
    <x:numFmt numFmtId="203" formatCode="0.000"/>
    <x:numFmt numFmtId="204" formatCode="0.00%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2" fillId="2" borderId="1" xfId="0" applyNumberFormat="1" applyFont="1" applyFill="1" applyBorder="1"/>
    <x:xf numFmtId="202" fontId="0" fillId="5" borderId="1" xfId="0" applyNumberFormat="1" applyFont="1" applyFill="1" applyBorder="1"/>
    <x:xf numFmtId="202" fontId="2" fillId="2" borderId="0" xfId="0" applyNumberFormat="1" applyFont="1" applyFill="1" applyBorder="1" applyAlignment="1">
      <x:alignment horizontal="left" vertical="center"/>
    </x:xf>
    <x:xf numFmtId="202" fontId="0" fillId="4" borderId="1" xfId="0" applyNumberFormat="1" applyFont="1" applyFill="1" applyBorder="1"/>
    <x:xf numFmtId="202" fontId="3" fillId="3" borderId="0" xfId="0" applyNumberFormat="1" applyFont="1" applyFill="1" applyBorder="1"/>
    <x:xf numFmtId="202" fontId="0" fillId="0" borderId="1" xfId="0" applyNumberFormat="1" applyFont="1" applyFill="1" applyBorder="1"/>
    <x:xf numFmtId="202" fontId="2" fillId="2" borderId="0" xfId="0" applyNumberFormat="1" applyFont="1" applyFill="1" applyBorder="1" applyAlignment="1">
      <x:alignment horizontal="left" vertical="center" wrapText="1"/>
    </x:xf>
    <x:xf numFmtId="202" fontId="2" fillId="2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4" borderId="2" xfId="0" applyNumberFormat="1" applyFont="1" applyFill="1" applyBorder="1" applyAlignment="1">
      <x:alignment wrapText="1"/>
    </x:xf>
    <x:xf numFmtId="202" fontId="0" fillId="4" borderId="4" xfId="0" applyNumberFormat="1" applyFont="1" applyFill="1" applyBorder="1" applyAlignment="1">
      <x:alignment wrapText="1"/>
    </x:xf>
    <x:xf numFmtId="202" fontId="0" fillId="5" borderId="2" xfId="0" applyNumberFormat="1" applyFont="1" applyFill="1" applyBorder="1" applyAlignment="1">
      <x:alignment wrapText="1"/>
    </x:xf>
    <x:xf numFmtId="202" fontId="0" fillId="5" borderId="4" xfId="0" applyNumberFormat="1" applyFont="1" applyFill="1" applyBorder="1" applyAlignment="1">
      <x:alignment wrapText="1"/>
    </x:xf>
    <x:xf numFmtId="203" fontId="0" fillId="5" borderId="1" xfId="0" applyNumberFormat="1" applyFont="1" applyFill="1" applyBorder="1"/>
    <x:xf numFmtId="204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microsoft.com/office/2022/11/relationships/FeaturePropertyBag" Target="/xl/featurePropertyBag/featurePropertyBag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10.xml" Id="rId6" /><Relationship Type="http://schemas.openxmlformats.org/officeDocument/2006/relationships/worksheet" Target="/xl/worksheets/sheet11.xml" Id="rId7" /><Relationship Type="http://schemas.openxmlformats.org/officeDocument/2006/relationships/worksheet" Target="/xl/worksheets/sheet12.xml" Id="rId8" /><Relationship Type="http://schemas.openxmlformats.org/officeDocument/2006/relationships/worksheet" Target="/xl/worksheets/sheet13.xml" Id="rId9" /><Relationship Type="http://schemas.openxmlformats.org/officeDocument/2006/relationships/worksheet" Target="/xl/worksheets/sheet14.xml" Id="rId10" /><Relationship Type="http://schemas.openxmlformats.org/officeDocument/2006/relationships/worksheet" Target="/xl/worksheets/sheet15.xml" Id="rId11" /><Relationship Type="http://schemas.openxmlformats.org/officeDocument/2006/relationships/worksheet" Target="/xl/worksheets/sheet16.xml" Id="rId12" /><Relationship Type="http://schemas.openxmlformats.org/officeDocument/2006/relationships/worksheet" Target="/xl/worksheets/sheet17.xml" Id="rId13" /><Relationship Type="http://schemas.openxmlformats.org/officeDocument/2006/relationships/worksheet" Target="/xl/worksheets/sheet18.xml" Id="rId14" /><Relationship Type="http://schemas.openxmlformats.org/officeDocument/2006/relationships/worksheet" Target="/xl/worksheets/sheet19.xml" Id="rId15" /><Relationship Type="http://schemas.openxmlformats.org/officeDocument/2006/relationships/worksheet" Target="/xl/worksheets/sheet2.xml" Id="rId16" /><Relationship Type="http://schemas.openxmlformats.org/officeDocument/2006/relationships/worksheet" Target="/xl/worksheets/sheet20.xml" Id="rId17" /><Relationship Type="http://schemas.openxmlformats.org/officeDocument/2006/relationships/worksheet" Target="/xl/worksheets/sheet3.xml" Id="rId18" /><Relationship Type="http://schemas.openxmlformats.org/officeDocument/2006/relationships/worksheet" Target="/xl/worksheets/sheet4.xml" Id="rId19" /><Relationship Type="http://schemas.openxmlformats.org/officeDocument/2006/relationships/worksheet" Target="/xl/worksheets/sheet5.xml" Id="rId20" /><Relationship Type="http://schemas.openxmlformats.org/officeDocument/2006/relationships/worksheet" Target="/xl/worksheets/sheet6.xml" Id="rId21" /><Relationship Type="http://schemas.openxmlformats.org/officeDocument/2006/relationships/worksheet" Target="/xl/worksheets/sheet7.xml" Id="rId22" /><Relationship Type="http://schemas.openxmlformats.org/officeDocument/2006/relationships/worksheet" Target="/xl/worksheets/sheet8.xml" Id="rId23" /><Relationship Type="http://schemas.openxmlformats.org/officeDocument/2006/relationships/worksheet" Target="/xl/worksheets/sheet9.xml" Id="rId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Relationship Type="http://schemas.openxmlformats.org/officeDocument/2006/relationships/chart" Target="/xl/drawings/charts/chart2.xml" Id="rId2" /><Relationship Type="http://schemas.openxmlformats.org/officeDocument/2006/relationships/chart" Target="/xl/drawings/charts/chart3.xml" Id="rI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Id1" /><Relationship Type="http://schemas.openxmlformats.org/officeDocument/2006/relationships/chart" Target="/xl/drawings/charts/chart5.xml" Id="rId2" /><Relationship Type="http://schemas.openxmlformats.org/officeDocument/2006/relationships/chart" Target="/xl/drawings/charts/chart6.xml" Id="rId3" /><Relationship Type="http://schemas.openxmlformats.org/officeDocument/2006/relationships/chart" Target="/xl/drawings/charts/chart7.xml" Id="rI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Id1" /><Relationship Type="http://schemas.openxmlformats.org/officeDocument/2006/relationships/chart" Target="/xl/drawings/charts/chart11.xml" Id="rId2" /><Relationship Type="http://schemas.openxmlformats.org/officeDocument/2006/relationships/chart" Target="/xl/drawings/charts/chart8.xml" Id="rId3" /><Relationship Type="http://schemas.openxmlformats.org/officeDocument/2006/relationships/chart" Target="/xl/drawings/charts/chart9.xml" Id="rI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 loss by flow-path section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Cumulative pressure Pa</c:v>
          </c:tx>
          <c:cat>
            <c:strRef>
              <c:f>'Graphs'!$A$4:$A$11</c:f>
              <c:strCache>
                <c:ptCount val="0"/>
              </c:strCache>
            </c:strRef>
          </c:cat>
          <c:val>
            <c:numRef>
              <c:f>'Graphs'!$B$4:$B$11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Pressure loss Pa</c:v>
          </c:tx>
          <c:cat>
            <c:strRef>
              <c:f>'Graphs'!$A$4:$A$11</c:f>
              <c:strCache>
                <c:ptCount val="0"/>
              </c:strCache>
            </c:strRef>
          </c:cat>
          <c:val>
            <c:numRef>
              <c:f>'Graphs'!$C$4:$C$11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Waterfall-style pressure-loss breakdown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Base Pa</c:v>
          </c:tx>
          <c:cat>
            <c:strRef>
              <c:f>'Graphs'!$A$15:$A$22</c:f>
              <c:strCache>
                <c:ptCount val="0"/>
              </c:strCache>
            </c:strRef>
          </c:cat>
          <c:val>
            <c:numRef>
              <c:f>'Graphs'!$B$15:$B$22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Increment Pa</c:v>
          </c:tx>
          <c:cat>
            <c:strRef>
              <c:f>'Graphs'!$A$15:$A$22</c:f>
              <c:strCache>
                <c:ptCount val="0"/>
              </c:strCache>
            </c:strRef>
          </c:cat>
          <c:val>
            <c:numRef>
              <c:f>'Graphs'!$C$15:$C$22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Nozzle optimization — SPP versus surface limit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Total SPP Pa</c:v>
          </c:tx>
          <c:xVal>
            <c:numRef>
              <c:f>='Graphs'!$E$41:$E$45</c:f>
              <c:numCache>
                <c:formatCode>General</c:formatCode>
                <c:ptCount val="0"/>
              </c:numCache>
            </c:numRef>
          </c:xVal>
          <c:yVal>
            <c:numRef>
              <c:f>='Graphs'!$F$41:$F$45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Surface limit Pa</c:v>
          </c:tx>
          <c:xVal>
            <c:numRef>
              <c:f>='Graphs'!$E$41:$E$45</c:f>
              <c:numCache>
                <c:formatCode>General</c:formatCode>
                <c:ptCount val="0"/>
              </c:numCache>
            </c:numRef>
          </c:xVal>
          <c:yVal>
            <c:numRef>
              <c:f>='Graphs'!$G$41:$G$45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Total SPP Pa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Nozzle diameter m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 roadmap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Section loss</c:v>
          </c:tx>
          <c:xVal>
            <c:numRef>
              <c:f>='Hydraulics Charts'!$B$6:$B$13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Charts'!$A$6:$A$13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Cumulative loss</c:v>
          </c:tx>
          <c:xVal>
            <c:numRef>
              <c:f>='Hydraulics Charts'!$C$6:$C$13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Charts'!$A$6:$A$13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Hydrostatic</c:v>
          </c:tx>
          <c:xVal>
            <c:numRef>
              <c:f>='Hydraulics Charts'!$D$6:$D$13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Charts'!$A$6:$A$13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Dynamic pressure</c:v>
          </c:tx>
          <c:xVal>
            <c:numRef>
              <c:f>='Hydraulics Charts'!$E$6:$E$13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Charts'!$A$6:$A$13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Pressure (Pa)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ECD window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Static mud density</c:v>
          </c:tx>
          <c:xVal>
            <c:numRef>
              <c:f>='Hydraulics Charts'!$B$26:$B$33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Charts'!$A$26:$A$33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ECD</c:v>
          </c:tx>
          <c:xVal>
            <c:numRef>
              <c:f>='Hydraulics Charts'!$C$26:$C$33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Charts'!$A$26:$A$33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ECD screen</c:v>
          </c:tx>
          <c:xVal>
            <c:numRef>
              <c:f>='Hydraulics Charts'!$D$26:$D$33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Charts'!$A$26:$A$33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Density (kg/m3)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Velocity and transport screen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Flow velocity</c:v>
          </c:tx>
          <c:xVal>
            <c:numRef>
              <c:f>='Hydraulics Charts'!$B$45:$B$52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Charts'!$A$45:$A$52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Minimum annular velocity</c:v>
          </c:tx>
          <c:xVal>
            <c:numRef>
              <c:f>='Hydraulics Charts'!$C$45:$C$52</c:f>
              <c:numCache>
                <c:formatCode>General</c:formatCode>
                <c:ptCount val="0"/>
              </c:numCache>
            </c:numRef>
          </c:xVal>
          <c:yVal>
            <c:numRef>
              <c:f>='Hydraulics Charts'!$A$45:$A$52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Velocity (m/s)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Nozzle pressure envelope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SPP Pa</c:v>
          </c:tx>
          <c:xVal>
            <c:numRef>
              <c:f>='Hydraulics Charts'!$A$64:$A$68</c:f>
              <c:numCache>
                <c:formatCode>General</c:formatCode>
                <c:ptCount val="0"/>
              </c:numCache>
            </c:numRef>
          </c:xVal>
          <c:yVal>
            <c:numRef>
              <c:f>='Hydraulics Charts'!$B$64:$B$68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Surface limit Pa</c:v>
          </c:tx>
          <c:xVal>
            <c:numRef>
              <c:f>='Hydraulics Charts'!$A$64:$A$68</c:f>
              <c:numCache>
                <c:formatCode>General</c:formatCode>
                <c:ptCount val="0"/>
              </c:numCache>
            </c:numRef>
          </c:xVal>
          <c:yVal>
            <c:numRef>
              <c:f>='Hydraulics Charts'!$C$64:$C$68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Bit drop Pa</c:v>
          </c:tx>
          <c:xVal>
            <c:numRef>
              <c:f>='Hydraulics Charts'!$A$64:$A$68</c:f>
              <c:numCache>
                <c:formatCode>General</c:formatCode>
                <c:ptCount val="0"/>
              </c:numCache>
            </c:numRef>
          </c:xVal>
          <c:yVal>
            <c:numRef>
              <c:f>='Hydraulics Charts'!$D$64:$D$68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SPP Pa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Nozzle diameter m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 flow families and operating limit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Low flow pressure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='Hydraulics Dashboard'!$B$46:$B$53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Dashboard'!$A$46:$A$53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Base flow pressure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='Hydraulics Dashboard'!$C$46:$C$53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Dashboard'!$A$46:$A$53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High flow pressure</c:v>
          </c:tx>
          <c:spPr>
            <a:ln xmlns:a="http://schemas.openxmlformats.org/drawingml/2006/main" w="19050">
              <a:solidFill>
                <a:srgbClr val="15803D"/>
              </a:solidFill>
            </a:ln>
          </c:spPr>
          <c:xVal>
            <c:numRef>
              <c:f>='Hydraulics Dashboard'!$D$46:$D$53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Dashboard'!$A$46:$A$53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Hydrostatic</c:v>
          </c:tx>
          <c:spPr>
            <a:ln xmlns:a="http://schemas.openxmlformats.org/drawingml/2006/main" w="19050">
              <a:solidFill>
                <a:srgbClr val="2563EB"/>
              </a:solidFill>
            </a:ln>
          </c:spPr>
          <c:xVal>
            <c:numRef>
              <c:f>='Hydraulics Dashboard'!$E$46:$E$53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Dashboard'!$A$46:$A$53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Pressure limit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='Hydraulics Dashboard'!$F$46:$F$53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Dashboard'!$A$46:$A$53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Pressure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ECD flow-rate window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Low flow ECD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='Hydraulics Dashboard'!$I$46:$I$53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Dashboard'!$H$46:$H$53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Base flow ECD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='Hydraulics Dashboard'!$J$46:$J$53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Dashboard'!$H$46:$H$53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High flow ECD</c:v>
          </c:tx>
          <c:spPr>
            <a:ln xmlns:a="http://schemas.openxmlformats.org/drawingml/2006/main" w="19050">
              <a:solidFill>
                <a:srgbClr val="15803D"/>
              </a:solidFill>
            </a:ln>
          </c:spPr>
          <c:xVal>
            <c:numRef>
              <c:f>='Hydraulics Dashboard'!$K$46:$K$53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Dashboard'!$H$46:$H$53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Static density</c:v>
          </c:tx>
          <c:spPr>
            <a:ln xmlns:a="http://schemas.openxmlformats.org/drawingml/2006/main" w="19050">
              <a:solidFill>
                <a:srgbClr val="2563EB"/>
              </a:solidFill>
            </a:ln>
          </c:spPr>
          <c:xVal>
            <c:numRef>
              <c:f>='Hydraulics Dashboard'!$L$46:$L$53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Dashboard'!$H$46:$H$53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ECD limit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='Hydraulics Dashboard'!$M$46:$M$53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Dashboard'!$H$46:$H$53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Density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Annular velocity flow families vs MD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Low flow velocity</c:v>
          </c:tx>
          <c:spPr>
            <a:ln xmlns:a="http://schemas.openxmlformats.org/drawingml/2006/main" w="19050">
              <a:solidFill>
                <a:srgbClr val="6B7280"/>
              </a:solidFill>
            </a:ln>
          </c:spPr>
          <c:xVal>
            <c:numRef>
              <c:f>='Hydraulics Dashboard'!$P$46:$P$53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Dashboard'!$O$46:$O$53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Base flow velocity</c:v>
          </c:tx>
          <c:spPr>
            <a:ln xmlns:a="http://schemas.openxmlformats.org/drawingml/2006/main" w="19050">
              <a:solidFill>
                <a:srgbClr val="0F766E"/>
              </a:solidFill>
            </a:ln>
          </c:spPr>
          <c:xVal>
            <c:numRef>
              <c:f>='Hydraulics Dashboard'!$Q$46:$Q$53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Dashboard'!$O$46:$O$53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High flow velocity</c:v>
          </c:tx>
          <c:spPr>
            <a:ln xmlns:a="http://schemas.openxmlformats.org/drawingml/2006/main" w="19050">
              <a:solidFill>
                <a:srgbClr val="15803D"/>
              </a:solidFill>
            </a:ln>
          </c:spPr>
          <c:xVal>
            <c:numRef>
              <c:f>='Hydraulics Dashboard'!$R$46:$R$53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Dashboard'!$O$46:$O$53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Minimum transport velocity</c:v>
          </c:tx>
          <c:spPr>
            <a:ln xmlns:a="http://schemas.openxmlformats.org/drawingml/2006/main" w="19050">
              <a:solidFill>
                <a:srgbClr val="B91C1C"/>
              </a:solidFill>
            </a:ln>
          </c:spPr>
          <c:xVal>
            <c:numRef>
              <c:f>='Hydraulics Dashboard'!$S$46:$S$53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Dashboard'!$O$46:$O$53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Velocity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Nozzle pressure envelope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SPP Pa</c:v>
          </c:tx>
          <c:xVal>
            <c:numRef>
              <c:f>='Hydraulics Dashboard'!$U$46:$U$50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Dashboard'!$V$46:$V$50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Surface limit Pa</c:v>
          </c:tx>
          <c:xVal>
            <c:numRef>
              <c:f>='Hydraulics Dashboard'!$U$46:$U$50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Dashboard'!$W$46:$W$50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Bit drop Pa</c:v>
          </c:tx>
          <c:xVal>
            <c:numRef>
              <c:f>='Hydraulics Dashboard'!$U$46:$U$50</c:f>
              <c:numCache>
                <c:formatCode>General</c:formatCode>
                <c:ptCount val="0"/>
              </c:numCache>
            </c:numRef>
          </c:xVal>
          <c:yVal>
            <c:numRef>
              <c:f>='Hydraulics Dashboard'!$X$46:$X$50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SPP Pa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Nozzle diameter m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14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5</xdr:col>
      <xdr:colOff>0</xdr:colOff>
      <xdr:row>61</xdr:row>
      <xdr:rowOff>0</xdr:rowOff>
    </xdr:from>
    <xdr:to>
      <xdr:col>14</xdr:col>
      <xdr:colOff>0</xdr:colOff>
      <xdr:row>79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25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Steady-State Hydraulics and Nozzle Optimization — SI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5" t="str">
        <x:v>Hydraulics decision — pressure limit and selected nozzle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Metric</x:v>
      </x:c>
      <x:c r="B5" s="36" t="str">
        <x:v>Result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Surface pressure status</x:v>
      </x:c>
      <x:c r="B6" s="37" t="str">
        <x:f>Results!E8</x:f>
        <x:v>REVIEW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7" t="str">
        <x:v>Selected nozzle diameter m</x:v>
      </x:c>
      <x:c r="B7" s="37" t="n">
        <x:f>Results!B7</x:f>
        <x:v>0.012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</x:sheetData>
  <x:mergeCells>
    <x:mergeCell ref="A1:N1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Inputs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SI operating inputs and full tube-section flow path</x:v>
      </x:c>
      <x:c r="B3" s="38" t="str">
        <x:v>SI operating inputs and full tube-section flow path</x:v>
      </x:c>
      <x:c r="C3" s="38" t="str">
        <x:v>SI operating inputs and full tube-section flow path</x:v>
      </x:c>
      <x:c r="D3" s="38" t="str">
        <x:v>SI operating inputs and full tube-section flow path</x:v>
      </x:c>
      <x:c r="E3" s="38" t="str">
        <x:v>SI operating inputs and full tube-section flow path</x:v>
      </x:c>
      <x:c r="F3" s="38" t="str">
        <x:v>SI operating inputs and full tube-section flow path</x:v>
      </x:c>
      <x:c r="G3" s="38" t="str">
        <x:v>SI operating inputs and full tube-section flow path</x:v>
      </x:c>
      <x:c r="H3" s="38" t="str">
        <x:v>SI operating inputs and full tube-section flow path</x:v>
      </x:c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5" t="str">
        <x:v>Rig preset</x:v>
      </x:c>
      <x:c r="B5" s="39" t="str">
        <x:v>Land rig</x:v>
      </x:c>
      <x:c r="C5" s="35"/>
      <x:c r="D5" s="36" t="str">
        <x:v>Tube section</x:v>
      </x:c>
      <x:c r="E5" s="36" t="str">
        <x:v>Length m</x:v>
      </x:c>
      <x:c r="F5" s="36" t="str">
        <x:v>Flow ID m</x:v>
      </x:c>
      <x:c r="G5" s="36" t="str">
        <x:v>Annular / pipe</x:v>
      </x:c>
      <x:c r="H5" s="36" t="str">
        <x:v>Hydraulic diameter m</x:v>
      </x:c>
      <x:c r="I5" s="35" t="str">
        <x:v>Exchange record ID</x:v>
      </x:c>
      <x:c r="J5" s="35"/>
      <x:c r="K5" s="35"/>
      <x:c r="L5" s="35"/>
      <x:c r="M5" s="35"/>
      <x:c r="N5" s="35"/>
    </x:row>
    <x:row r="6">
      <x:c r="A6" s="35" t="str">
        <x:v>Surface pressure limit Pa</x:v>
      </x:c>
      <x:c r="B6" s="39" t="n">
        <x:v>35000000</x:v>
      </x:c>
      <x:c r="C6" s="35"/>
      <x:c r="D6" s="39" t="str">
        <x:v>Standpipe</x:v>
      </x:c>
      <x:c r="E6" s="39" t="n">
        <x:v>35</x:v>
      </x:c>
      <x:c r="F6" s="39" t="n">
        <x:v>0.102</x:v>
      </x:c>
      <x:c r="G6" s="39" t="str">
        <x:v>Pipe</x:v>
      </x:c>
      <x:c r="H6" s="39" t="n">
        <x:v>0.102</x:v>
      </x:c>
      <x:c r="I6" s="35" t="str">
        <x:v>flow-standpipe</x:v>
      </x:c>
      <x:c r="J6" s="35"/>
      <x:c r="K6" s="35"/>
      <x:c r="L6" s="35"/>
      <x:c r="M6" s="35"/>
      <x:c r="N6" s="35"/>
    </x:row>
    <x:row r="7">
      <x:c r="A7" s="35" t="str">
        <x:v>Pump efficiency</x:v>
      </x:c>
      <x:c r="B7" s="39" t="n">
        <x:v>0.92</x:v>
      </x:c>
      <x:c r="C7" s="35"/>
      <x:c r="D7" s="39" t="str">
        <x:v>Rotary hose</x:v>
      </x:c>
      <x:c r="E7" s="39" t="n">
        <x:v>18</x:v>
      </x:c>
      <x:c r="F7" s="39" t="n">
        <x:v>0.076</x:v>
      </x:c>
      <x:c r="G7" s="39" t="str">
        <x:v>Pipe</x:v>
      </x:c>
      <x:c r="H7" s="39" t="n">
        <x:v>0.076</x:v>
      </x:c>
      <x:c r="I7" s="35" t="str">
        <x:v>flow-rotary-hose</x:v>
      </x:c>
      <x:c r="J7" s="35"/>
      <x:c r="K7" s="35"/>
      <x:c r="L7" s="35"/>
      <x:c r="M7" s="35"/>
      <x:c r="N7" s="35"/>
    </x:row>
    <x:row r="8">
      <x:c r="A8" s="35" t="str">
        <x:v>Flow rate m3/s</x:v>
      </x:c>
      <x:c r="B8" s="39" t="n">
        <x:v>0.044</x:v>
      </x:c>
      <x:c r="C8" s="35"/>
      <x:c r="D8" s="39" t="str">
        <x:v>Top drive / swivel</x:v>
      </x:c>
      <x:c r="E8" s="39" t="n">
        <x:v>8</x:v>
      </x:c>
      <x:c r="F8" s="39" t="n">
        <x:v>0.076</x:v>
      </x:c>
      <x:c r="G8" s="39" t="str">
        <x:v>Pipe</x:v>
      </x:c>
      <x:c r="H8" s="39" t="n">
        <x:v>0.076</x:v>
      </x:c>
      <x:c r="I8" s="35" t="str">
        <x:v>flow-top-drive</x:v>
      </x:c>
      <x:c r="J8" s="35"/>
      <x:c r="K8" s="35"/>
      <x:c r="L8" s="35"/>
      <x:c r="M8" s="35"/>
      <x:c r="N8" s="35"/>
    </x:row>
    <x:row r="9">
      <x:c r="A9" s="35" t="str">
        <x:v>Mud density kg/m3</x:v>
      </x:c>
      <x:c r="B9" s="39" t="n">
        <x:v>1200</x:v>
      </x:c>
      <x:c r="C9" s="35"/>
      <x:c r="D9" s="39" t="str">
        <x:v>Drill pipe</x:v>
      </x:c>
      <x:c r="E9" s="39" t="n">
        <x:v>2100</x:v>
      </x:c>
      <x:c r="F9" s="39" t="n">
        <x:v>0.1086</x:v>
      </x:c>
      <x:c r="G9" s="39" t="str">
        <x:v>Pipe</x:v>
      </x:c>
      <x:c r="H9" s="39" t="n">
        <x:v>0.1086</x:v>
      </x:c>
      <x:c r="I9" s="35" t="str">
        <x:v>flow-drill-pipe</x:v>
      </x:c>
      <x:c r="J9" s="35"/>
      <x:c r="K9" s="35"/>
      <x:c r="L9" s="35"/>
      <x:c r="M9" s="35"/>
      <x:c r="N9" s="35"/>
    </x:row>
    <x:row r="10">
      <x:c r="A10" s="35" t="str">
        <x:v>Apparent viscosity Pa-s</x:v>
      </x:c>
      <x:c r="B10" s="39" t="n">
        <x:v>0.035</x:v>
      </x:c>
      <x:c r="C10" s="35"/>
      <x:c r="D10" s="39" t="str">
        <x:v>HWDP</x:v>
      </x:c>
      <x:c r="E10" s="39" t="n">
        <x:v>300</x:v>
      </x:c>
      <x:c r="F10" s="39" t="n">
        <x:v>0.076</x:v>
      </x:c>
      <x:c r="G10" s="39" t="str">
        <x:v>Pipe</x:v>
      </x:c>
      <x:c r="H10" s="39" t="n">
        <x:v>0.076</x:v>
      </x:c>
      <x:c r="I10" s="35" t="str">
        <x:v>flow-hwdp</x:v>
      </x:c>
      <x:c r="J10" s="35"/>
      <x:c r="K10" s="35"/>
      <x:c r="L10" s="35"/>
      <x:c r="M10" s="35"/>
      <x:c r="N10" s="35"/>
    </x:row>
    <x:row r="11">
      <x:c r="A11" s="35" t="str">
        <x:v>Bit nozzles count</x:v>
      </x:c>
      <x:c r="B11" s="39" t="n">
        <x:v>3</x:v>
      </x:c>
      <x:c r="C11" s="35"/>
      <x:c r="D11" s="39" t="str">
        <x:v>Drill collar</x:v>
      </x:c>
      <x:c r="E11" s="39" t="n">
        <x:v>210</x:v>
      </x:c>
      <x:c r="F11" s="39" t="n">
        <x:v>0.071</x:v>
      </x:c>
      <x:c r="G11" s="39" t="str">
        <x:v>Pipe</x:v>
      </x:c>
      <x:c r="H11" s="39" t="n">
        <x:v>0.071</x:v>
      </x:c>
      <x:c r="I11" s="35" t="str">
        <x:v>flow-drill-collar</x:v>
      </x:c>
      <x:c r="J11" s="35"/>
      <x:c r="K11" s="35"/>
      <x:c r="L11" s="35"/>
      <x:c r="M11" s="35"/>
      <x:c r="N11" s="35"/>
    </x:row>
    <x:row r="12">
      <x:c r="A12" s="35" t="str">
        <x:v>Base nozzle diameter m</x:v>
      </x:c>
      <x:c r="B12" s="39" t="n">
        <x:v>0.01</x:v>
      </x:c>
      <x:c r="C12" s="35"/>
      <x:c r="D12" s="39" t="str">
        <x:v>Motor / MWD</x:v>
      </x:c>
      <x:c r="E12" s="39" t="n">
        <x:v>50</x:v>
      </x:c>
      <x:c r="F12" s="39" t="n">
        <x:v>0.057</x:v>
      </x:c>
      <x:c r="G12" s="39" t="str">
        <x:v>Pipe</x:v>
      </x:c>
      <x:c r="H12" s="39" t="n">
        <x:v>0.057</x:v>
      </x:c>
      <x:c r="I12" s="35" t="str">
        <x:v>flow-motor-mwd</x:v>
      </x:c>
      <x:c r="J12" s="35"/>
      <x:c r="K12" s="35"/>
      <x:c r="L12" s="35"/>
      <x:c r="M12" s="35"/>
      <x:c r="N12" s="35"/>
    </x:row>
    <x:row r="13">
      <x:c r="A13" s="35" t="str">
        <x:v>Nozzle Cd</x:v>
      </x:c>
      <x:c r="B13" s="39" t="n">
        <x:v>0.95</x:v>
      </x:c>
      <x:c r="C13" s="35"/>
      <x:c r="D13" s="39" t="str">
        <x:v>Open-hole annulus</x:v>
      </x:c>
      <x:c r="E13" s="39" t="n">
        <x:v>2660</x:v>
      </x:c>
      <x:c r="F13" s="39" t="n">
        <x:v>0.171</x:v>
      </x:c>
      <x:c r="G13" s="39" t="str">
        <x:v>Annulus</x:v>
      </x:c>
      <x:c r="H13" s="39" t="n">
        <x:v>0.044</x:v>
      </x:c>
      <x:c r="I13" s="35" t="str">
        <x:v>flow-open-hole-annulus</x:v>
      </x:c>
      <x:c r="J13" s="35"/>
      <x:c r="K13" s="35"/>
      <x:c r="L13" s="35"/>
      <x:c r="M13" s="35"/>
      <x:c r="N13" s="35"/>
    </x:row>
    <x:row r="14">
      <x:c r="A14" s="35" t="str">
        <x:v>Max ECD screen kg/m3</x:v>
      </x:c>
      <x:c r="B14" s="39" t="n">
        <x:v>1400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 t="str">
        <x:v>Minimum annular velocity screen m/s</x:v>
      </x:c>
      <x:c r="B15" s="39" t="n">
        <x:v>0.5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 t="str">
        <x:v>ECD reference TVD m</x:v>
      </x:c>
      <x:c r="B16" s="39" t="n">
        <x:v>2660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 t="str">
        <x:v>Surface backpressure Pa</x:v>
      </x:c>
      <x:c r="B17" s="39" t="n">
        <x:v>0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 t="str">
        <x:v>Pressure correlation</x:v>
      </x:c>
      <x:c r="B18" s="39" t="str">
        <x:v>darcy_weisbach_screening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 t="str">
        <x:v>Compute backend</x:v>
      </x:c>
      <x:c r="B19" s="39" t="str">
        <x:v>serial_cpu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 t="str">
        <x:v>Thermal assumption</x:v>
      </x:c>
      <x:c r="B20" s="39" t="str">
        <x:v>constant_properties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</x:sheetData>
  <x:mergeCells>
    <x:mergeCell ref="A1:N1"/>
    <x:mergeCell ref="A3:H3"/>
  </x:mergeCells>
  <x:dataValidations count="3">
    <x:dataValidation type="list" sqref="B18">
      <x:formula1>"generalized_yield_power_law,darcy_weisbach_screening"</x:formula1>
    </x:dataValidation>
    <x:dataValidation type="list" sqref="B19">
      <x:formula1>"parallel_cpu,serial_cpu"</x:formula1>
    </x:dataValidation>
    <x:dataValidation type="list" sqref="B20">
      <x:formula1>"constant_properties"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Survey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Shared SI survey stations — reused by engineering models</x:v>
      </x:c>
      <x:c r="B3" s="38" t="str">
        <x:v>Shared SI survey stations — reused by engineering models</x:v>
      </x:c>
      <x:c r="C3" s="38" t="str">
        <x:v>Shared SI survey stations — reused by engineering models</x:v>
      </x:c>
      <x:c r="D3" s="38" t="str">
        <x:v>Shared SI survey stations — reused by engineering models</x:v>
      </x:c>
      <x:c r="E3" s="38" t="str">
        <x:v>Shared SI survey stations — reused by engineering models</x:v>
      </x:c>
      <x:c r="F3" s="38" t="str">
        <x:v>Shared SI survey stations — reused by engineering models</x:v>
      </x:c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MD m</x:v>
      </x:c>
      <x:c r="B5" s="36" t="str">
        <x:v>Inclination rad</x:v>
      </x:c>
      <x:c r="C5" s="36" t="str">
        <x:v>Azimuth rad</x:v>
      </x:c>
      <x:c r="D5" s="36" t="str">
        <x:v>Hole ID m</x:v>
      </x:c>
      <x:c r="E5" s="36" t="str">
        <x:v>Exchange record ID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9" t="n">
        <x:v>0</x:v>
      </x:c>
      <x:c r="B6" s="39" t="n">
        <x:v>0</x:v>
      </x:c>
      <x:c r="C6" s="39" t="n">
        <x:v>0.3490658503988659</x:v>
      </x:c>
      <x:c r="D6" s="39" t="n">
        <x:v>0.216</x:v>
      </x:c>
      <x:c r="E6" s="35" t="str">
        <x:v>survey-000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9" t="n">
        <x:v>155.10875760000002</x:v>
      </x:c>
      <x:c r="B7" s="39" t="n">
        <x:v>0.008499753457212385</x:v>
      </x:c>
      <x:c r="C7" s="39" t="n">
        <x:v>0.36271432514946156</x:v>
      </x:c>
      <x:c r="D7" s="39" t="n">
        <x:v>0.216</x:v>
      </x:c>
      <x:c r="E7" s="35" t="str">
        <x:v>survey-001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9" t="n">
        <x:v>307.974492</x:v>
      </x:c>
      <x:c r="B8" s="39" t="n">
        <x:v>0.010454522219446033</x:v>
      </x:c>
      <x:c r="C8" s="39" t="n">
        <x:v>0.36976545532751864</x:v>
      </x:c>
      <x:c r="D8" s="39" t="n">
        <x:v>0.216</x:v>
      </x:c>
      <x:c r="E8" s="35" t="str">
        <x:v>survey-002</x:v>
      </x:c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9" t="n">
        <x:v>460.2227016</x:v>
      </x:c>
      <x:c r="B9" s="39" t="n">
        <x:v>0.007766715171374767</x:v>
      </x:c>
      <x:c r="C9" s="39" t="n">
        <x:v>0.36681584889164826</x:v>
      </x:c>
      <x:c r="D9" s="39" t="n">
        <x:v>0.216</x:v>
      </x:c>
      <x:c r="E9" s="35" t="str">
        <x:v>survey-003</x:v>
      </x:c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9" t="n">
        <x:v>611.9649432</x:v>
      </x:c>
      <x:c r="B10" s="39" t="n">
        <x:v>0.004153883619746505</x:v>
      </x:c>
      <x:c r="C10" s="39" t="n">
        <x:v>0.3552792225359658</x:v>
      </x:c>
      <x:c r="D10" s="39" t="n">
        <x:v>0.216</x:v>
      </x:c>
      <x:c r="E10" s="35" t="str">
        <x:v>survey-004</x:v>
      </x:c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9" t="n">
        <x:v>763.5706344</x:v>
      </x:c>
      <x:c r="B11" s="39" t="n">
        <x:v>0.009145525280450286</x:v>
      </x:c>
      <x:c r="C11" s="39" t="n">
        <x:v>0.34074062986685294</x:v>
      </x:c>
      <x:c r="D11" s="39" t="n">
        <x:v>0.216</x:v>
      </x:c>
      <x:c r="E11" s="35" t="str">
        <x:v>survey-005</x:v>
      </x:c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9" t="n">
        <x:v>915.4786872000001</x:v>
      </x:c>
      <x:c r="B12" s="39" t="n">
        <x:v>0.010314895879286487</x:v>
      </x:c>
      <x:c r="C12" s="39" t="n">
        <x:v>0.3302337477698471</x:v>
      </x:c>
      <x:c r="D12" s="39" t="n">
        <x:v>0.216</x:v>
      </x:c>
      <x:c r="E12" s="35" t="str">
        <x:v>survey-006</x:v>
      </x:c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9" t="n">
        <x:v>1067.9740896</x:v>
      </x:c>
      <x:c r="B13" s="39" t="n">
        <x:v>0.006928957130417489</x:v>
      </x:c>
      <x:c r="C13" s="39" t="n">
        <x:v>0.32882003107573166</x:v>
      </x:c>
      <x:c r="D13" s="39" t="n">
        <x:v>0.216</x:v>
      </x:c>
      <x:c r="E13" s="35" t="str">
        <x:v>survey-007</x:v>
      </x:c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9" t="n">
        <x:v>1221.042516</x:v>
      </x:c>
      <x:c r="B14" s="39" t="n">
        <x:v>0.005148721293383272</x:v>
      </x:c>
      <x:c r="C14" s="39" t="n">
        <x:v>0.3371801581927845</x:v>
      </x:c>
      <x:c r="D14" s="39" t="n">
        <x:v>0.216</x:v>
      </x:c>
      <x:c r="E14" s="35" t="str">
        <x:v>survey-008</x:v>
      </x:c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9" t="n">
        <x:v>1374.3773376000001</x:v>
      </x:c>
      <x:c r="B15" s="39" t="n">
        <x:v>0.009669124056048585</x:v>
      </x:c>
      <x:c r="C15" s="39" t="n">
        <x:v>0.35129987184141864</x:v>
      </x:c>
      <x:c r="D15" s="39" t="n">
        <x:v>0.216</x:v>
      </x:c>
      <x:c r="E15" s="35" t="str">
        <x:v>survey-009</x:v>
      </x:c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9" t="n">
        <x:v>1527.5362896000001</x:v>
      </x:c>
      <x:c r="B16" s="39" t="n">
        <x:v>0.010035643198967393</x:v>
      </x:c>
      <x:c r="C16" s="39" t="n">
        <x:v>0.36433748135381633</x:v>
      </x:c>
      <x:c r="D16" s="39" t="n">
        <x:v>0.216</x:v>
      </x:c>
      <x:c r="E16" s="35" t="str">
        <x:v>survey-010</x:v>
      </x:c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9" t="n">
        <x:v>1565.8667184</x:v>
      </x:c>
      <x:c r="B17" s="39" t="n">
        <x:v>0.20598375832037077</x:v>
      </x:c>
      <x:c r="C17" s="39" t="n">
        <x:v>0.43128831146031876</x:v>
      </x:c>
      <x:c r="D17" s="39" t="n">
        <x:v>0.216</x:v>
      </x:c>
      <x:c r="E17" s="35" t="str">
        <x:v>survey-011</x:v>
      </x:c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9" t="n">
        <x:v>1603.5857184000001</x:v>
      </x:c>
      <x:c r="B18" s="39" t="n">
        <x:v>0.38554323176554733</x:v>
      </x:c>
      <x:c r="C18" s="39" t="n">
        <x:v>0.47877872040708447</x:v>
      </x:c>
      <x:c r="D18" s="39" t="n">
        <x:v>0.216</x:v>
      </x:c>
      <x:c r="E18" s="35" t="str">
        <x:v>survey-012</x:v>
      </x:c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9" t="n">
        <x:v>1640.9209752000002</x:v>
      </x:c>
      <x:c r="B19" s="39" t="n">
        <x:v>0.5509829915620899</x:v>
      </x:c>
      <x:c r="C19" s="39" t="n">
        <x:v>0.5133711461816121</x:v>
      </x:c>
      <x:c r="D19" s="39" t="n">
        <x:v>0.216</x:v>
      </x:c>
      <x:c r="E19" s="35" t="str">
        <x:v>survey-013</x:v>
      </x:c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9" t="n">
        <x:v>1678.2970752</x:v>
      </x:c>
      <x:c r="B20" s="39" t="n">
        <x:v>0.7084815032620583</x:v>
      </x:c>
      <x:c r="C20" s="39" t="n">
        <x:v>0.5371599838862948</x:v>
      </x:c>
      <x:c r="D20" s="39" t="n">
        <x:v>0.216</x:v>
      </x:c>
      <x:c r="E20" s="35" t="str">
        <x:v>survey-014</x:v>
      </x:c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9" t="n">
        <x:v>1716.1166592000002</x:v>
      </x:c>
      <x:c r="B21" s="39" t="n">
        <x:v>0.8696277530986946</x:v>
      </x:c>
      <x:c r="C21" s="39" t="n">
        <x:v>0.5575803361346284</x:v>
      </x:c>
      <x:c r="D21" s="39" t="n">
        <x:v>0.216</x:v>
      </x:c>
      <x:c r="E21" s="35" t="str">
        <x:v>survey-015</x:v>
      </x:c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9" t="n">
        <x:v>1754.5571208000001</x:v>
      </x:c>
      <x:c r="B22" s="39" t="n">
        <x:v>1.0435149064748896</x:v>
      </x:c>
      <x:c r="C22" s="39" t="n">
        <x:v>0.5837602749145435</x:v>
      </x:c>
      <x:c r="D22" s="39" t="n">
        <x:v>0.216</x:v>
      </x:c>
      <x:c r="E22" s="35" t="str">
        <x:v>survey-016</x:v>
      </x:c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9" t="n">
        <x:v>1793.4788616</x:v>
      </x:c>
      <x:c r="B23" s="39" t="n">
        <x:v>1.2305967489961618</x:v>
      </x:c>
      <x:c r="C23" s="39" t="n">
        <x:v>0.6219480789481793</x:v>
      </x:c>
      <x:c r="D23" s="39" t="n">
        <x:v>0.216</x:v>
      </x:c>
      <x:c r="E23" s="35" t="str">
        <x:v>survey-017</x:v>
      </x:c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9" t="n">
        <x:v>1832.4975288000003</x:v>
      </x:c>
      <x:c r="B24" s="39" t="n">
        <x:v>1.422321167327739</x:v>
      </x:c>
      <x:c r="C24" s="39" t="n">
        <x:v>0.6724404542083752</x:v>
      </x:c>
      <x:c r="D24" s="39" t="n">
        <x:v>0.216</x:v>
      </x:c>
      <x:c r="E24" s="35" t="str">
        <x:v>survey-018</x:v>
      </x:c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9" t="n">
        <x:v>1871.1787824</x:v>
      </x:c>
      <x:c r="B25" s="39" t="n">
        <x:v>1.607011908773779</x:v>
      </x:c>
      <x:c r="C25" s="39" t="n">
        <x:v>0.7294254542859901</x:v>
      </x:c>
      <x:c r="D25" s="39" t="n">
        <x:v>0.216</x:v>
      </x:c>
      <x:c r="E25" s="35" t="str">
        <x:v>survey-019</x:v>
      </x:c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9" t="n">
        <x:v>1947.3607992000002</x:v>
      </x:c>
      <x:c r="B26" s="39" t="n">
        <x:v>1.5600974584801712</x:v>
      </x:c>
      <x:c r="C26" s="39" t="n">
        <x:v>0.775345066905961</x:v>
      </x:c>
      <x:c r="D26" s="39" t="n">
        <x:v>0.216</x:v>
      </x:c>
      <x:c r="E26" s="35" t="str">
        <x:v>survey-020</x:v>
      </x:c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9" t="n">
        <x:v>2022.9868608</x:v>
      </x:c>
      <x:c r="B27" s="39" t="n">
        <x:v>1.5621045871199648</x:v>
      </x:c>
      <x:c r="C27" s="39" t="n">
        <x:v>0.8168664498109061</x:v>
      </x:c>
      <x:c r="D27" s="39" t="n">
        <x:v>0.216</x:v>
      </x:c>
      <x:c r="E27" s="35" t="str">
        <x:v>survey-021</x:v>
      </x:c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9" t="n">
        <x:v>2098.3837128</x:v>
      </x:c>
      <x:c r="B28" s="39" t="n">
        <x:v>1.5629597984534422</x:v>
      </x:c>
      <x:c r="C28" s="39" t="n">
        <x:v>0.8568519429740961</x:v>
      </x:c>
      <x:c r="D28" s="39" t="n">
        <x:v>0.216</x:v>
      </x:c>
      <x:c r="E28" s="35" t="str">
        <x:v>survey-022</x:v>
      </x:c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9" t="n">
        <x:v>2173.9945344000002</x:v>
      </x:c>
      <x:c r="B29" s="39" t="n">
        <x:v>1.5629074385758823</x:v>
      </x:c>
      <x:c r="C29" s="39" t="n">
        <x:v>0.8946034146947335</x:v>
      </x:c>
      <x:c r="D29" s="39" t="n">
        <x:v>0.216</x:v>
      </x:c>
      <x:c r="E29" s="35" t="str">
        <x:v>survey-023</x:v>
      </x:c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9" t="n">
        <x:v>2250.1543008</x:v>
      </x:c>
      <x:c r="B30" s="39" t="n">
        <x:v>1.5623314799227241</x:v>
      </x:c>
      <x:c r="C30" s="39" t="n">
        <x:v>0.9295274530271401</x:v>
      </x:c>
      <x:c r="D30" s="39" t="n">
        <x:v>0.216</x:v>
      </x:c>
      <x:c r="E30" s="35" t="str">
        <x:v>survey-024</x:v>
      </x:c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9" t="n">
        <x:v>2326.9172664000002</x:v>
      </x:c>
      <x:c r="B31" s="39" t="n">
        <x:v>1.5615111751742867</x:v>
      </x:c>
      <x:c r="C31" s="39" t="n">
        <x:v>0.9611528190732773</x:v>
      </x:c>
      <x:c r="D31" s="39" t="n">
        <x:v>0.216</x:v>
      </x:c>
      <x:c r="E31" s="35" t="str">
        <x:v>survey-025</x:v>
      </x:c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9" t="n">
        <x:v>2404.030752</x:v>
      </x:c>
      <x:c r="B32" s="39" t="n">
        <x:v>1.5605686973782098</x:v>
      </x:c>
      <x:c r="C32" s="39" t="n">
        <x:v>0.9891479002752662</x:v>
      </x:c>
      <x:c r="D32" s="39" t="n">
        <x:v>0.216</x:v>
      </x:c>
      <x:c r="E32" s="35" t="str">
        <x:v>survey-026</x:v>
      </x:c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9" t="n">
        <x:v>2481.0637704</x:v>
      </x:c>
      <x:c r="B33" s="39" t="n">
        <x:v>1.5594516866569332</x:v>
      </x:c>
      <x:c r="C33" s="39" t="n">
        <x:v>1.0132858038303478</x:v>
      </x:c>
      <x:c r="D33" s="39" t="n">
        <x:v>0.216</x:v>
      </x:c>
      <x:c r="E33" s="35" t="str">
        <x:v>survey-027</x:v>
      </x:c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9" t="n">
        <x:v>2557.6252632</x:v>
      </x:c>
      <x:c r="B34" s="39" t="n">
        <x:v>1.5579332502076986</x:v>
      </x:c>
      <x:c r="C34" s="39" t="n">
        <x:v>1.0335665297385221</x:v>
      </x:c>
      <x:c r="D34" s="39" t="n">
        <x:v>0.216</x:v>
      </x:c>
      <x:c r="E34" s="35" t="str">
        <x:v>survey-028</x:v>
      </x:c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9" t="n">
        <x:v>2633.5658784</x:v>
      </x:c>
      <x:c r="B35" s="39" t="n">
        <x:v>1.5558039485202655</x:v>
      </x:c>
      <x:c r="C35" s="39" t="n">
        <x:v>1.0500598911698684</x:v>
      </x:c>
      <x:c r="D35" s="39" t="n">
        <x:v>0.216</x:v>
      </x:c>
      <x:c r="E35" s="35" t="str">
        <x:v>survey-029</x:v>
      </x:c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9" t="n">
        <x:v>2709.0514272</x:v>
      </x:c>
      <x:c r="B36" s="39" t="n">
        <x:v>1.5529590618395142</x:v>
      </x:c>
      <x:c r="C36" s="39" t="n">
        <x:v>1.0630451408047061</x:v>
      </x:c>
      <x:c r="D36" s="39" t="n">
        <x:v>0.216</x:v>
      </x:c>
      <x:c r="E36" s="35" t="str">
        <x:v>survey-030</x:v>
      </x:c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9" t="n">
        <x:v>2784.480588</x:v>
      </x:c>
      <x:c r="B37" s="39" t="n">
        <x:v>1.5494858566280458</x:v>
      </x:c>
      <x:c r="C37" s="39" t="n">
        <x:v>1.0729062510784741</x:v>
      </x:c>
      <x:c r="D37" s="39" t="n">
        <x:v>0.216</x:v>
      </x:c>
      <x:c r="E37" s="35" t="str">
        <x:v>survey-031</x:v>
      </x:c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9" t="n">
        <x:v>2860.2800807999997</x:v>
      </x:c>
      <x:c r="B38" s="39" t="n">
        <x:v>1.5457333987362578</x:v>
      </x:c>
      <x:c r="C38" s="39" t="n">
        <x:v>1.0801319141817307</x:v>
      </x:c>
      <x:c r="D38" s="39" t="n">
        <x:v>0.216</x:v>
      </x:c>
      <x:c r="E38" s="35" t="str">
        <x:v>survey-032</x:v>
      </x:c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9" t="n">
        <x:v>2936.688564</x:v>
      </x:c>
      <x:c r="B39" s="39" t="n">
        <x:v>1.5422776468173092</x:v>
      </x:c>
      <x:c r="C39" s="39" t="n">
        <x:v>1.0852806354751139</x:v>
      </x:c>
      <x:c r="D39" s="39" t="n">
        <x:v>0.216</x:v>
      </x:c>
      <x:c r="E39" s="35" t="str">
        <x:v>survey-033</x:v>
      </x:c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9" t="n">
        <x:v>3013.6334952</x:v>
      </x:c>
      <x:c r="B40" s="39" t="n">
        <x:v>1.5397818259869571</x:v>
      </x:c>
      <x:c r="C40" s="39" t="n">
        <x:v>1.0889981867818619</x:v>
      </x:c>
      <x:c r="D40" s="39" t="n">
        <x:v>0.216</x:v>
      </x:c>
      <x:c r="E40" s="35" t="str">
        <x:v>survey-034</x:v>
      </x:c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9" t="n">
        <x:v>3090.7698408</x:v>
      </x:c>
      <x:c r="B41" s="39" t="n">
        <x:v>1.5388917080684403</x:v>
      </x:c>
      <x:c r="C41" s="39" t="n">
        <x:v>1.0919303399252125</x:v>
      </x:c>
      <x:c r="D41" s="39" t="n">
        <x:v>0.216</x:v>
      </x:c>
      <x:c r="E41" s="35" t="str">
        <x:v>survey-035</x:v>
      </x:c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9" t="n">
        <x:v>3167.6544215999998</x:v>
      </x:c>
      <x:c r="B42" s="39" t="n">
        <x:v>1.5399738122046764</x:v>
      </x:c>
      <x:c r="C42" s="39" t="n">
        <x:v>1.0947403200209231</x:v>
      </x:c>
      <x:c r="D42" s="39" t="n">
        <x:v>0.216</x:v>
      </x:c>
      <x:c r="E42" s="35" t="str">
        <x:v>survey-036</x:v>
      </x:c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9" t="n">
        <x:v>3243.9723792</x:v>
      </x:c>
      <x:c r="B43" s="39" t="n">
        <x:v>1.5430455916881864</x:v>
      </x:c>
      <x:c r="C43" s="39" t="n">
        <x:v>1.0980389923071925</x:v>
      </x:c>
      <x:c r="D43" s="39" t="n">
        <x:v>0.216</x:v>
      </x:c>
      <x:c r="E43" s="35" t="str">
        <x:v>survey-037</x:v>
      </x:c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9" t="n">
        <x:v>3319.6978056000003</x:v>
      </x:c>
      <x:c r="B44" s="39" t="n">
        <x:v>1.5477405273760516</x:v>
      </x:c>
      <x:c r="C44" s="39" t="n">
        <x:v>1.1023848621446584</x:v>
      </x:c>
      <x:c r="D44" s="39" t="n">
        <x:v>0.216</x:v>
      </x:c>
      <x:c r="E44" s="35" t="str">
        <x:v>survey-038</x:v>
      </x:c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9" t="n">
        <x:v>3395.1068496000003</x:v>
      </x:c>
      <x:c r="B45" s="39" t="n">
        <x:v>1.5533430342749535</x:v>
      </x:c>
      <x:c r="C45" s="39" t="n">
        <x:v>1.1082840750163994</x:v>
      </x:c>
      <x:c r="D45" s="39" t="n">
        <x:v>0.216</x:v>
      </x:c>
      <x:c r="E45" s="35" t="str">
        <x:v>survey-039</x:v>
      </x:c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9" t="n">
        <x:v>3470.6368992</x:v>
      </x:c>
      <x:c r="B46" s="39" t="n">
        <x:v>1.5589455411738549</x:v>
      </x:c>
      <x:c r="C46" s="39" t="n">
        <x:v>1.1161031500653338</x:v>
      </x:c>
      <x:c r="D46" s="39" t="n">
        <x:v>0.216</x:v>
      </x:c>
      <x:c r="E46" s="35" t="str">
        <x:v>survey-040</x:v>
      </x:c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9" t="n">
        <x:v>3546.6631632</x:v>
      </x:c>
      <x:c r="B47" s="39" t="n">
        <x:v>1.5636404768617198</x:v>
      </x:c>
      <x:c r="C47" s="39" t="n">
        <x:v>1.1261387932643012</x:v>
      </x:c>
      <x:c r="D47" s="39" t="n">
        <x:v>0.216</x:v>
      </x:c>
      <x:c r="E47" s="35" t="str">
        <x:v>survey-041</x:v>
      </x:c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9" t="n">
        <x:v>3623.3087808</x:v>
      </x:c>
      <x:c r="B48" s="39" t="n">
        <x:v>1.5667122563452298</x:v>
      </x:c>
      <x:c r="C48" s="39" t="n">
        <x:v>1.1385480842459808</x:v>
      </x:c>
      <x:c r="D48" s="39" t="n">
        <x:v>0.216</x:v>
      </x:c>
      <x:c r="E48" s="35" t="str">
        <x:v>survey-042</x:v>
      </x:c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9" t="n">
        <x:v>3700.3805088</x:v>
      </x:c>
      <x:c r="B49" s="39" t="n">
        <x:v>1.5677943604814664</x:v>
      </x:c>
      <x:c r="C49" s="39" t="n">
        <x:v>1.1534182894729725</x:v>
      </x:c>
      <x:c r="D49" s="39" t="n">
        <x:v>0.216</x:v>
      </x:c>
      <x:c r="E49" s="35" t="str">
        <x:v>survey-043</x:v>
      </x:c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9" t="n">
        <x:v>3777.4683912</x:v>
      </x:c>
      <x:c r="B50" s="39" t="n">
        <x:v>1.5669042425629494</x:v>
      </x:c>
      <x:c r="C50" s="39" t="n">
        <x:v>1.1706621424826766</x:v>
      </x:c>
      <x:c r="D50" s="39" t="n">
        <x:v>0.216</x:v>
      </x:c>
      <x:c r="E50" s="35" t="str">
        <x:v>survey-044</x:v>
      </x:c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9" t="n">
        <x:v>3854.1542424</x:v>
      </x:c>
      <x:c r="B51" s="39" t="n">
        <x:v>1.5644084217325975</x:v>
      </x:c>
      <x:c r="C51" s="39" t="n">
        <x:v>1.190174923519973</x:v>
      </x:c>
      <x:c r="D51" s="39" t="n">
        <x:v>0.216</x:v>
      </x:c>
      <x:c r="E51" s="35" t="str">
        <x:v>survey-045</x:v>
      </x:c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9" t="n">
        <x:v>3930.2240928</x:v>
      </x:c>
      <x:c r="B52" s="39" t="n">
        <x:v>1.5609526698136487</x:v>
      </x:c>
      <x:c r="C52" s="39" t="n">
        <x:v>1.2117297397821032</x:v>
      </x:c>
      <x:c r="D52" s="39" t="n">
        <x:v>0.216</x:v>
      </x:c>
      <x:c r="E52" s="35" t="str">
        <x:v>survey-046</x:v>
      </x:c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9" t="n">
        <x:v>4005.779136</x:v>
      </x:c>
      <x:c r="B53" s="39" t="n">
        <x:v>1.5572002119218606</x:v>
      </x:c>
      <x:c r="C53" s="39" t="n">
        <x:v>1.2350473385887475</x:v>
      </x:c>
      <x:c r="D53" s="39" t="n">
        <x:v>0.216</x:v>
      </x:c>
      <x:c r="E53" s="35" t="str">
        <x:v>survey-047</x:v>
      </x:c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9" t="n">
        <x:v>4081.1817792</x:v>
      </x:c>
      <x:c r="B54" s="39" t="n">
        <x:v>1.553727006710392</x:v>
      </x:c>
      <x:c r="C54" s="39" t="n">
        <x:v>1.2598135606745469</x:v>
      </x:c>
      <x:c r="D54" s="39" t="n">
        <x:v>0.216</x:v>
      </x:c>
      <x:c r="E54" s="35" t="str">
        <x:v>survey-048</x:v>
      </x:c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9" t="n">
        <x:v>4156.8727632</x:v>
      </x:c>
      <x:c r="B55" s="39" t="n">
        <x:v>1.5508821200296412</x:v>
      </x:c>
      <x:c r="C55" s="39" t="n">
        <x:v>1.285679340189103</x:v>
      </x:c>
      <x:c r="D55" s="39" t="n">
        <x:v>0.216</x:v>
      </x:c>
      <x:c r="E55" s="35" t="str">
        <x:v>survey-049</x:v>
      </x:c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9" t="n">
        <x:v>4233.1456104</x:v>
      </x:c>
      <x:c r="B56" s="39" t="n">
        <x:v>1.548752818342208</x:v>
      </x:c>
      <x:c r="C56" s="39" t="n">
        <x:v>1.3123479711595762</x:v>
      </x:c>
      <x:c r="D56" s="39" t="n">
        <x:v>0.216</x:v>
      </x:c>
      <x:c r="E56" s="35" t="str">
        <x:v>survey-050</x:v>
      </x:c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9" t="n">
        <x:v>4309.9975776</x:v>
      </x:c>
      <x:c r="B57" s="39" t="n">
        <x:v>1.5472343818929732</x:v>
      </x:c>
      <x:c r="C57" s="39" t="n">
        <x:v>1.339487841028088</x:v>
      </x:c>
      <x:c r="D57" s="39" t="n">
        <x:v>0.216</x:v>
      </x:c>
      <x:c r="E57" s="35" t="str">
        <x:v>survey-051</x:v>
      </x:c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9" t="n">
        <x:v>4387.1302656</x:v>
      </x:c>
      <x:c r="B58" s="39" t="n">
        <x:v>1.546117371171697</x:v>
      </x:c>
      <x:c r="C58" s="39" t="n">
        <x:v>1.366837150406839</x:v>
      </x:c>
      <x:c r="D58" s="39" t="n">
        <x:v>0.216</x:v>
      </x:c>
      <x:c r="E58" s="35" t="str">
        <x:v>survey-052</x:v>
      </x:c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9" t="n">
        <x:v>4464.1026288</x:v>
      </x:c>
      <x:c r="B59" s="39" t="n">
        <x:v>1.54517489337562</x:v>
      </x:c>
      <x:c r="C59" s="39" t="n">
        <x:v>1.3941690064930703</x:v>
      </x:c>
      <x:c r="D59" s="39" t="n">
        <x:v>0.216</x:v>
      </x:c>
      <x:c r="E59" s="35" t="str">
        <x:v>survey-053</x:v>
      </x:c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9" t="n">
        <x:v>4540.555308</x:v>
      </x:c>
      <x:c r="B60" s="39" t="n">
        <x:v>1.5443545886271826</x:v>
      </x:c>
      <x:c r="C60" s="39" t="n">
        <x:v>1.421343782946622</x:v>
      </x:c>
      <x:c r="D60" s="39" t="n">
        <x:v>0.216</x:v>
      </x:c>
      <x:c r="E60" s="35" t="str">
        <x:v>survey-054</x:v>
      </x:c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9" t="n">
        <x:v>4616.3935104</x:v>
      </x:c>
      <x:c r="B61" s="39" t="n">
        <x:v>1.5437786299740244</x:v>
      </x:c>
      <x:c r="C61" s="39" t="n">
        <x:v>1.4482567600123746</x:v>
      </x:c>
      <x:c r="D61" s="39" t="n">
        <x:v>0.216</x:v>
      </x:c>
      <x:c r="E61" s="35" t="str">
        <x:v>survey-055</x:v>
      </x:c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9" t="n">
        <x:v>4691.8360824</x:v>
      </x:c>
      <x:c r="B62" s="39" t="n">
        <x:v>1.5437262700964647</x:v>
      </x:c>
      <x:c r="C62" s="39" t="n">
        <x:v>1.4748730311052882</x:v>
      </x:c>
      <x:c r="D62" s="39" t="n">
        <x:v>0.216</x:v>
      </x:c>
      <x:c r="E62" s="35" t="str">
        <x:v>survey-056</x:v>
      </x:c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9" t="n">
        <x:v>4767.3027336000005</x:v>
      </x:c>
      <x:c r="B63" s="39" t="n">
        <x:v>1.5445814814299417</x:v>
      </x:c>
      <x:c r="C63" s="39" t="n">
        <x:v>1.5012100495178828</x:v>
      </x:c>
      <x:c r="D63" s="39" t="n">
        <x:v>0.216</x:v>
      </x:c>
      <x:c r="E63" s="35" t="str">
        <x:v>survey-057</x:v>
      </x:c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9" t="n">
        <x:v>4843.2018960000005</x:v>
      </x:c>
      <x:c r="B64" s="39" t="n">
        <x:v>1.5465886100697352</x:v>
      </x:c>
      <x:c r="C64" s="39" t="n">
        <x:v>1.5273376284202378</x:v>
      </x:c>
      <x:c r="D64" s="39" t="n">
        <x:v>0.216</x:v>
      </x:c>
      <x:c r="E64" s="35" t="str">
        <x:v>survey-058</x:v>
      </x:c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9" t="n">
        <x:v>4919.7207168</x:v>
      </x:c>
      <x:c r="B65" s="39" t="n">
        <x:v>1.5498523757709646</x:v>
      </x:c>
      <x:c r="C65" s="39" t="n">
        <x:v>1.5533430342749535</x:v>
      </x:c>
      <x:c r="D65" s="39" t="n">
        <x:v>0.216</x:v>
      </x:c>
      <x:c r="E65" s="35" t="str">
        <x:v>survey-059</x:v>
      </x:c>
      <x:c r="F65" s="35"/>
      <x:c r="G65" s="35"/>
      <x:c r="H65" s="35"/>
      <x:c r="I65" s="35"/>
      <x:c r="J65" s="35"/>
      <x:c r="K65" s="35"/>
      <x:c r="L65" s="35"/>
      <x:c r="M65" s="35"/>
      <x:c r="N65" s="35"/>
    </x:row>
  </x:sheetData>
  <x:mergeCells>
    <x:mergeCell ref="A1:N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Results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Hydraulics result and nozzle recommendation</x:v>
      </x:c>
      <x:c r="B3" s="38" t="str">
        <x:v>Hydraulics result and nozzle recommendation</x:v>
      </x:c>
      <x:c r="C3" s="38" t="str">
        <x:v>Hydraulics result and nozzle recommendation</x:v>
      </x:c>
      <x:c r="D3" s="38" t="str">
        <x:v>Hydraulics result and nozzle recommendation</x:v>
      </x:c>
      <x:c r="E3" s="38" t="str">
        <x:v>Hydraulics result and nozzle recommendation</x:v>
      </x:c>
      <x:c r="F3" s="38" t="str">
        <x:v>Hydraulics result and nozzle recommendation</x:v>
      </x:c>
      <x:c r="G3" s="38" t="str">
        <x:v>Hydraulics result and nozzle recommendation</x:v>
      </x:c>
      <x:c r="H3" s="38" t="str">
        <x:v>Hydraulics result and nozzle recommendation</x:v>
      </x:c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Metric</x:v>
      </x:c>
      <x:c r="B5" s="36" t="str">
        <x:v>SI result</x:v>
      </x:c>
      <x:c r="C5" s="36" t="str">
        <x:v>Display unit</x:v>
      </x:c>
      <x:c r="D5" s="36" t="str">
        <x:v>Limit / target</x:v>
      </x:c>
      <x:c r="E5" s="36" t="str">
        <x:v>Status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Total flow-path loss</x:v>
      </x:c>
      <x:c r="B6" s="37" t="n">
        <x:f>Calc!H13*'Unit Map'!$I$15</x:f>
        <x:v>37348677.17358199</x:v>
      </x:c>
      <x:c r="C6" s="37" t="str">
        <x:f>'Unit Map'!$H$15</x:f>
        <x:v>Pa</x:v>
      </x:c>
      <x:c r="D6" s="37" t="n">
        <x:f>Inputs!B6*'Unit Map'!$I$15</x:f>
        <x:v>35000000</x:v>
      </x:c>
      <x:c r="E6" s="37" t="str">
        <x:f>IF(B6&lt;=D6,"PASS","REVIEW")</x:f>
        <x:v>REVIEW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7" t="str">
        <x:v>Recommended nozzle diameter</x:v>
      </x:c>
      <x:c r="B7" s="37" t="n">
        <x:f>INDEX(Calc!L6:L10,MATCH(MIN(Calc!Q6:Q10),Calc!Q6:Q10,0))*'Unit Map'!$I$9</x:f>
        <x:v>0.012</x:v>
      </x:c>
      <x:c r="C7" s="37" t="str">
        <x:f>'Unit Map'!$H$9</x:f>
        <x:v>m</x:v>
      </x:c>
      <x:c r="D7" s="37" t="str">
        <x:v>User-select</x:v>
      </x:c>
      <x:c r="E7" s="37" t="str">
        <x:f>IF(B7&gt;0,"PASS","REVIEW")</x:f>
        <x:v>PASS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7" t="str">
        <x:v>Recommended surface pressure</x:v>
      </x:c>
      <x:c r="B8" s="37" t="n">
        <x:f>INDEX(Calc!P6:P10,MATCH(MIN(Calc!Q6:Q10),Calc!Q6:Q10,0))*'Unit Map'!$I$15</x:f>
        <x:v>48529200.612792104</x:v>
      </x:c>
      <x:c r="C8" s="37" t="str">
        <x:f>'Unit Map'!$H$15</x:f>
        <x:v>Pa</x:v>
      </x:c>
      <x:c r="D8" s="37" t="n">
        <x:f>Inputs!B6*'Unit Map'!$I$15</x:f>
        <x:v>35000000</x:v>
      </x:c>
      <x:c r="E8" s="37" t="str">
        <x:f>IF(B8&lt;=D8,"PASS","REVIEW")</x:f>
        <x:v>REVIEW</x:v>
      </x:c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7" t="str">
        <x:v>Nozzle velocity</x:v>
      </x:c>
      <x:c r="B9" s="37" t="n">
        <x:f>INDEX(Calc!N6:N10,MATCH(MIN(Calc!Q6:Q10),Calc!Q6:Q10,0))*'Unit Map'!$I$19</x:f>
        <x:v>129.68180548228509</x:v>
      </x:c>
      <x:c r="C9" s="37" t="str">
        <x:f>'Unit Map'!$H$19</x:f>
        <x:v>m/s</x:v>
      </x:c>
      <x:c r="D9" s="37" t="str">
        <x:v>Screening only</x:v>
      </x:c>
      <x:c r="E9" s="37" t="str">
        <x:v>INFO</x:v>
      </x:c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7" t="str">
        <x:v>ECD screening input</x:v>
      </x:c>
      <x:c r="B10" s="37" t="n">
        <x:f>Inputs!B14*'Unit Map'!$I$13</x:f>
        <x:v>1.4000000000000001</x:v>
      </x:c>
      <x:c r="C10" s="37" t="str">
        <x:f>'Unit Map'!$H$13</x:f>
        <x:v>g/cm3</x:v>
      </x:c>
      <x:c r="D10" s="37" t="str">
        <x:v>Screening only</x:v>
      </x:c>
      <x:c r="E10" s="37" t="str">
        <x:v>INFO</x:v>
      </x:c>
      <x:c r="F10" s="35"/>
      <x:c r="G10" s="35"/>
      <x:c r="H10" s="35"/>
      <x:c r="I10" s="35"/>
      <x:c r="J10" s="35"/>
      <x:c r="K10" s="35"/>
      <x:c r="L10" s="35"/>
      <x:c r="M10" s="35"/>
      <x:c r="N10" s="35"/>
    </x:row>
  </x:sheetData>
  <x:mergeCells>
    <x:mergeCell ref="A1:N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Graphs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5" t="str">
        <x:v>Tube section</x:v>
      </x:c>
      <x:c r="B3" s="35" t="str">
        <x:f>"Cumulative pressure "&amp;'Unit Map'!$H$15</x:f>
        <x:v>Cumulative pressure Pa</x:v>
      </x:c>
      <x:c r="C3" s="35" t="str">
        <x:f>"Pressure loss "&amp;'Unit Map'!$H$15</x:f>
        <x:v>Pressure loss Pa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5" t="str">
        <x:f>Calc!A6</x:f>
        <x:v>Standpipe</x:v>
      </x:c>
      <x:c r="B4" s="35" t="n">
        <x:f>Calc!H6*'Unit Map'!$I$15</x:f>
        <x:v>161235.82522716955</x:v>
      </x:c>
      <x:c r="C4" s="35" t="n">
        <x:f>Calc!G6*'Unit Map'!$I$15</x:f>
        <x:v>161235.82522716955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5" t="str">
        <x:f>Calc!A7</x:f>
        <x:v>Rotary hose</x:v>
      </x:c>
      <x:c r="B5" s="35" t="n">
        <x:f>Calc!H7*'Unit Map'!$I$15</x:f>
        <x:v>496704.72010871704</x:v>
      </x:c>
      <x:c r="C5" s="35" t="n">
        <x:f>Calc!G7*'Unit Map'!$I$15</x:f>
        <x:v>335468.8948815475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5" t="str">
        <x:f>Calc!A8</x:f>
        <x:v>Top drive / swivel</x:v>
      </x:c>
      <x:c r="B6" s="35" t="n">
        <x:f>Calc!H8*'Unit Map'!$I$15</x:f>
        <x:v>645802.0067227382</x:v>
      </x:c>
      <x:c r="C6" s="35" t="n">
        <x:f>Calc!G8*'Unit Map'!$I$15</x:f>
        <x:v>149097.28661402114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 t="str">
        <x:f>Calc!A9</x:f>
        <x:v>Drill pipe</x:v>
      </x:c>
      <x:c r="B7" s="35" t="n">
        <x:f>Calc!H9*'Unit Map'!$I$15</x:f>
        <x:v>7828240.92045743</x:v>
      </x:c>
      <x:c r="C7" s="35" t="n">
        <x:f>Calc!G9*'Unit Map'!$I$15</x:f>
        <x:v>7182438.913734692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 t="str">
        <x:f>Calc!A10</x:f>
        <x:v>HWDP</x:v>
      </x:c>
      <x:c r="B8" s="35" t="n">
        <x:f>Calc!H10*'Unit Map'!$I$15</x:f>
        <x:v>13419389.168483224</x:v>
      </x:c>
      <x:c r="C8" s="35" t="n">
        <x:f>Calc!G10*'Unit Map'!$I$15</x:f>
        <x:v>5591148.248025793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 t="str">
        <x:f>Calc!A11</x:f>
        <x:v>Drill collar</x:v>
      </x:c>
      <x:c r="B9" s="35" t="n">
        <x:f>Calc!H11*'Unit Map'!$I$15</x:f>
        <x:v>18826763.741887935</x:v>
      </x:c>
      <x:c r="C9" s="35" t="n">
        <x:f>Calc!G11*'Unit Map'!$I$15</x:f>
        <x:v>5407374.573404709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 t="str">
        <x:f>Calc!A12</x:f>
        <x:v>Motor / MWD</x:v>
      </x:c>
      <x:c r="B10" s="35" t="n">
        <x:f>Calc!H12*'Unit Map'!$I$15</x:f>
        <x:v>22481102.0965071</x:v>
      </x:c>
      <x:c r="C10" s="35" t="n">
        <x:f>Calc!G12*'Unit Map'!$I$15</x:f>
        <x:v>3654338.354619165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 t="str">
        <x:f>Calc!A13</x:f>
        <x:v>Open-hole annulus</x:v>
      </x:c>
      <x:c r="B11" s="35" t="n">
        <x:f>Calc!H13*'Unit Map'!$I$15</x:f>
        <x:v>37348677.17358199</x:v>
      </x:c>
      <x:c r="C11" s="35" t="n">
        <x:f>Calc!G13*'Unit Map'!$I$15</x:f>
        <x:v>14867575.077074891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 t="str">
        <x:v>Section</x:v>
      </x:c>
      <x:c r="B14" s="35" t="str">
        <x:f>"Base "&amp;'Unit Map'!$H$15</x:f>
        <x:v>Base Pa</x:v>
      </x:c>
      <x:c r="C14" s="35" t="str">
        <x:f>"Increment "&amp;'Unit Map'!$H$15</x:f>
        <x:v>Increment Pa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 t="str">
        <x:f>Calc!A6</x:f>
        <x:v>Standpipe</x:v>
      </x:c>
      <x:c r="B15" s="35" t="n">
        <x:f>0</x:f>
        <x:v>0</x:v>
      </x:c>
      <x:c r="C15" s="35" t="n">
        <x:f>Calc!G6*'Unit Map'!$I$15</x:f>
        <x:v>161235.82522716955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 t="str">
        <x:f>Calc!A7</x:f>
        <x:v>Rotary hose</x:v>
      </x:c>
      <x:c r="B16" s="35" t="n">
        <x:f>Calc!H6*'Unit Map'!$I$15</x:f>
        <x:v>161235.82522716955</x:v>
      </x:c>
      <x:c r="C16" s="35" t="n">
        <x:f>Calc!G7*'Unit Map'!$I$15</x:f>
        <x:v>335468.8948815475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 t="str">
        <x:f>Calc!A8</x:f>
        <x:v>Top drive / swivel</x:v>
      </x:c>
      <x:c r="B17" s="35" t="n">
        <x:f>Calc!H7*'Unit Map'!$I$15</x:f>
        <x:v>496704.72010871704</x:v>
      </x:c>
      <x:c r="C17" s="35" t="n">
        <x:f>Calc!G8*'Unit Map'!$I$15</x:f>
        <x:v>149097.28661402114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 t="str">
        <x:f>Calc!A9</x:f>
        <x:v>Drill pipe</x:v>
      </x:c>
      <x:c r="B18" s="35" t="n">
        <x:f>Calc!H8*'Unit Map'!$I$15</x:f>
        <x:v>645802.0067227382</x:v>
      </x:c>
      <x:c r="C18" s="35" t="n">
        <x:f>Calc!G9*'Unit Map'!$I$15</x:f>
        <x:v>7182438.913734692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 t="str">
        <x:f>Calc!A10</x:f>
        <x:v>HWDP</x:v>
      </x:c>
      <x:c r="B19" s="35" t="n">
        <x:f>Calc!H9*'Unit Map'!$I$15</x:f>
        <x:v>7828240.92045743</x:v>
      </x:c>
      <x:c r="C19" s="35" t="n">
        <x:f>Calc!G10*'Unit Map'!$I$15</x:f>
        <x:v>5591148.248025793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 t="str">
        <x:f>Calc!A11</x:f>
        <x:v>Drill collar</x:v>
      </x:c>
      <x:c r="B20" s="35" t="n">
        <x:f>Calc!H10*'Unit Map'!$I$15</x:f>
        <x:v>13419389.168483224</x:v>
      </x:c>
      <x:c r="C20" s="35" t="n">
        <x:f>Calc!G11*'Unit Map'!$I$15</x:f>
        <x:v>5407374.573404709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 t="str">
        <x:f>Calc!A12</x:f>
        <x:v>Motor / MWD</x:v>
      </x:c>
      <x:c r="B21" s="35" t="n">
        <x:f>Calc!H11*'Unit Map'!$I$15</x:f>
        <x:v>18826763.741887935</x:v>
      </x:c>
      <x:c r="C21" s="35" t="n">
        <x:f>Calc!G12*'Unit Map'!$I$15</x:f>
        <x:v>3654338.354619165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 t="str">
        <x:f>Calc!A13</x:f>
        <x:v>Open-hole annulus</x:v>
      </x:c>
      <x:c r="B22" s="35" t="n">
        <x:f>Calc!H12*'Unit Map'!$I$15</x:f>
        <x:v>22481102.0965071</x:v>
      </x:c>
      <x:c r="C22" s="35" t="n">
        <x:f>Calc!G13*'Unit Map'!$I$15</x:f>
        <x:v>14867575.077074891</x:v>
      </x:c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 t="str">
        <x:f>"Nozzle diameter "&amp;'Unit Map'!$H$9</x:f>
        <x:v>Nozzle diameter m</x:v>
      </x:c>
      <x:c r="F40" s="35" t="str">
        <x:f>"Total SPP "&amp;'Unit Map'!$H$15</x:f>
        <x:v>Total SPP Pa</x:v>
      </x:c>
      <x:c r="G40" s="35" t="str">
        <x:f>"Surface limit "&amp;'Unit Map'!$H$15</x:f>
        <x:v>Surface limit Pa</x:v>
      </x:c>
      <x:c r="H40" s="35" t="str">
        <x:v>Candidate score</x:v>
      </x:c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 t="n">
        <x:f>Calc!L6*'Unit Map'!$I$9</x:f>
        <x:v>0.008</x:v>
      </x:c>
      <x:c r="F41" s="35" t="n">
        <x:f>Calc!P6*'Unit Map'!$I$15</x:f>
        <x:v>93950077.08458325</x:v>
      </x:c>
      <x:c r="G41" s="35" t="n">
        <x:f>Inputs!$B$6*'Unit Map'!$I$15</x:f>
        <x:v>35000000</x:v>
      </x:c>
      <x:c r="H41" s="35" t="n">
        <x:f>Calc!Q6</x:f>
        <x:v>1.6842879167023785</x:v>
      </x:c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 t="n">
        <x:f>Calc!L7*'Unit Map'!$I$9</x:f>
        <x:v>0.009</x:v>
      </x:c>
      <x:c r="F42" s="35" t="n">
        <x:f>Calc!P7*'Unit Map'!$I$15</x:f>
        <x:v>72684652.48762882</x:v>
      </x:c>
      <x:c r="G42" s="35" t="n">
        <x:f>Inputs!$B$6*'Unit Map'!$I$15</x:f>
        <x:v>35000000</x:v>
      </x:c>
      <x:c r="H42" s="35" t="n">
        <x:f>Calc!Q7</x:f>
        <x:v>1.0767043567893948</x:v>
      </x:c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 t="n">
        <x:f>Calc!L8*'Unit Map'!$I$9</x:f>
        <x:v>0.01</x:v>
      </x:c>
      <x:c r="F43" s="35" t="n">
        <x:f>Calc!P8*'Unit Map'!$I$15</x:f>
        <x:v>60532610.5771281</x:v>
      </x:c>
      <x:c r="G43" s="35" t="n">
        <x:f>Inputs!$B$6*'Unit Map'!$I$15</x:f>
        <x:v>35000000</x:v>
      </x:c>
      <x:c r="H43" s="35" t="n">
        <x:f>Calc!Q8</x:f>
        <x:v>0.7295031593465171</x:v>
      </x:c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 t="n">
        <x:f>Calc!L9*'Unit Map'!$I$9</x:f>
        <x:v>0.011</x:v>
      </x:c>
      <x:c r="F44" s="35" t="n">
        <x:f>Calc!P9*'Unit Map'!$I$15</x:f>
        <x:v>53183615.63649171</x:v>
      </x:c>
      <x:c r="G44" s="35" t="n">
        <x:f>Inputs!$B$6*'Unit Map'!$I$15</x:f>
        <x:v>35000000</x:v>
      </x:c>
      <x:c r="H44" s="35" t="n">
        <x:f>Calc!Q9</x:f>
        <x:v>0.5195318753283346</x:v>
      </x:c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 t="n">
        <x:f>Calc!L10*'Unit Map'!$I$9</x:f>
        <x:v>0.012</x:v>
      </x:c>
      <x:c r="F45" s="35" t="n">
        <x:f>Calc!P10*'Unit Map'!$I$15</x:f>
        <x:v>48529200.612792104</x:v>
      </x:c>
      <x:c r="G45" s="35" t="n">
        <x:f>Inputs!$B$6*'Unit Map'!$I$15</x:f>
        <x:v>35000000</x:v>
      </x:c>
      <x:c r="H45" s="35" t="n">
        <x:f>Calc!Q10</x:f>
        <x:v>0.3865485889369173</x:v>
      </x:c>
      <x:c r="I45" s="35"/>
      <x:c r="J45" s="35"/>
      <x:c r="K45" s="35"/>
      <x:c r="L45" s="35"/>
      <x:c r="M45" s="35"/>
      <x:c r="N45" s="35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Id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Fluid Model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Fluid and rheology model — SI canonical inputs</x:v>
      </x:c>
      <x:c r="B3" s="38" t="str">
        <x:v>Fluid and rheology model — SI canonical inputs</x:v>
      </x:c>
      <x:c r="C3" s="38" t="str">
        <x:v>Fluid and rheology model — SI canonical inputs</x:v>
      </x:c>
      <x:c r="D3" s="38" t="str">
        <x:v>Fluid and rheology model — SI canonical inputs</x:v>
      </x:c>
      <x:c r="E3" s="38" t="str">
        <x:v>Fluid and rheology model — SI canonical inputs</x:v>
      </x:c>
      <x:c r="F3" s="38" t="str">
        <x:v>Fluid and rheology model — SI canonical inputs</x:v>
      </x:c>
      <x:c r="G3" s="38" t="str">
        <x:v>Fluid and rheology model — SI canonical inputs</x:v>
      </x:c>
      <x:c r="H3" s="38" t="str">
        <x:v>Fluid and rheology model — SI canonical inputs</x:v>
      </x:c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Property</x:v>
      </x:c>
      <x:c r="B5" s="36" t="str">
        <x:v>Value</x:v>
      </x:c>
      <x:c r="C5" s="36" t="str">
        <x:v>SI unit</x:v>
      </x:c>
      <x:c r="D5" s="36" t="str">
        <x:v>Role</x:v>
      </x:c>
      <x:c r="E5" s="35"/>
      <x:c r="F5" s="36" t="str">
        <x:v>Control</x:v>
      </x:c>
      <x:c r="G5" s="36" t="str">
        <x:v>Value</x:v>
      </x:c>
      <x:c r="H5" s="36" t="str">
        <x:v>Purpose</x:v>
      </x:c>
      <x:c r="I5" s="35"/>
      <x:c r="J5" s="35"/>
      <x:c r="K5" s="35"/>
      <x:c r="L5" s="35"/>
      <x:c r="M5" s="35"/>
      <x:c r="N5" s="35"/>
    </x:row>
    <x:row r="6">
      <x:c r="A6" s="35" t="str">
        <x:v>Mud density</x:v>
      </x:c>
      <x:c r="B6" s="39" t="n">
        <x:f>Inputs!B9</x:f>
        <x:v>1200</x:v>
      </x:c>
      <x:c r="C6" s="35" t="str">
        <x:v>kg/m3</x:v>
      </x:c>
      <x:c r="D6" s="35" t="str">
        <x:v>Hydrostatic and inertia</x:v>
      </x:c>
      <x:c r="E6" s="35"/>
      <x:c r="F6" s="35" t="str">
        <x:v>Constitutive model</x:v>
      </x:c>
      <x:c r="G6" s="39" t="str">
        <x:v>power_law</x:v>
      </x:c>
      <x:c r="H6" s="35" t="str">
        <x:v>Rust contract enum</x:v>
      </x:c>
      <x:c r="I6" s="35"/>
      <x:c r="J6" s="35"/>
      <x:c r="K6" s="35"/>
      <x:c r="L6" s="35"/>
      <x:c r="M6" s="35"/>
      <x:c r="N6" s="35"/>
    </x:row>
    <x:row r="7">
      <x:c r="A7" s="35" t="str">
        <x:v>Dynamic viscosity</x:v>
      </x:c>
      <x:c r="B7" s="39" t="n">
        <x:f>Inputs!B10</x:f>
        <x:v>0.035</x:v>
      </x:c>
      <x:c r="C7" s="35" t="str">
        <x:v>Pa*s</x:v>
      </x:c>
      <x:c r="D7" s="35" t="str">
        <x:v>Newtonian model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 t="str">
        <x:v>Flow behaviour index</x:v>
      </x:c>
      <x:c r="B8" s="39" t="n">
        <x:v>0.72</x:v>
      </x:c>
      <x:c r="C8" s="35" t="str">
        <x:v>1</x:v>
      </x:c>
      <x:c r="D8" s="35" t="str">
        <x:v>Yield-power-law exponent</x:v>
      </x:c>
      <x:c r="E8" s="35"/>
      <x:c r="F8" s="36" t="str">
        <x:v>Model</x:v>
      </x:c>
      <x:c r="G8" s="36" t="str">
        <x:v>Required SI parameters</x:v>
      </x:c>
      <x:c r="H8" s="36" t="str">
        <x:v>Use</x:v>
      </x:c>
      <x:c r="I8" s="35"/>
      <x:c r="J8" s="35"/>
      <x:c r="K8" s="35"/>
      <x:c r="L8" s="35"/>
      <x:c r="M8" s="35"/>
      <x:c r="N8" s="35"/>
    </x:row>
    <x:row r="9">
      <x:c r="A9" s="35" t="str">
        <x:v>Consistency coefficient</x:v>
      </x:c>
      <x:c r="B9" s="39" t="n">
        <x:v>0.32</x:v>
      </x:c>
      <x:c r="C9" s="35" t="str">
        <x:v>Pa*s^n</x:v>
      </x:c>
      <x:c r="D9" s="35" t="str">
        <x:v>Yield-power-law consistency</x:v>
      </x:c>
      <x:c r="E9" s="35"/>
      <x:c r="F9" s="35" t="str">
        <x:v>newtonian</x:v>
      </x:c>
      <x:c r="G9" s="35" t="str">
        <x:v>dynamic viscosity</x:v>
      </x:c>
      <x:c r="H9" s="35" t="str">
        <x:v>Linear viscous fluid</x:v>
      </x:c>
      <x:c r="I9" s="35"/>
      <x:c r="J9" s="35"/>
      <x:c r="K9" s="35"/>
      <x:c r="L9" s="35"/>
      <x:c r="M9" s="35"/>
      <x:c r="N9" s="35"/>
    </x:row>
    <x:row r="10">
      <x:c r="A10" s="35" t="str">
        <x:v>Yield stress</x:v>
      </x:c>
      <x:c r="B10" s="39" t="n">
        <x:v>8.5</x:v>
      </x:c>
      <x:c r="C10" s="35" t="str">
        <x:v>Pa</x:v>
      </x:c>
      <x:c r="D10" s="35" t="str">
        <x:v>Bingham and Herschel-Bulkley</x:v>
      </x:c>
      <x:c r="E10" s="35"/>
      <x:c r="F10" s="35" t="str">
        <x:v>power_law</x:v>
      </x:c>
      <x:c r="G10" s="35" t="str">
        <x:v>consistency, flow index, high-shear index</x:v>
      </x:c>
      <x:c r="H10" s="35" t="str">
        <x:v>Shear-dependent fluid</x:v>
      </x:c>
      <x:c r="I10" s="35"/>
      <x:c r="J10" s="35"/>
      <x:c r="K10" s="35"/>
      <x:c r="L10" s="35"/>
      <x:c r="M10" s="35"/>
      <x:c r="N10" s="35"/>
    </x:row>
    <x:row r="11">
      <x:c r="A11" s="35" t="str">
        <x:v>Plastic viscosity</x:v>
      </x:c>
      <x:c r="B11" s="39" t="n">
        <x:v>0.024</x:v>
      </x:c>
      <x:c r="C11" s="35" t="str">
        <x:v>Pa*s</x:v>
      </x:c>
      <x:c r="D11" s="35" t="str">
        <x:v>Bingham model</x:v>
      </x:c>
      <x:c r="E11" s="35"/>
      <x:c r="F11" s="35" t="str">
        <x:v>bingham</x:v>
      </x:c>
      <x:c r="G11" s="35" t="str">
        <x:v>yield stress, plastic viscosity</x:v>
      </x:c>
      <x:c r="H11" s="35" t="str">
        <x:v>Linear post-yield fluid</x:v>
      </x:c>
      <x:c r="I11" s="35"/>
      <x:c r="J11" s="35"/>
      <x:c r="K11" s="35"/>
      <x:c r="L11" s="35"/>
      <x:c r="M11" s="35"/>
      <x:c r="N11" s="35"/>
    </x:row>
    <x:row r="12">
      <x:c r="A12" s="35" t="str">
        <x:v>Surface temperature</x:v>
      </x:c>
      <x:c r="B12" s="39" t="n">
        <x:v>333.15</x:v>
      </x:c>
      <x:c r="C12" s="35" t="str">
        <x:v>K</x:v>
      </x:c>
      <x:c r="D12" s="35" t="str">
        <x:v>Hydraulics reference condition</x:v>
      </x:c>
      <x:c r="E12" s="35"/>
      <x:c r="F12" s="35" t="str">
        <x:v>herschel_bulkley</x:v>
      </x:c>
      <x:c r="G12" s="35" t="str">
        <x:v>yield stress, consistency, flow index, high-shear index</x:v>
      </x:c>
      <x:c r="H12" s="35" t="str">
        <x:v>General yield-power-law fluid</x:v>
      </x:c>
      <x:c r="I12" s="35"/>
      <x:c r="J12" s="35"/>
      <x:c r="K12" s="35"/>
      <x:c r="L12" s="35"/>
      <x:c r="M12" s="35"/>
      <x:c r="N12" s="35"/>
    </x:row>
    <x:row r="13">
      <x:c r="A13" s="35" t="str">
        <x:v>Compressibility</x:v>
      </x:c>
      <x:c r="B13" s="39" t="n">
        <x:v>4.5e-10</x:v>
      </x:c>
      <x:c r="C13" s="35" t="str">
        <x:v>1/Pa</x:v>
      </x:c>
      <x:c r="D13" s="35" t="str">
        <x:v>Reserved thermal coupling input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 t="str">
        <x:v>High-shear flow index</x:v>
      </x:c>
      <x:c r="B14" s="39" t="n">
        <x:v>0.72</x:v>
      </x:c>
      <x:c r="C14" s="35" t="str">
        <x:v>1</x:v>
      </x:c>
      <x:c r="D14" s="35" t="str">
        <x:v>Independent turbulent fit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</x:sheetData>
  <x:mergeCells>
    <x:mergeCell ref="A1:N1"/>
    <x:mergeCell ref="A3:H3"/>
  </x:mergeCells>
  <x:dataValidations count="1">
    <x:dataValidation type="list" sqref="G6">
      <x:formula1>"newtonian,power_law,bingham,herschel_bulkley"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Flow Path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Complete hydraulic flow path and regime results</x:v>
      </x:c>
      <x:c r="B3" s="38" t="str">
        <x:v>Complete hydraulic flow path and regime results</x:v>
      </x:c>
      <x:c r="C3" s="38" t="str">
        <x:v>Complete hydraulic flow path and regime results</x:v>
      </x:c>
      <x:c r="D3" s="38" t="str">
        <x:v>Complete hydraulic flow path and regime results</x:v>
      </x:c>
      <x:c r="E3" s="38" t="str">
        <x:v>Complete hydraulic flow path and regime results</x:v>
      </x:c>
      <x:c r="F3" s="38" t="str">
        <x:v>Complete hydraulic flow path and regime results</x:v>
      </x:c>
      <x:c r="G3" s="38" t="str">
        <x:v>Complete hydraulic flow path and regime results</x:v>
      </x:c>
      <x:c r="H3" s="38" t="str">
        <x:v>Complete hydraulic flow path and regime results</x:v>
      </x:c>
      <x:c r="I3" s="38" t="str">
        <x:v>Complete hydraulic flow path and regime results</x:v>
      </x:c>
      <x:c r="J3" s="38" t="str">
        <x:v>Complete hydraulic flow path and regime results</x:v>
      </x:c>
      <x:c r="K3" s="38" t="str">
        <x:v>Complete hydraulic flow path and regime results</x:v>
      </x:c>
      <x:c r="L3" s="38" t="str">
        <x:v>Complete hydraulic flow path and regime results</x:v>
      </x:c>
      <x:c r="M3" s="38" t="str">
        <x:v>Complete hydraulic flow path and regime results</x:v>
      </x:c>
      <x:c r="N3" s="38" t="str">
        <x:v>Complete hydraulic flow path and regime results</x:v>
      </x:c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Record ID</x:v>
      </x:c>
      <x:c r="B5" s="36" t="str">
        <x:v>Section</x:v>
      </x:c>
      <x:c r="C5" s="36" t="str">
        <x:v>Type</x:v>
      </x:c>
      <x:c r="D5" s="36" t="str">
        <x:f>"Length "&amp;'Unit Map'!$H$8</x:f>
        <x:v>Length m</x:v>
      </x:c>
      <x:c r="E5" s="36" t="str">
        <x:f>"Hydraulic dia. "&amp;'Unit Map'!$H$9</x:f>
        <x:v>Hydraulic dia. m</x:v>
      </x:c>
      <x:c r="F5" s="36" t="str">
        <x:f>"Area "&amp;'Unit Map'!$H$10</x:f>
        <x:v>Area m2</x:v>
      </x:c>
      <x:c r="G5" s="36" t="str">
        <x:f>"Velocity "&amp;'Unit Map'!$H$19</x:f>
        <x:v>Velocity m/s</x:v>
      </x:c>
      <x:c r="H5" s="36" t="str">
        <x:v>Reynolds</x:v>
      </x:c>
      <x:c r="I5" s="36" t="str">
        <x:v>Regime</x:v>
      </x:c>
      <x:c r="J5" s="36" t="str">
        <x:v>Friction factor</x:v>
      </x:c>
      <x:c r="K5" s="36" t="str">
        <x:f>"Loss "&amp;'Unit Map'!$H$15</x:f>
        <x:v>Loss Pa</x:v>
      </x:c>
      <x:c r="L5" s="36" t="str">
        <x:f>"Cumulative "&amp;'Unit Map'!$H$15</x:f>
        <x:v>Cumulative Pa</x:v>
      </x:c>
      <x:c r="M5" s="36" t="str">
        <x:v>% limit</x:v>
      </x:c>
      <x:c r="N5" s="36" t="str">
        <x:v>Status</x:v>
      </x:c>
    </x:row>
    <x:row r="6">
      <x:c r="A6" s="37" t="str">
        <x:f>'Inputs'!I6</x:f>
        <x:v>flow-standpipe</x:v>
      </x:c>
      <x:c r="B6" s="37" t="str">
        <x:f>'Calc'!A6</x:f>
        <x:v>Standpipe</x:v>
      </x:c>
      <x:c r="C6" s="37" t="str">
        <x:f>'Inputs'!G6</x:f>
        <x:v>Pipe</x:v>
      </x:c>
      <x:c r="D6" s="37" t="n">
        <x:f>'Calc'!B6*'Unit Map'!$I$8</x:f>
        <x:v>35</x:v>
      </x:c>
      <x:c r="E6" s="37" t="n">
        <x:f>'Calc'!C6*'Unit Map'!$I$9</x:f>
        <x:v>0.102</x:v>
      </x:c>
      <x:c r="F6" s="37" t="n">
        <x:f>IF(C6="Annulus",PI()/4*(('Inputs'!F6+'Calc'!C6)^2-'Inputs'!F6^2),PI()/4*'Calc'!C6^2)*'Unit Map'!$I$10</x:f>
        <x:v>0.00817128249198705</x:v>
      </x:c>
      <x:c r="G6" s="37" t="n">
        <x:f>'Calc'!D6*'Unit Map'!$I$19</x:f>
        <x:v>5.384711646323257</x:v>
      </x:c>
      <x:c r="H6" s="37" t="n">
        <x:f>'Calc'!E6</x:f>
        <x:v>18831.10587171333</x:v>
      </x:c>
      <x:c r="I6" s="37" t="str">
        <x:f>IF(H6&lt;2100,"LAMINAR",IF(H6&lt;4000,"TRANSITION","TURBULENT"))</x:f>
        <x:v>TURBULENT</x:v>
      </x:c>
      <x:c r="J6" s="37" t="n">
        <x:f>'Calc'!F6</x:f>
        <x:v>0.0270095605723651</x:v>
      </x:c>
      <x:c r="K6" s="37" t="n">
        <x:f>'Calc'!G6*'Unit Map'!$I$15</x:f>
        <x:v>161235.82522716955</x:v>
      </x:c>
      <x:c r="L6" s="37" t="n">
        <x:f>'Calc'!H6*'Unit Map'!$I$15</x:f>
        <x:v>161235.82522716955</x:v>
      </x:c>
      <x:c r="M6" s="37" t="n">
        <x:f>'Calc'!I6</x:f>
        <x:v>0.004606737863633416</x:v>
      </x:c>
      <x:c r="N6" s="37" t="str">
        <x:f>'Calc'!J6</x:f>
        <x:v>PASS</x:v>
      </x:c>
    </x:row>
    <x:row r="7">
      <x:c r="A7" s="37" t="str">
        <x:f>'Inputs'!I7</x:f>
        <x:v>flow-rotary-hose</x:v>
      </x:c>
      <x:c r="B7" s="37" t="str">
        <x:f>'Calc'!A7</x:f>
        <x:v>Rotary hose</x:v>
      </x:c>
      <x:c r="C7" s="37" t="str">
        <x:f>'Inputs'!G7</x:f>
        <x:v>Pipe</x:v>
      </x:c>
      <x:c r="D7" s="37" t="n">
        <x:f>'Calc'!B7*'Unit Map'!$I$8</x:f>
        <x:v>18</x:v>
      </x:c>
      <x:c r="E7" s="37" t="n">
        <x:f>'Calc'!C7*'Unit Map'!$I$9</x:f>
        <x:v>0.076</x:v>
      </x:c>
      <x:c r="F7" s="37" t="n">
        <x:f>IF(C7="Annulus",PI()/4*(('Inputs'!F7+'Calc'!C7)^2-'Inputs'!F7^2),PI()/4*'Calc'!C7^2)*'Unit Map'!$I$10</x:f>
        <x:v>0.004536459791783661</x:v>
      </x:c>
      <x:c r="G7" s="37" t="n">
        <x:f>'Calc'!D7*'Unit Map'!$I$19</x:f>
        <x:v>9.699193207816338</x:v>
      </x:c>
      <x:c r="H7" s="37" t="n">
        <x:f>'Calc'!E7</x:f>
        <x:v>25273.32630151</x:v>
      </x:c>
      <x:c r="I7" s="37" t="str">
        <x:f>IF(H7&lt;2100,"LAMINAR",IF(H7&lt;4000,"TRANSITION","TURBULENT"))</x:f>
        <x:v>TURBULENT</x:v>
      </x:c>
      <x:c r="J7" s="37" t="n">
        <x:f>'Calc'!F7</x:f>
        <x:v>0.02509405662751508</x:v>
      </x:c>
      <x:c r="K7" s="37" t="n">
        <x:f>'Calc'!G7*'Unit Map'!$I$15</x:f>
        <x:v>335468.8948815475</x:v>
      </x:c>
      <x:c r="L7" s="37" t="n">
        <x:f>'Calc'!H7*'Unit Map'!$I$15</x:f>
        <x:v>496704.72010871704</x:v>
      </x:c>
      <x:c r="M7" s="37" t="n">
        <x:f>'Calc'!I7</x:f>
        <x:v>0.01419156343167763</x:v>
      </x:c>
      <x:c r="N7" s="37" t="str">
        <x:f>'Calc'!J7</x:f>
        <x:v>PASS</x:v>
      </x:c>
    </x:row>
    <x:row r="8">
      <x:c r="A8" s="37" t="str">
        <x:f>'Inputs'!I8</x:f>
        <x:v>flow-top-drive</x:v>
      </x:c>
      <x:c r="B8" s="37" t="str">
        <x:f>'Calc'!A8</x:f>
        <x:v>Top drive / swivel</x:v>
      </x:c>
      <x:c r="C8" s="37" t="str">
        <x:f>'Inputs'!G8</x:f>
        <x:v>Pipe</x:v>
      </x:c>
      <x:c r="D8" s="37" t="n">
        <x:f>'Calc'!B8*'Unit Map'!$I$8</x:f>
        <x:v>8</x:v>
      </x:c>
      <x:c r="E8" s="37" t="n">
        <x:f>'Calc'!C8*'Unit Map'!$I$9</x:f>
        <x:v>0.076</x:v>
      </x:c>
      <x:c r="F8" s="37" t="n">
        <x:f>IF(C8="Annulus",PI()/4*(('Inputs'!F8+'Calc'!C8)^2-'Inputs'!F8^2),PI()/4*'Calc'!C8^2)*'Unit Map'!$I$10</x:f>
        <x:v>0.004536459791783661</x:v>
      </x:c>
      <x:c r="G8" s="37" t="n">
        <x:f>'Calc'!D8*'Unit Map'!$I$19</x:f>
        <x:v>9.699193207816338</x:v>
      </x:c>
      <x:c r="H8" s="37" t="n">
        <x:f>'Calc'!E8</x:f>
        <x:v>25273.32630151</x:v>
      </x:c>
      <x:c r="I8" s="37" t="str">
        <x:f>IF(H8&lt;2100,"LAMINAR",IF(H8&lt;4000,"TRANSITION","TURBULENT"))</x:f>
        <x:v>TURBULENT</x:v>
      </x:c>
      <x:c r="J8" s="37" t="n">
        <x:f>'Calc'!F8</x:f>
        <x:v>0.02509405662751508</x:v>
      </x:c>
      <x:c r="K8" s="37" t="n">
        <x:f>'Calc'!G8*'Unit Map'!$I$15</x:f>
        <x:v>149097.28661402114</x:v>
      </x:c>
      <x:c r="L8" s="37" t="n">
        <x:f>'Calc'!H8*'Unit Map'!$I$15</x:f>
        <x:v>645802.0067227382</x:v>
      </x:c>
      <x:c r="M8" s="37" t="n">
        <x:f>'Calc'!I8</x:f>
        <x:v>0.018451485906363946</x:v>
      </x:c>
      <x:c r="N8" s="37" t="str">
        <x:f>'Calc'!J8</x:f>
        <x:v>PASS</x:v>
      </x:c>
    </x:row>
    <x:row r="9">
      <x:c r="A9" s="37" t="str">
        <x:f>'Inputs'!I9</x:f>
        <x:v>flow-drill-pipe</x:v>
      </x:c>
      <x:c r="B9" s="37" t="str">
        <x:f>'Calc'!A9</x:f>
        <x:v>Drill pipe</x:v>
      </x:c>
      <x:c r="C9" s="37" t="str">
        <x:f>'Inputs'!G9</x:f>
        <x:v>Pipe</x:v>
      </x:c>
      <x:c r="D9" s="37" t="n">
        <x:f>'Calc'!B9*'Unit Map'!$I$8</x:f>
        <x:v>2100</x:v>
      </x:c>
      <x:c r="E9" s="37" t="n">
        <x:f>'Calc'!C9*'Unit Map'!$I$9</x:f>
        <x:v>0.1086</x:v>
      </x:c>
      <x:c r="F9" s="37" t="n">
        <x:f>IF(C9="Annulus",PI()/4*(('Inputs'!F9+'Calc'!C9)^2-'Inputs'!F9^2),PI()/4*'Calc'!C9^2)*'Unit Map'!$I$10</x:f>
        <x:v>0.00926295452318297</x:v>
      </x:c>
      <x:c r="G9" s="37" t="n">
        <x:f>'Calc'!D9*'Unit Map'!$I$19</x:f>
        <x:v>4.750104287987</x:v>
      </x:c>
      <x:c r="H9" s="37" t="n">
        <x:f>'Calc'!E9</x:f>
        <x:v>17686.674023156163</x:v>
      </x:c>
      <x:c r="I9" s="37" t="str">
        <x:f>IF(H9&lt;2100,"LAMINAR",IF(H9&lt;4000,"TRANSITION","TURBULENT"))</x:f>
        <x:v>TURBULENT</x:v>
      </x:c>
      <x:c r="J9" s="37" t="n">
        <x:f>'Calc'!F9</x:f>
        <x:v>0.027436261398201402</x:v>
      </x:c>
      <x:c r="K9" s="37" t="n">
        <x:f>'Calc'!G9*'Unit Map'!$I$15</x:f>
        <x:v>7182438.913734692</x:v>
      </x:c>
      <x:c r="L9" s="37" t="n">
        <x:f>'Calc'!H9*'Unit Map'!$I$15</x:f>
        <x:v>7828240.92045743</x:v>
      </x:c>
      <x:c r="M9" s="37" t="n">
        <x:f>'Calc'!I9</x:f>
        <x:v>0.2236640262987837</x:v>
      </x:c>
      <x:c r="N9" s="37" t="str">
        <x:f>'Calc'!J9</x:f>
        <x:v>PASS</x:v>
      </x:c>
    </x:row>
    <x:row r="10">
      <x:c r="A10" s="37" t="str">
        <x:f>'Inputs'!I10</x:f>
        <x:v>flow-hwdp</x:v>
      </x:c>
      <x:c r="B10" s="37" t="str">
        <x:f>'Calc'!A10</x:f>
        <x:v>HWDP</x:v>
      </x:c>
      <x:c r="C10" s="37" t="str">
        <x:f>'Inputs'!G10</x:f>
        <x:v>Pipe</x:v>
      </x:c>
      <x:c r="D10" s="37" t="n">
        <x:f>'Calc'!B10*'Unit Map'!$I$8</x:f>
        <x:v>300</x:v>
      </x:c>
      <x:c r="E10" s="37" t="n">
        <x:f>'Calc'!C10*'Unit Map'!$I$9</x:f>
        <x:v>0.076</x:v>
      </x:c>
      <x:c r="F10" s="37" t="n">
        <x:f>IF(C10="Annulus",PI()/4*(('Inputs'!F10+'Calc'!C10)^2-'Inputs'!F10^2),PI()/4*'Calc'!C10^2)*'Unit Map'!$I$10</x:f>
        <x:v>0.004536459791783661</x:v>
      </x:c>
      <x:c r="G10" s="37" t="n">
        <x:f>'Calc'!D10*'Unit Map'!$I$19</x:f>
        <x:v>9.699193207816338</x:v>
      </x:c>
      <x:c r="H10" s="37" t="n">
        <x:f>'Calc'!E10</x:f>
        <x:v>25273.32630151</x:v>
      </x:c>
      <x:c r="I10" s="37" t="str">
        <x:f>IF(H10&lt;2100,"LAMINAR",IF(H10&lt;4000,"TRANSITION","TURBULENT"))</x:f>
        <x:v>TURBULENT</x:v>
      </x:c>
      <x:c r="J10" s="37" t="n">
        <x:f>'Calc'!F10</x:f>
        <x:v>0.02509405662751508</x:v>
      </x:c>
      <x:c r="K10" s="37" t="n">
        <x:f>'Calc'!G10*'Unit Map'!$I$15</x:f>
        <x:v>5591148.248025793</x:v>
      </x:c>
      <x:c r="L10" s="37" t="n">
        <x:f>'Calc'!H10*'Unit Map'!$I$15</x:f>
        <x:v>13419389.168483224</x:v>
      </x:c>
      <x:c r="M10" s="37" t="n">
        <x:f>'Calc'!I10</x:f>
        <x:v>0.3834111190995207</x:v>
      </x:c>
      <x:c r="N10" s="37" t="str">
        <x:f>'Calc'!J10</x:f>
        <x:v>PASS</x:v>
      </x:c>
    </x:row>
    <x:row r="11">
      <x:c r="A11" s="37" t="str">
        <x:f>'Inputs'!I11</x:f>
        <x:v>flow-drill-collar</x:v>
      </x:c>
      <x:c r="B11" s="37" t="str">
        <x:f>'Calc'!A11</x:f>
        <x:v>Drill collar</x:v>
      </x:c>
      <x:c r="C11" s="37" t="str">
        <x:f>'Inputs'!G11</x:f>
        <x:v>Pipe</x:v>
      </x:c>
      <x:c r="D11" s="37" t="n">
        <x:f>'Calc'!B11*'Unit Map'!$I$8</x:f>
        <x:v>210</x:v>
      </x:c>
      <x:c r="E11" s="37" t="n">
        <x:f>'Calc'!C11*'Unit Map'!$I$9</x:f>
        <x:v>0.071</x:v>
      </x:c>
      <x:c r="F11" s="37" t="n">
        <x:f>IF(C11="Annulus",PI()/4*(('Inputs'!F11+'Calc'!C11)^2-'Inputs'!F11^2),PI()/4*'Calc'!C11^2)*'Unit Map'!$I$10</x:f>
        <x:v>0.003959192141686536</x:v>
      </x:c>
      <x:c r="G11" s="37" t="n">
        <x:f>'Calc'!D11*'Unit Map'!$I$19</x:f>
        <x:v>11.113378291677677</x:v>
      </x:c>
      <x:c r="H11" s="37" t="n">
        <x:f>'Calc'!E11</x:f>
        <x:v>27053.13801288394</x:v>
      </x:c>
      <x:c r="I11" s="37" t="str">
        <x:f>IF(H11&lt;2100,"LAMINAR",IF(H11&lt;4000,"TRANSITION","TURBULENT"))</x:f>
        <x:v>TURBULENT</x:v>
      </x:c>
      <x:c r="J11" s="37" t="n">
        <x:f>'Calc'!F11</x:f>
        <x:v>0.024670733548640484</x:v>
      </x:c>
      <x:c r="K11" s="37" t="n">
        <x:f>'Calc'!G11*'Unit Map'!$I$15</x:f>
        <x:v>5407374.573404709</x:v>
      </x:c>
      <x:c r="L11" s="37" t="n">
        <x:f>'Calc'!H11*'Unit Map'!$I$15</x:f>
        <x:v>18826763.741887935</x:v>
      </x:c>
      <x:c r="M11" s="37" t="n">
        <x:f>'Calc'!I11</x:f>
        <x:v>0.5379075354825125</x:v>
      </x:c>
      <x:c r="N11" s="37" t="str">
        <x:f>'Calc'!J11</x:f>
        <x:v>PASS</x:v>
      </x:c>
    </x:row>
    <x:row r="12">
      <x:c r="A12" s="37" t="str">
        <x:f>'Inputs'!I12</x:f>
        <x:v>flow-motor-mwd</x:v>
      </x:c>
      <x:c r="B12" s="37" t="str">
        <x:f>'Calc'!A12</x:f>
        <x:v>Motor / MWD</x:v>
      </x:c>
      <x:c r="C12" s="37" t="str">
        <x:f>'Inputs'!G12</x:f>
        <x:v>Pipe</x:v>
      </x:c>
      <x:c r="D12" s="37" t="n">
        <x:f>'Calc'!B12*'Unit Map'!$I$8</x:f>
        <x:v>50</x:v>
      </x:c>
      <x:c r="E12" s="37" t="n">
        <x:f>'Calc'!C12*'Unit Map'!$I$9</x:f>
        <x:v>0.057</x:v>
      </x:c>
      <x:c r="F12" s="37" t="n">
        <x:f>IF(C12="Annulus",PI()/4*(('Inputs'!F12+'Calc'!C12)^2-'Inputs'!F12^2),PI()/4*'Calc'!C12^2)*'Unit Map'!$I$10</x:f>
        <x:v>0.0025517586328783095</x:v>
      </x:c>
      <x:c r="G12" s="37" t="n">
        <x:f>'Calc'!D12*'Unit Map'!$I$19</x:f>
        <x:v>17.24301014722904</x:v>
      </x:c>
      <x:c r="H12" s="37" t="n">
        <x:f>'Calc'!E12</x:f>
        <x:v>33697.768402013324</x:v>
      </x:c>
      <x:c r="I12" s="37" t="str">
        <x:f>IF(H12&lt;2100,"LAMINAR",IF(H12&lt;4000,"TRANSITION","TURBULENT"))</x:f>
        <x:v>TURBULENT</x:v>
      </x:c>
      <x:c r="J12" s="37" t="n">
        <x:f>'Calc'!F12</x:f>
        <x:v>0.023352651032148782</x:v>
      </x:c>
      <x:c r="K12" s="37" t="n">
        <x:f>'Calc'!G12*'Unit Map'!$I$15</x:f>
        <x:v>3654338.354619165</x:v>
      </x:c>
      <x:c r="L12" s="37" t="n">
        <x:f>'Calc'!H12*'Unit Map'!$I$15</x:f>
        <x:v>22481102.0965071</x:v>
      </x:c>
      <x:c r="M12" s="37" t="n">
        <x:f>'Calc'!I12</x:f>
        <x:v>0.6423172027573457</x:v>
      </x:c>
      <x:c r="N12" s="37" t="str">
        <x:f>'Calc'!J12</x:f>
        <x:v>PASS</x:v>
      </x:c>
    </x:row>
    <x:row r="13">
      <x:c r="A13" s="37" t="str">
        <x:f>'Inputs'!I13</x:f>
        <x:v>flow-open-hole-annulus</x:v>
      </x:c>
      <x:c r="B13" s="37" t="str">
        <x:f>'Calc'!A13</x:f>
        <x:v>Open-hole annulus</x:v>
      </x:c>
      <x:c r="C13" s="37" t="str">
        <x:f>'Inputs'!G13</x:f>
        <x:v>Annulus</x:v>
      </x:c>
      <x:c r="D13" s="37" t="n">
        <x:f>'Calc'!B13*'Unit Map'!$I$8</x:f>
        <x:v>2660</x:v>
      </x:c>
      <x:c r="E13" s="37" t="n">
        <x:f>'Calc'!C13*'Unit Map'!$I$9</x:f>
        <x:v>0.044</x:v>
      </x:c>
      <x:c r="F13" s="37" t="n">
        <x:f>IF(C13="Annulus",PI()/4*(('Inputs'!F13+'Calc'!C13)^2-'Inputs'!F13^2),PI()/4*'Calc'!C13^2)*'Unit Map'!$I$10</x:f>
        <x:v>0.013339202407142266</x:v>
      </x:c>
      <x:c r="G13" s="37" t="n">
        <x:f>'Calc'!D13*'Unit Map'!$I$19</x:f>
        <x:v>3.2985480433553427</x:v>
      </x:c>
      <x:c r="H13" s="37" t="n">
        <x:f>'Calc'!E13</x:f>
        <x:v>4976.095333976058</x:v>
      </x:c>
      <x:c r="I13" s="37" t="str">
        <x:f>IF(H13&lt;2100,"LAMINAR",IF(H13&lt;4000,"TRANSITION","TURBULENT"))</x:f>
        <x:v>TURBULENT</x:v>
      </x:c>
      <x:c r="J13" s="37" t="n">
        <x:f>'Calc'!F13</x:f>
        <x:v>0.03767162044536347</x:v>
      </x:c>
      <x:c r="K13" s="37" t="n">
        <x:f>'Calc'!G13*'Unit Map'!$I$15</x:f>
        <x:v>14867575.077074891</x:v>
      </x:c>
      <x:c r="L13" s="37" t="n">
        <x:f>'Calc'!H13*'Unit Map'!$I$15</x:f>
        <x:v>37348677.17358199</x:v>
      </x:c>
      <x:c r="M13" s="37" t="n">
        <x:f>'Calc'!I13</x:f>
        <x:v>1.0671050621023426</x:v>
      </x:c>
      <x:c r="N13" s="37" t="str">
        <x:f>'Calc'!J13</x:f>
        <x:v>REVIEW</x:v>
      </x:c>
    </x:row>
  </x:sheetData>
  <x:mergeCells>
    <x:mergeCell ref="A1:N1"/>
    <x:mergeCell ref="A3:N3"/>
  </x:mergeCells>
  <x:conditionalFormatting sqref="M6:M13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Nozzle Cases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Bit nozzle candidate envelope and optimisation</x:v>
      </x:c>
      <x:c r="B3" s="38" t="str">
        <x:v>Bit nozzle candidate envelope and optimisation</x:v>
      </x:c>
      <x:c r="C3" s="38" t="str">
        <x:v>Bit nozzle candidate envelope and optimisation</x:v>
      </x:c>
      <x:c r="D3" s="38" t="str">
        <x:v>Bit nozzle candidate envelope and optimisation</x:v>
      </x:c>
      <x:c r="E3" s="38" t="str">
        <x:v>Bit nozzle candidate envelope and optimisation</x:v>
      </x:c>
      <x:c r="F3" s="38" t="str">
        <x:v>Bit nozzle candidate envelope and optimisation</x:v>
      </x:c>
      <x:c r="G3" s="38" t="str">
        <x:v>Bit nozzle candidate envelope and optimisation</x:v>
      </x:c>
      <x:c r="H3" s="38" t="str">
        <x:v>Bit nozzle candidate envelope and optimisation</x:v>
      </x:c>
      <x:c r="I3" s="38" t="str">
        <x:v>Bit nozzle candidate envelope and optimisation</x:v>
      </x:c>
      <x:c r="J3" s="38" t="str">
        <x:v>Bit nozzle candidate envelope and optimisation</x:v>
      </x:c>
      <x:c r="K3" s="38" t="str">
        <x:v>Bit nozzle candidate envelope and optimisation</x:v>
      </x:c>
      <x:c r="L3" s="38" t="str">
        <x:v>Bit nozzle candidate envelope and optimisation</x:v>
      </x:c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Record ID</x:v>
      </x:c>
      <x:c r="B5" s="36" t="str">
        <x:f>"Diameter "&amp;'Unit Map'!$H$9</x:f>
        <x:v>Diameter m</x:v>
      </x:c>
      <x:c r="C5" s="36" t="str">
        <x:f>"Count"</x:f>
        <x:v>Count</x:v>
      </x:c>
      <x:c r="D5" s="36" t="str">
        <x:f>"Total area "&amp;'Unit Map'!$H$10</x:f>
        <x:v>Total area m2</x:v>
      </x:c>
      <x:c r="E5" s="36" t="str">
        <x:f>"Velocity "&amp;'Unit Map'!$H$19</x:f>
        <x:v>Velocity m/s</x:v>
      </x:c>
      <x:c r="F5" s="36" t="str">
        <x:f>"Bit drop "&amp;'Unit Map'!$H$15</x:f>
        <x:v>Bit drop Pa</x:v>
      </x:c>
      <x:c r="G5" s="36" t="str">
        <x:f>"Flow-path loss "&amp;'Unit Map'!$H$15</x:f>
        <x:v>Flow-path loss Pa</x:v>
      </x:c>
      <x:c r="H5" s="36" t="str">
        <x:f>"SPP "&amp;'Unit Map'!$H$15</x:f>
        <x:v>SPP Pa</x:v>
      </x:c>
      <x:c r="I5" s="36" t="str">
        <x:f>"Pressure margin "&amp;'Unit Map'!$H$15</x:f>
        <x:v>Pressure margin Pa</x:v>
      </x:c>
      <x:c r="J5" s="36" t="str">
        <x:v>Hydraulic power W</x:v>
      </x:c>
      <x:c r="K5" s="36" t="str">
        <x:v>HSI W/m2</x:v>
      </x:c>
      <x:c r="L5" s="36" t="str">
        <x:v>Rank</x:v>
      </x:c>
      <x:c r="M5" s="35"/>
      <x:c r="N5" s="35"/>
    </x:row>
    <x:row r="6">
      <x:c r="A6" s="37" t="str">
        <x:f>'Calc'!R6</x:f>
        <x:v>nozzle-008</x:v>
      </x:c>
      <x:c r="B6" s="37" t="n">
        <x:f>'Calc'!L6*'Unit Map'!$I$9</x:f>
        <x:v>0.008</x:v>
      </x:c>
      <x:c r="C6" s="37" t="n">
        <x:f>'Inputs'!$B$11</x:f>
        <x:v>3</x:v>
      </x:c>
      <x:c r="D6" s="37" t="n">
        <x:f>'Calc'!M6*'Unit Map'!$I$10</x:f>
        <x:v>0.00015079644737231007</x:v>
      </x:c>
      <x:c r="E6" s="37" t="n">
        <x:f>'Calc'!N6*'Unit Map'!$I$19</x:f>
        <x:v>291.78406233514147</x:v>
      </x:c>
      <x:c r="F6" s="37" t="n">
        <x:f>'Calc'!O6*'Unit Map'!$I$15</x:f>
        <x:v>56601399.91100126</x:v>
      </x:c>
      <x:c r="G6" s="37" t="n">
        <x:f>'Calc'!$H$13*'Unit Map'!$I$15</x:f>
        <x:v>37348677.17358199</x:v>
      </x:c>
      <x:c r="H6" s="37" t="n">
        <x:f>'Calc'!P6*'Unit Map'!$I$15</x:f>
        <x:v>93950077.08458325</x:v>
      </x:c>
      <x:c r="I6" s="37" t="n">
        <x:f>('Inputs'!$B$6-'Calc'!P6)*'Unit Map'!$I$15</x:f>
        <x:v>-58950077.08458325</x:v>
      </x:c>
      <x:c r="J6" s="37" t="n">
        <x:f>'Calc'!O6*'Inputs'!$B$8</x:f>
        <x:v>2490461.596084055</x:v>
      </x:c>
      <x:c r="K6" s="37" t="n">
        <x:f>J6/(PI()/4*0.216^2)</x:f>
        <x:v>67964553.08595827</x:v>
      </x:c>
      <x:c r="L6" s="37" t="n">
        <x:f>RANK(ABS(I6),$I$6:$I$10,1)</x:f>
        <x:v>0</x:v>
      </x:c>
      <x:c r="M6" s="35"/>
      <x:c r="N6" s="35"/>
    </x:row>
    <x:row r="7">
      <x:c r="A7" s="37" t="str">
        <x:f>'Calc'!R7</x:f>
        <x:v>nozzle-009</x:v>
      </x:c>
      <x:c r="B7" s="37" t="n">
        <x:f>'Calc'!L7*'Unit Map'!$I$9</x:f>
        <x:v>0.009</x:v>
      </x:c>
      <x:c r="C7" s="37" t="n">
        <x:f>'Inputs'!$B$11</x:f>
        <x:v>3</x:v>
      </x:c>
      <x:c r="D7" s="37" t="n">
        <x:f>'Calc'!M7*'Unit Map'!$I$10</x:f>
        <x:v>0.0001908517537055799</x:v>
      </x:c>
      <x:c r="E7" s="37" t="n">
        <x:f>'Calc'!N7*'Unit Map'!$I$19</x:f>
        <x:v>230.54543196850685</x:v>
      </x:c>
      <x:c r="F7" s="37" t="n">
        <x:f>'Calc'!O7*'Unit Map'!$I$15</x:f>
        <x:v>35335975.31404682</x:v>
      </x:c>
      <x:c r="G7" s="37" t="n">
        <x:f>'Calc'!$H$13*'Unit Map'!$I$15</x:f>
        <x:v>37348677.17358199</x:v>
      </x:c>
      <x:c r="H7" s="37" t="n">
        <x:f>'Calc'!P7*'Unit Map'!$I$15</x:f>
        <x:v>72684652.48762882</x:v>
      </x:c>
      <x:c r="I7" s="37" t="n">
        <x:f>('Inputs'!$B$6-'Calc'!P7)*'Unit Map'!$I$15</x:f>
        <x:v>-37684652.48762882</x:v>
      </x:c>
      <x:c r="J7" s="37" t="n">
        <x:f>'Calc'!O7*'Inputs'!$B$8</x:f>
        <x:v>1554782.9138180602</x:v>
      </x:c>
      <x:c r="K7" s="37" t="n">
        <x:f>J7/(PI()/4*0.216^2)</x:f>
        <x:v>42429935.90002822</x:v>
      </x:c>
      <x:c r="L7" s="37" t="n">
        <x:f>RANK(ABS(I7),$I$6:$I$10,1)</x:f>
        <x:v>0</x:v>
      </x:c>
      <x:c r="M7" s="35"/>
      <x:c r="N7" s="35"/>
    </x:row>
    <x:row r="8">
      <x:c r="A8" s="37" t="str">
        <x:f>'Calc'!R8</x:f>
        <x:v>nozzle-010</x:v>
      </x:c>
      <x:c r="B8" s="37" t="n">
        <x:f>'Calc'!L8*'Unit Map'!$I$9</x:f>
        <x:v>0.01</x:v>
      </x:c>
      <x:c r="C8" s="37" t="n">
        <x:f>'Inputs'!$B$11</x:f>
        <x:v>3</x:v>
      </x:c>
      <x:c r="D8" s="37" t="n">
        <x:f>'Calc'!M8*'Unit Map'!$I$10</x:f>
        <x:v>0.00023561944901923448</x:v>
      </x:c>
      <x:c r="E8" s="37" t="n">
        <x:f>'Calc'!N8*'Unit Map'!$I$19</x:f>
        <x:v>186.74179989449053</x:v>
      </x:c>
      <x:c r="F8" s="37" t="n">
        <x:f>'Calc'!O8*'Unit Map'!$I$15</x:f>
        <x:v>23183933.40354611</x:v>
      </x:c>
      <x:c r="G8" s="37" t="n">
        <x:f>'Calc'!$H$13*'Unit Map'!$I$15</x:f>
        <x:v>37348677.17358199</x:v>
      </x:c>
      <x:c r="H8" s="37" t="n">
        <x:f>'Calc'!P8*'Unit Map'!$I$15</x:f>
        <x:v>60532610.5771281</x:v>
      </x:c>
      <x:c r="I8" s="37" t="n">
        <x:f>('Inputs'!$B$6-'Calc'!P8)*'Unit Map'!$I$15</x:f>
        <x:v>-25532610.577128097</x:v>
      </x:c>
      <x:c r="J8" s="37" t="n">
        <x:f>'Calc'!O8*'Inputs'!$B$8</x:f>
        <x:v>1020093.0697560288</x:v>
      </x:c>
      <x:c r="K8" s="37" t="n">
        <x:f>J8/(PI()/4*0.216^2)</x:f>
        <x:v>27838280.944008507</x:v>
      </x:c>
      <x:c r="L8" s="37" t="n">
        <x:f>RANK(ABS(I8),$I$6:$I$10,1)</x:f>
        <x:v>0</x:v>
      </x:c>
      <x:c r="M8" s="35"/>
      <x:c r="N8" s="35"/>
    </x:row>
    <x:row r="9">
      <x:c r="A9" s="37" t="str">
        <x:f>'Calc'!R9</x:f>
        <x:v>nozzle-011</x:v>
      </x:c>
      <x:c r="B9" s="37" t="n">
        <x:f>'Calc'!L9*'Unit Map'!$I$9</x:f>
        <x:v>0.011</x:v>
      </x:c>
      <x:c r="C9" s="37" t="n">
        <x:f>'Inputs'!$B$11</x:f>
        <x:v>3</x:v>
      </x:c>
      <x:c r="D9" s="37" t="n">
        <x:f>'Calc'!M9*'Unit Map'!$I$10</x:f>
        <x:v>0.00028509953331327367</x:v>
      </x:c>
      <x:c r="E9" s="37" t="n">
        <x:f>'Calc'!N9*'Unit Map'!$I$19</x:f>
        <x:v>154.33206602850458</x:v>
      </x:c>
      <x:c r="F9" s="37" t="n">
        <x:f>'Calc'!O9*'Unit Map'!$I$15</x:f>
        <x:v>15834938.462909719</x:v>
      </x:c>
      <x:c r="G9" s="37" t="n">
        <x:f>'Calc'!$H$13*'Unit Map'!$I$15</x:f>
        <x:v>37348677.17358199</x:v>
      </x:c>
      <x:c r="H9" s="37" t="n">
        <x:f>'Calc'!P9*'Unit Map'!$I$15</x:f>
        <x:v>53183615.63649171</x:v>
      </x:c>
      <x:c r="I9" s="37" t="n">
        <x:f>('Inputs'!$B$6-'Calc'!P9)*'Unit Map'!$I$15</x:f>
        <x:v>-18183615.63649171</x:v>
      </x:c>
      <x:c r="J9" s="37" t="n">
        <x:f>'Calc'!O9*'Inputs'!$B$8</x:f>
        <x:v>696737.2923680276</x:v>
      </x:c>
      <x:c r="K9" s="37" t="n">
        <x:f>J9/(PI()/4*0.216^2)</x:f>
        <x:v>19013920.45899086</x:v>
      </x:c>
      <x:c r="L9" s="37" t="n">
        <x:f>RANK(ABS(I9),$I$6:$I$10,1)</x:f>
        <x:v>0</x:v>
      </x:c>
      <x:c r="M9" s="35"/>
      <x:c r="N9" s="35"/>
    </x:row>
    <x:row r="10">
      <x:c r="A10" s="37" t="str">
        <x:f>'Calc'!R10</x:f>
        <x:v>nozzle-012</x:v>
      </x:c>
      <x:c r="B10" s="37" t="n">
        <x:f>'Calc'!L10*'Unit Map'!$I$9</x:f>
        <x:v>0.012</x:v>
      </x:c>
      <x:c r="C10" s="37" t="n">
        <x:f>'Inputs'!$B$11</x:f>
        <x:v>3</x:v>
      </x:c>
      <x:c r="D10" s="37" t="n">
        <x:f>'Calc'!M10*'Unit Map'!$I$10</x:f>
        <x:v>0.00033929200658769766</x:v>
      </x:c>
      <x:c r="E10" s="37" t="n">
        <x:f>'Calc'!N10*'Unit Map'!$I$19</x:f>
        <x:v>129.68180548228509</x:v>
      </x:c>
      <x:c r="F10" s="37" t="n">
        <x:f>'Calc'!O10*'Unit Map'!$I$15</x:f>
        <x:v>11180523.43921012</x:v>
      </x:c>
      <x:c r="G10" s="37" t="n">
        <x:f>'Calc'!$H$13*'Unit Map'!$I$15</x:f>
        <x:v>37348677.17358199</x:v>
      </x:c>
      <x:c r="H10" s="37" t="n">
        <x:f>'Calc'!P10*'Unit Map'!$I$15</x:f>
        <x:v>48529200.612792104</x:v>
      </x:c>
      <x:c r="I10" s="37" t="n">
        <x:f>('Inputs'!$B$6-'Calc'!P10)*'Unit Map'!$I$15</x:f>
        <x:v>-13529200.612792104</x:v>
      </x:c>
      <x:c r="J10" s="37" t="n">
        <x:f>'Calc'!O10*'Inputs'!$B$8</x:f>
        <x:v>491943.0313252453</x:v>
      </x:c>
      <x:c r="K10" s="37" t="n">
        <x:f>J10/(PI()/4*0.216^2)</x:f>
        <x:v>13425096.905868296</x:v>
      </x:c>
      <x:c r="L10" s="37" t="n">
        <x:f>RANK(ABS(I10),$I$6:$I$10,1)</x:f>
        <x:v>0</x:v>
      </x:c>
      <x:c r="M10" s="35"/>
      <x:c r="N10" s="35"/>
    </x:row>
  </x:sheetData>
  <x:mergeCells>
    <x:mergeCell ref="A1:N1"/>
    <x:mergeCell ref="A3:L3"/>
  </x:mergeCells>
  <x:conditionalFormatting sqref="H6:I10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Pressure Profile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Pressure, ECD and annular velocity profile</x:v>
      </x:c>
      <x:c r="B3" s="38" t="str">
        <x:v>Pressure, ECD and annular velocity profile</x:v>
      </x:c>
      <x:c r="C3" s="38" t="str">
        <x:v>Pressure, ECD and annular velocity profile</x:v>
      </x:c>
      <x:c r="D3" s="38" t="str">
        <x:v>Pressure, ECD and annular velocity profile</x:v>
      </x:c>
      <x:c r="E3" s="38" t="str">
        <x:v>Pressure, ECD and annular velocity profile</x:v>
      </x:c>
      <x:c r="F3" s="38" t="str">
        <x:v>Pressure, ECD and annular velocity profile</x:v>
      </x:c>
      <x:c r="G3" s="38" t="str">
        <x:v>Pressure, ECD and annular velocity profile</x:v>
      </x:c>
      <x:c r="H3" s="38" t="str">
        <x:v>Pressure, ECD and annular velocity profile</x:v>
      </x:c>
      <x:c r="I3" s="38" t="str">
        <x:v>Pressure, ECD and annular velocity profile</x:v>
      </x:c>
      <x:c r="J3" s="38" t="str">
        <x:v>Pressure, ECD and annular velocity profile</x:v>
      </x:c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Section</x:v>
      </x:c>
      <x:c r="B5" s="36" t="str">
        <x:f>"Depth / length "&amp;'Unit Map'!$H$8</x:f>
        <x:v>Depth / length m</x:v>
      </x:c>
      <x:c r="C5" s="36" t="str">
        <x:f>"Velocity "&amp;'Unit Map'!$H$19</x:f>
        <x:v>Velocity m/s</x:v>
      </x:c>
      <x:c r="D5" s="36" t="str">
        <x:f>"Section loss "&amp;'Unit Map'!$H$15</x:f>
        <x:v>Section loss Pa</x:v>
      </x:c>
      <x:c r="E5" s="36" t="str">
        <x:f>"Cumulative loss "&amp;'Unit Map'!$H$15</x:f>
        <x:v>Cumulative loss Pa</x:v>
      </x:c>
      <x:c r="F5" s="36" t="str">
        <x:f>"Hydrostatic "&amp;'Unit Map'!$H$15</x:f>
        <x:v>Hydrostatic Pa</x:v>
      </x:c>
      <x:c r="G5" s="36" t="str">
        <x:f>"Dynamic pressure "&amp;'Unit Map'!$H$15</x:f>
        <x:v>Dynamic pressure Pa</x:v>
      </x:c>
      <x:c r="H5" s="36" t="str">
        <x:f>"ECD "&amp;'Unit Map'!$H$13</x:f>
        <x:v>ECD g/cm3</x:v>
      </x:c>
      <x:c r="I5" s="36" t="str">
        <x:v>Pressure % limit</x:v>
      </x:c>
      <x:c r="J5" s="36" t="str">
        <x:v>Status</x:v>
      </x:c>
      <x:c r="K5" s="35"/>
      <x:c r="L5" s="35"/>
      <x:c r="M5" s="35"/>
      <x:c r="N5" s="35"/>
    </x:row>
    <x:row r="6">
      <x:c r="A6" s="37" t="str">
        <x:f>'Calc'!A6</x:f>
        <x:v>Standpipe</x:v>
      </x:c>
      <x:c r="B6" s="37" t="n">
        <x:f>SUM('Calc'!$B$6:'Calc'!B6)*'Unit Map'!$I$8</x:f>
        <x:v>35</x:v>
      </x:c>
      <x:c r="C6" s="37" t="n">
        <x:f>'Calc'!D6*'Unit Map'!$I$19</x:f>
        <x:v>5.384711646323257</x:v>
      </x:c>
      <x:c r="D6" s="37" t="n">
        <x:f>'Calc'!G6*'Unit Map'!$I$15</x:f>
        <x:v>161235.82522716955</x:v>
      </x:c>
      <x:c r="E6" s="37" t="n">
        <x:f>'Calc'!H6*'Unit Map'!$I$15</x:f>
        <x:v>161235.82522716955</x:v>
      </x:c>
      <x:c r="F6" s="37" t="n">
        <x:f>'Inputs'!$B$9*9.80665*SUM('Calc'!$B$6:'Calc'!B6)*'Unit Map'!$I$15</x:f>
        <x:v>411879.3</x:v>
      </x:c>
      <x:c r="G6" s="37" t="n">
        <x:f>('Inputs'!$B$9*9.80665*SUM('Calc'!$B$6:'Calc'!B6)+'Calc'!H6)*'Unit Map'!$I$15</x:f>
        <x:v>573115.1252271696</x:v>
      </x:c>
      <x:c r="H6" s="37" t="n">
        <x:f>('Inputs'!$B$9+IF('Inputs'!G6="Annulus",'Calc'!G6/(9.80665*MAX('Calc'!B6,1)),0))*'Unit Map'!$I$13</x:f>
        <x:v>1.2</x:v>
      </x:c>
      <x:c r="I6" s="37" t="n">
        <x:f>'Calc'!H6/'Inputs'!$B$6</x:f>
        <x:v>0.004606737863633416</x:v>
      </x:c>
      <x:c r="J6" s="37" t="str">
        <x:f>IF(I6&lt;=1,"PASS","REVIEW")</x:f>
        <x:v>PASS</x:v>
      </x:c>
      <x:c r="K6" s="35"/>
      <x:c r="L6" s="35"/>
      <x:c r="M6" s="35"/>
      <x:c r="N6" s="35"/>
    </x:row>
    <x:row r="7">
      <x:c r="A7" s="37" t="str">
        <x:f>'Calc'!A7</x:f>
        <x:v>Rotary hose</x:v>
      </x:c>
      <x:c r="B7" s="37" t="n">
        <x:f>SUM('Calc'!$B$6:'Calc'!B7)*'Unit Map'!$I$8</x:f>
        <x:v>53</x:v>
      </x:c>
      <x:c r="C7" s="37" t="n">
        <x:f>'Calc'!D7*'Unit Map'!$I$19</x:f>
        <x:v>9.699193207816338</x:v>
      </x:c>
      <x:c r="D7" s="37" t="n">
        <x:f>'Calc'!G7*'Unit Map'!$I$15</x:f>
        <x:v>335468.8948815475</x:v>
      </x:c>
      <x:c r="E7" s="37" t="n">
        <x:f>'Calc'!H7*'Unit Map'!$I$15</x:f>
        <x:v>496704.72010871704</x:v>
      </x:c>
      <x:c r="F7" s="37" t="n">
        <x:f>'Inputs'!$B$9*9.80665*SUM('Calc'!$B$6:'Calc'!B7)*'Unit Map'!$I$15</x:f>
        <x:v>623702.94</x:v>
      </x:c>
      <x:c r="G7" s="37" t="n">
        <x:f>('Inputs'!$B$9*9.80665*SUM('Calc'!$B$6:'Calc'!B7)+'Calc'!H7)*'Unit Map'!$I$15</x:f>
        <x:v>1120407.660108717</x:v>
      </x:c>
      <x:c r="H7" s="37" t="n">
        <x:f>('Inputs'!$B$9+IF('Inputs'!G7="Annulus",'Calc'!G7/(9.80665*MAX('Calc'!B7,1)),0))*'Unit Map'!$I$13</x:f>
        <x:v>1.2</x:v>
      </x:c>
      <x:c r="I7" s="37" t="n">
        <x:f>'Calc'!H7/'Inputs'!$B$6</x:f>
        <x:v>0.01419156343167763</x:v>
      </x:c>
      <x:c r="J7" s="37" t="str">
        <x:f>IF(I7&lt;=1,"PASS","REVIEW")</x:f>
        <x:v>PASS</x:v>
      </x:c>
      <x:c r="K7" s="35"/>
      <x:c r="L7" s="35"/>
      <x:c r="M7" s="35"/>
      <x:c r="N7" s="35"/>
    </x:row>
    <x:row r="8">
      <x:c r="A8" s="37" t="str">
        <x:f>'Calc'!A8</x:f>
        <x:v>Top drive / swivel</x:v>
      </x:c>
      <x:c r="B8" s="37" t="n">
        <x:f>SUM('Calc'!$B$6:'Calc'!B8)*'Unit Map'!$I$8</x:f>
        <x:v>61</x:v>
      </x:c>
      <x:c r="C8" s="37" t="n">
        <x:f>'Calc'!D8*'Unit Map'!$I$19</x:f>
        <x:v>9.699193207816338</x:v>
      </x:c>
      <x:c r="D8" s="37" t="n">
        <x:f>'Calc'!G8*'Unit Map'!$I$15</x:f>
        <x:v>149097.28661402114</x:v>
      </x:c>
      <x:c r="E8" s="37" t="n">
        <x:f>'Calc'!H8*'Unit Map'!$I$15</x:f>
        <x:v>645802.0067227382</x:v>
      </x:c>
      <x:c r="F8" s="37" t="n">
        <x:f>'Inputs'!$B$9*9.80665*SUM('Calc'!$B$6:'Calc'!B8)*'Unit Map'!$I$15</x:f>
        <x:v>717846.78</x:v>
      </x:c>
      <x:c r="G8" s="37" t="n">
        <x:f>('Inputs'!$B$9*9.80665*SUM('Calc'!$B$6:'Calc'!B8)+'Calc'!H8)*'Unit Map'!$I$15</x:f>
        <x:v>1363648.7867227383</x:v>
      </x:c>
      <x:c r="H8" s="37" t="n">
        <x:f>('Inputs'!$B$9+IF('Inputs'!G8="Annulus",'Calc'!G8/(9.80665*MAX('Calc'!B8,1)),0))*'Unit Map'!$I$13</x:f>
        <x:v>1.2</x:v>
      </x:c>
      <x:c r="I8" s="37" t="n">
        <x:f>'Calc'!H8/'Inputs'!$B$6</x:f>
        <x:v>0.018451485906363946</x:v>
      </x:c>
      <x:c r="J8" s="37" t="str">
        <x:f>IF(I8&lt;=1,"PASS","REVIEW")</x:f>
        <x:v>PASS</x:v>
      </x:c>
      <x:c r="K8" s="35"/>
      <x:c r="L8" s="35"/>
      <x:c r="M8" s="35"/>
      <x:c r="N8" s="35"/>
    </x:row>
    <x:row r="9">
      <x:c r="A9" s="37" t="str">
        <x:f>'Calc'!A9</x:f>
        <x:v>Drill pipe</x:v>
      </x:c>
      <x:c r="B9" s="37" t="n">
        <x:f>SUM('Calc'!$B$6:'Calc'!B9)*'Unit Map'!$I$8</x:f>
        <x:v>2161</x:v>
      </x:c>
      <x:c r="C9" s="37" t="n">
        <x:f>'Calc'!D9*'Unit Map'!$I$19</x:f>
        <x:v>4.750104287987</x:v>
      </x:c>
      <x:c r="D9" s="37" t="n">
        <x:f>'Calc'!G9*'Unit Map'!$I$15</x:f>
        <x:v>7182438.913734692</x:v>
      </x:c>
      <x:c r="E9" s="37" t="n">
        <x:f>'Calc'!H9*'Unit Map'!$I$15</x:f>
        <x:v>7828240.92045743</x:v>
      </x:c>
      <x:c r="F9" s="37" t="n">
        <x:f>'Inputs'!$B$9*9.80665*SUM('Calc'!$B$6:'Calc'!B9)*'Unit Map'!$I$15</x:f>
        <x:v>25430604.779999997</x:v>
      </x:c>
      <x:c r="G9" s="37" t="n">
        <x:f>('Inputs'!$B$9*9.80665*SUM('Calc'!$B$6:'Calc'!B9)+'Calc'!H9)*'Unit Map'!$I$15</x:f>
        <x:v>33258845.700457428</x:v>
      </x:c>
      <x:c r="H9" s="37" t="n">
        <x:f>('Inputs'!$B$9+IF('Inputs'!G9="Annulus",'Calc'!G9/(9.80665*MAX('Calc'!B9,1)),0))*'Unit Map'!$I$13</x:f>
        <x:v>1.2</x:v>
      </x:c>
      <x:c r="I9" s="37" t="n">
        <x:f>'Calc'!H9/'Inputs'!$B$6</x:f>
        <x:v>0.2236640262987837</x:v>
      </x:c>
      <x:c r="J9" s="37" t="str">
        <x:f>IF(I9&lt;=1,"PASS","REVIEW")</x:f>
        <x:v>PASS</x:v>
      </x:c>
      <x:c r="K9" s="35"/>
      <x:c r="L9" s="35"/>
      <x:c r="M9" s="35"/>
      <x:c r="N9" s="35"/>
    </x:row>
    <x:row r="10">
      <x:c r="A10" s="37" t="str">
        <x:f>'Calc'!A10</x:f>
        <x:v>HWDP</x:v>
      </x:c>
      <x:c r="B10" s="37" t="n">
        <x:f>SUM('Calc'!$B$6:'Calc'!B10)*'Unit Map'!$I$8</x:f>
        <x:v>2461</x:v>
      </x:c>
      <x:c r="C10" s="37" t="n">
        <x:f>'Calc'!D10*'Unit Map'!$I$19</x:f>
        <x:v>9.699193207816338</x:v>
      </x:c>
      <x:c r="D10" s="37" t="n">
        <x:f>'Calc'!G10*'Unit Map'!$I$15</x:f>
        <x:v>5591148.248025793</x:v>
      </x:c>
      <x:c r="E10" s="37" t="n">
        <x:f>'Calc'!H10*'Unit Map'!$I$15</x:f>
        <x:v>13419389.168483224</x:v>
      </x:c>
      <x:c r="F10" s="37" t="n">
        <x:f>'Inputs'!$B$9*9.80665*SUM('Calc'!$B$6:'Calc'!B10)*'Unit Map'!$I$15</x:f>
        <x:v>28960998.779999997</x:v>
      </x:c>
      <x:c r="G10" s="37" t="n">
        <x:f>('Inputs'!$B$9*9.80665*SUM('Calc'!$B$6:'Calc'!B10)+'Calc'!H10)*'Unit Map'!$I$15</x:f>
        <x:v>42380387.94848322</x:v>
      </x:c>
      <x:c r="H10" s="37" t="n">
        <x:f>('Inputs'!$B$9+IF('Inputs'!G10="Annulus",'Calc'!G10/(9.80665*MAX('Calc'!B10,1)),0))*'Unit Map'!$I$13</x:f>
        <x:v>1.2</x:v>
      </x:c>
      <x:c r="I10" s="37" t="n">
        <x:f>'Calc'!H10/'Inputs'!$B$6</x:f>
        <x:v>0.3834111190995207</x:v>
      </x:c>
      <x:c r="J10" s="37" t="str">
        <x:f>IF(I10&lt;=1,"PASS","REVIEW")</x:f>
        <x:v>PASS</x:v>
      </x:c>
      <x:c r="K10" s="35"/>
      <x:c r="L10" s="35"/>
      <x:c r="M10" s="35"/>
      <x:c r="N10" s="35"/>
    </x:row>
    <x:row r="11">
      <x:c r="A11" s="37" t="str">
        <x:f>'Calc'!A11</x:f>
        <x:v>Drill collar</x:v>
      </x:c>
      <x:c r="B11" s="37" t="n">
        <x:f>SUM('Calc'!$B$6:'Calc'!B11)*'Unit Map'!$I$8</x:f>
        <x:v>2671</x:v>
      </x:c>
      <x:c r="C11" s="37" t="n">
        <x:f>'Calc'!D11*'Unit Map'!$I$19</x:f>
        <x:v>11.113378291677677</x:v>
      </x:c>
      <x:c r="D11" s="37" t="n">
        <x:f>'Calc'!G11*'Unit Map'!$I$15</x:f>
        <x:v>5407374.573404709</x:v>
      </x:c>
      <x:c r="E11" s="37" t="n">
        <x:f>'Calc'!H11*'Unit Map'!$I$15</x:f>
        <x:v>18826763.741887935</x:v>
      </x:c>
      <x:c r="F11" s="37" t="n">
        <x:f>'Inputs'!$B$9*9.80665*SUM('Calc'!$B$6:'Calc'!B11)*'Unit Map'!$I$15</x:f>
        <x:v>31432274.58</x:v>
      </x:c>
      <x:c r="G11" s="37" t="n">
        <x:f>('Inputs'!$B$9*9.80665*SUM('Calc'!$B$6:'Calc'!B11)+'Calc'!H11)*'Unit Map'!$I$15</x:f>
        <x:v>50259038.32188793</x:v>
      </x:c>
      <x:c r="H11" s="37" t="n">
        <x:f>('Inputs'!$B$9+IF('Inputs'!G11="Annulus",'Calc'!G11/(9.80665*MAX('Calc'!B11,1)),0))*'Unit Map'!$I$13</x:f>
        <x:v>1.2</x:v>
      </x:c>
      <x:c r="I11" s="37" t="n">
        <x:f>'Calc'!H11/'Inputs'!$B$6</x:f>
        <x:v>0.5379075354825125</x:v>
      </x:c>
      <x:c r="J11" s="37" t="str">
        <x:f>IF(I11&lt;=1,"PASS","REVIEW")</x:f>
        <x:v>PASS</x:v>
      </x:c>
      <x:c r="K11" s="35"/>
      <x:c r="L11" s="35"/>
      <x:c r="M11" s="35"/>
      <x:c r="N11" s="35"/>
    </x:row>
    <x:row r="12">
      <x:c r="A12" s="37" t="str">
        <x:f>'Calc'!A12</x:f>
        <x:v>Motor / MWD</x:v>
      </x:c>
      <x:c r="B12" s="37" t="n">
        <x:f>SUM('Calc'!$B$6:'Calc'!B12)*'Unit Map'!$I$8</x:f>
        <x:v>2721</x:v>
      </x:c>
      <x:c r="C12" s="37" t="n">
        <x:f>'Calc'!D12*'Unit Map'!$I$19</x:f>
        <x:v>17.24301014722904</x:v>
      </x:c>
      <x:c r="D12" s="37" t="n">
        <x:f>'Calc'!G12*'Unit Map'!$I$15</x:f>
        <x:v>3654338.354619165</x:v>
      </x:c>
      <x:c r="E12" s="37" t="n">
        <x:f>'Calc'!H12*'Unit Map'!$I$15</x:f>
        <x:v>22481102.0965071</x:v>
      </x:c>
      <x:c r="F12" s="37" t="n">
        <x:f>'Inputs'!$B$9*9.80665*SUM('Calc'!$B$6:'Calc'!B12)*'Unit Map'!$I$15</x:f>
        <x:v>32020673.58</x:v>
      </x:c>
      <x:c r="G12" s="37" t="n">
        <x:f>('Inputs'!$B$9*9.80665*SUM('Calc'!$B$6:'Calc'!B12)+'Calc'!H12)*'Unit Map'!$I$15</x:f>
        <x:v>54501775.6765071</x:v>
      </x:c>
      <x:c r="H12" s="37" t="n">
        <x:f>('Inputs'!$B$9+IF('Inputs'!G12="Annulus",'Calc'!G12/(9.80665*MAX('Calc'!B12,1)),0))*'Unit Map'!$I$13</x:f>
        <x:v>1.2</x:v>
      </x:c>
      <x:c r="I12" s="37" t="n">
        <x:f>'Calc'!H12/'Inputs'!$B$6</x:f>
        <x:v>0.6423172027573457</x:v>
      </x:c>
      <x:c r="J12" s="37" t="str">
        <x:f>IF(I12&lt;=1,"PASS","REVIEW")</x:f>
        <x:v>PASS</x:v>
      </x:c>
      <x:c r="K12" s="35"/>
      <x:c r="L12" s="35"/>
      <x:c r="M12" s="35"/>
      <x:c r="N12" s="35"/>
    </x:row>
    <x:row r="13">
      <x:c r="A13" s="37" t="str">
        <x:f>'Calc'!A13</x:f>
        <x:v>Open-hole annulus</x:v>
      </x:c>
      <x:c r="B13" s="37" t="n">
        <x:f>SUM('Calc'!$B$6:'Calc'!B13)*'Unit Map'!$I$8</x:f>
        <x:v>5381</x:v>
      </x:c>
      <x:c r="C13" s="37" t="n">
        <x:f>'Calc'!D13*'Unit Map'!$I$19</x:f>
        <x:v>3.2985480433553427</x:v>
      </x:c>
      <x:c r="D13" s="37" t="n">
        <x:f>'Calc'!G13*'Unit Map'!$I$15</x:f>
        <x:v>14867575.077074891</x:v>
      </x:c>
      <x:c r="E13" s="37" t="n">
        <x:f>'Calc'!H13*'Unit Map'!$I$15</x:f>
        <x:v>37348677.17358199</x:v>
      </x:c>
      <x:c r="F13" s="37" t="n">
        <x:f>'Inputs'!$B$9*9.80665*SUM('Calc'!$B$6:'Calc'!B13)*'Unit Map'!$I$15</x:f>
        <x:v>63323500.379999995</x:v>
      </x:c>
      <x:c r="G13" s="37" t="n">
        <x:f>('Inputs'!$B$9*9.80665*SUM('Calc'!$B$6:'Calc'!B13)+'Calc'!H13)*'Unit Map'!$I$15</x:f>
        <x:v>100672177.55358198</x:v>
      </x:c>
      <x:c r="H13" s="37" t="n">
        <x:f>('Inputs'!$B$9+IF('Inputs'!G13="Annulus",'Calc'!G13/(9.80665*MAX('Calc'!B13,1)),0))*'Unit Map'!$I$13</x:f>
        <x:v>1.7699514042766855</x:v>
      </x:c>
      <x:c r="I13" s="37" t="n">
        <x:f>'Calc'!H13/'Inputs'!$B$6</x:f>
        <x:v>1.0671050621023426</x:v>
      </x:c>
      <x:c r="J13" s="37" t="str">
        <x:f>IF(I13&lt;=1,"PASS","REVIEW")</x:f>
        <x:v>REVIEW</x:v>
      </x:c>
      <x:c r="K13" s="35"/>
      <x:c r="L13" s="35"/>
      <x:c r="M13" s="35"/>
      <x:c r="N13" s="35"/>
    </x:row>
  </x:sheetData>
  <x:mergeCells>
    <x:mergeCell ref="A1:N1"/>
    <x:mergeCell ref="A3:J3"/>
  </x:mergeCells>
  <x:conditionalFormatting sqref="H6:I13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Hydraulics Charts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Hydraulics engineering plots</x:v>
      </x:c>
      <x:c r="B3" s="38" t="str">
        <x:v>Hydraulics engineering plots</x:v>
      </x:c>
      <x:c r="C3" s="38" t="str">
        <x:v>Hydraulics engineering plots</x:v>
      </x:c>
      <x:c r="D3" s="38" t="str">
        <x:v>Hydraulics engineering plots</x:v>
      </x:c>
      <x:c r="E3" s="38" t="str">
        <x:v>Hydraulics engineering plots</x:v>
      </x:c>
      <x:c r="F3" s="38" t="str">
        <x:v>Hydraulics engineering plots</x:v>
      </x:c>
      <x:c r="G3" s="38" t="str">
        <x:v>Hydraulics engineering plots</x:v>
      </x:c>
      <x:c r="H3" s="38" t="str">
        <x:v>Hydraulics engineering plots</x:v>
      </x:c>
      <x:c r="I3" s="38" t="str">
        <x:v>Hydraulics engineering plots</x:v>
      </x:c>
      <x:c r="J3" s="38" t="str">
        <x:v>Hydraulics engineering plots</x:v>
      </x:c>
      <x:c r="K3" s="38" t="str">
        <x:v>Hydraulics engineering plots</x:v>
      </x:c>
      <x:c r="L3" s="38" t="str">
        <x:v>Hydraulics engineering plots</x:v>
      </x:c>
      <x:c r="M3" s="38" t="str">
        <x:v>Hydraulics engineering plots</x:v>
      </x:c>
      <x:c r="N3" s="38" t="str">
        <x:v>Hydraulics engineering plots</x:v>
      </x:c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5" t="str">
        <x:f>"MD "&amp;'Unit Map'!$H$8</x:f>
        <x:v>MD m</x:v>
      </x:c>
      <x:c r="B5" s="35" t="str">
        <x:f>"Section loss "&amp;'Unit Map'!$H$15</x:f>
        <x:v>Section loss Pa</x:v>
      </x:c>
      <x:c r="C5" s="35" t="str">
        <x:f>"Cumulative loss "&amp;'Unit Map'!$H$15</x:f>
        <x:v>Cumulative loss Pa</x:v>
      </x:c>
      <x:c r="D5" s="35" t="str">
        <x:f>"Hydrostatic "&amp;'Unit Map'!$H$15</x:f>
        <x:v>Hydrostatic Pa</x:v>
      </x:c>
      <x:c r="E5" s="35" t="str">
        <x:f>"Dynamic pressure "&amp;'Unit Map'!$H$15</x:f>
        <x:v>Dynamic pressure Pa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5" t="n">
        <x:f>'Pressure Profile'!B6</x:f>
        <x:v>35</x:v>
      </x:c>
      <x:c r="B6" s="35" t="n">
        <x:f>'Pressure Profile'!D6</x:f>
        <x:v>161235.82522716955</x:v>
      </x:c>
      <x:c r="C6" s="35" t="n">
        <x:f>'Pressure Profile'!E6</x:f>
        <x:v>161235.82522716955</x:v>
      </x:c>
      <x:c r="D6" s="35" t="n">
        <x:f>'Pressure Profile'!F6</x:f>
        <x:v>411879.3</x:v>
      </x:c>
      <x:c r="E6" s="35" t="n">
        <x:f>'Pressure Profile'!G6</x:f>
        <x:v>573115.1252271696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 t="n">
        <x:f>'Pressure Profile'!B7</x:f>
        <x:v>53</x:v>
      </x:c>
      <x:c r="B7" s="35" t="n">
        <x:f>'Pressure Profile'!D7</x:f>
        <x:v>335468.8948815475</x:v>
      </x:c>
      <x:c r="C7" s="35" t="n">
        <x:f>'Pressure Profile'!E7</x:f>
        <x:v>496704.72010871704</x:v>
      </x:c>
      <x:c r="D7" s="35" t="n">
        <x:f>'Pressure Profile'!F7</x:f>
        <x:v>623702.94</x:v>
      </x:c>
      <x:c r="E7" s="35" t="n">
        <x:f>'Pressure Profile'!G7</x:f>
        <x:v>1120407.660108717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 t="n">
        <x:f>'Pressure Profile'!B8</x:f>
        <x:v>61</x:v>
      </x:c>
      <x:c r="B8" s="35" t="n">
        <x:f>'Pressure Profile'!D8</x:f>
        <x:v>149097.28661402114</x:v>
      </x:c>
      <x:c r="C8" s="35" t="n">
        <x:f>'Pressure Profile'!E8</x:f>
        <x:v>645802.0067227382</x:v>
      </x:c>
      <x:c r="D8" s="35" t="n">
        <x:f>'Pressure Profile'!F8</x:f>
        <x:v>717846.78</x:v>
      </x:c>
      <x:c r="E8" s="35" t="n">
        <x:f>'Pressure Profile'!G8</x:f>
        <x:v>1363648.7867227383</x:v>
      </x:c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 t="n">
        <x:f>'Pressure Profile'!B9</x:f>
        <x:v>2161</x:v>
      </x:c>
      <x:c r="B9" s="35" t="n">
        <x:f>'Pressure Profile'!D9</x:f>
        <x:v>7182438.913734692</x:v>
      </x:c>
      <x:c r="C9" s="35" t="n">
        <x:f>'Pressure Profile'!E9</x:f>
        <x:v>7828240.92045743</x:v>
      </x:c>
      <x:c r="D9" s="35" t="n">
        <x:f>'Pressure Profile'!F9</x:f>
        <x:v>25430604.779999997</x:v>
      </x:c>
      <x:c r="E9" s="35" t="n">
        <x:f>'Pressure Profile'!G9</x:f>
        <x:v>33258845.700457428</x:v>
      </x:c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 t="n">
        <x:f>'Pressure Profile'!B10</x:f>
        <x:v>2461</x:v>
      </x:c>
      <x:c r="B10" s="35" t="n">
        <x:f>'Pressure Profile'!D10</x:f>
        <x:v>5591148.248025793</x:v>
      </x:c>
      <x:c r="C10" s="35" t="n">
        <x:f>'Pressure Profile'!E10</x:f>
        <x:v>13419389.168483224</x:v>
      </x:c>
      <x:c r="D10" s="35" t="n">
        <x:f>'Pressure Profile'!F10</x:f>
        <x:v>28960998.779999997</x:v>
      </x:c>
      <x:c r="E10" s="35" t="n">
        <x:f>'Pressure Profile'!G10</x:f>
        <x:v>42380387.94848322</x:v>
      </x:c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 t="n">
        <x:f>'Pressure Profile'!B11</x:f>
        <x:v>2671</x:v>
      </x:c>
      <x:c r="B11" s="35" t="n">
        <x:f>'Pressure Profile'!D11</x:f>
        <x:v>5407374.573404709</x:v>
      </x:c>
      <x:c r="C11" s="35" t="n">
        <x:f>'Pressure Profile'!E11</x:f>
        <x:v>18826763.741887935</x:v>
      </x:c>
      <x:c r="D11" s="35" t="n">
        <x:f>'Pressure Profile'!F11</x:f>
        <x:v>31432274.58</x:v>
      </x:c>
      <x:c r="E11" s="35" t="n">
        <x:f>'Pressure Profile'!G11</x:f>
        <x:v>50259038.32188793</x:v>
      </x:c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 t="n">
        <x:f>'Pressure Profile'!B12</x:f>
        <x:v>2721</x:v>
      </x:c>
      <x:c r="B12" s="35" t="n">
        <x:f>'Pressure Profile'!D12</x:f>
        <x:v>3654338.354619165</x:v>
      </x:c>
      <x:c r="C12" s="35" t="n">
        <x:f>'Pressure Profile'!E12</x:f>
        <x:v>22481102.0965071</x:v>
      </x:c>
      <x:c r="D12" s="35" t="n">
        <x:f>'Pressure Profile'!F12</x:f>
        <x:v>32020673.58</x:v>
      </x:c>
      <x:c r="E12" s="35" t="n">
        <x:f>'Pressure Profile'!G12</x:f>
        <x:v>54501775.6765071</x:v>
      </x:c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 t="n">
        <x:f>'Pressure Profile'!B13</x:f>
        <x:v>5381</x:v>
      </x:c>
      <x:c r="B13" s="35" t="n">
        <x:f>'Pressure Profile'!D13</x:f>
        <x:v>14867575.077074891</x:v>
      </x:c>
      <x:c r="C13" s="35" t="n">
        <x:f>'Pressure Profile'!E13</x:f>
        <x:v>37348677.17358199</x:v>
      </x:c>
      <x:c r="D13" s="35" t="n">
        <x:f>'Pressure Profile'!F13</x:f>
        <x:v>63323500.379999995</x:v>
      </x:c>
      <x:c r="E13" s="35" t="n">
        <x:f>'Pressure Profile'!G13</x:f>
        <x:v>100672177.55358198</x:v>
      </x:c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 t="str">
        <x:f>"MD "&amp;'Unit Map'!$H$8</x:f>
        <x:v>MD m</x:v>
      </x:c>
      <x:c r="B25" s="35" t="str">
        <x:f>"Static mud density "&amp;'Unit Map'!$H$13</x:f>
        <x:v>Static mud density g/cm3</x:v>
      </x:c>
      <x:c r="C25" s="35" t="str">
        <x:f>"ECD "&amp;'Unit Map'!$H$13</x:f>
        <x:v>ECD g/cm3</x:v>
      </x:c>
      <x:c r="D25" s="35" t="str">
        <x:f>"ECD screen "&amp;'Unit Map'!$H$13</x:f>
        <x:v>ECD screen g/cm3</x:v>
      </x:c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 t="n">
        <x:f>'Pressure Profile'!B6</x:f>
        <x:v>35</x:v>
      </x:c>
      <x:c r="B26" s="35" t="n">
        <x:f>'Inputs'!$B$9*'Unit Map'!$I$13</x:f>
        <x:v>1.2</x:v>
      </x:c>
      <x:c r="C26" s="35" t="n">
        <x:f>'Pressure Profile'!H6</x:f>
        <x:v>1.2</x:v>
      </x:c>
      <x:c r="D26" s="35" t="n">
        <x:f>'Inputs'!$B$14*'Unit Map'!$I$13</x:f>
        <x:v>1.4000000000000001</x:v>
      </x:c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 t="n">
        <x:f>'Pressure Profile'!B7</x:f>
        <x:v>53</x:v>
      </x:c>
      <x:c r="B27" s="35" t="n">
        <x:f>'Inputs'!$B$9*'Unit Map'!$I$13</x:f>
        <x:v>1.2</x:v>
      </x:c>
      <x:c r="C27" s="35" t="n">
        <x:f>'Pressure Profile'!H7</x:f>
        <x:v>1.2</x:v>
      </x:c>
      <x:c r="D27" s="35" t="n">
        <x:f>'Inputs'!$B$14*'Unit Map'!$I$13</x:f>
        <x:v>1.4000000000000001</x:v>
      </x:c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 t="n">
        <x:f>'Pressure Profile'!B8</x:f>
        <x:v>61</x:v>
      </x:c>
      <x:c r="B28" s="35" t="n">
        <x:f>'Inputs'!$B$9*'Unit Map'!$I$13</x:f>
        <x:v>1.2</x:v>
      </x:c>
      <x:c r="C28" s="35" t="n">
        <x:f>'Pressure Profile'!H8</x:f>
        <x:v>1.2</x:v>
      </x:c>
      <x:c r="D28" s="35" t="n">
        <x:f>'Inputs'!$B$14*'Unit Map'!$I$13</x:f>
        <x:v>1.4000000000000001</x:v>
      </x:c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 t="n">
        <x:f>'Pressure Profile'!B9</x:f>
        <x:v>2161</x:v>
      </x:c>
      <x:c r="B29" s="35" t="n">
        <x:f>'Inputs'!$B$9*'Unit Map'!$I$13</x:f>
        <x:v>1.2</x:v>
      </x:c>
      <x:c r="C29" s="35" t="n">
        <x:f>'Pressure Profile'!H9</x:f>
        <x:v>1.2</x:v>
      </x:c>
      <x:c r="D29" s="35" t="n">
        <x:f>'Inputs'!$B$14*'Unit Map'!$I$13</x:f>
        <x:v>1.4000000000000001</x:v>
      </x:c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 t="n">
        <x:f>'Pressure Profile'!B10</x:f>
        <x:v>2461</x:v>
      </x:c>
      <x:c r="B30" s="35" t="n">
        <x:f>'Inputs'!$B$9*'Unit Map'!$I$13</x:f>
        <x:v>1.2</x:v>
      </x:c>
      <x:c r="C30" s="35" t="n">
        <x:f>'Pressure Profile'!H10</x:f>
        <x:v>1.2</x:v>
      </x:c>
      <x:c r="D30" s="35" t="n">
        <x:f>'Inputs'!$B$14*'Unit Map'!$I$13</x:f>
        <x:v>1.4000000000000001</x:v>
      </x:c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 t="n">
        <x:f>'Pressure Profile'!B11</x:f>
        <x:v>2671</x:v>
      </x:c>
      <x:c r="B31" s="35" t="n">
        <x:f>'Inputs'!$B$9*'Unit Map'!$I$13</x:f>
        <x:v>1.2</x:v>
      </x:c>
      <x:c r="C31" s="35" t="n">
        <x:f>'Pressure Profile'!H11</x:f>
        <x:v>1.2</x:v>
      </x:c>
      <x:c r="D31" s="35" t="n">
        <x:f>'Inputs'!$B$14*'Unit Map'!$I$13</x:f>
        <x:v>1.4000000000000001</x:v>
      </x:c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 t="n">
        <x:f>'Pressure Profile'!B12</x:f>
        <x:v>2721</x:v>
      </x:c>
      <x:c r="B32" s="35" t="n">
        <x:f>'Inputs'!$B$9*'Unit Map'!$I$13</x:f>
        <x:v>1.2</x:v>
      </x:c>
      <x:c r="C32" s="35" t="n">
        <x:f>'Pressure Profile'!H12</x:f>
        <x:v>1.2</x:v>
      </x:c>
      <x:c r="D32" s="35" t="n">
        <x:f>'Inputs'!$B$14*'Unit Map'!$I$13</x:f>
        <x:v>1.4000000000000001</x:v>
      </x:c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 t="n">
        <x:f>'Pressure Profile'!B13</x:f>
        <x:v>5381</x:v>
      </x:c>
      <x:c r="B33" s="35" t="n">
        <x:f>'Inputs'!$B$9*'Unit Map'!$I$13</x:f>
        <x:v>1.2</x:v>
      </x:c>
      <x:c r="C33" s="35" t="n">
        <x:f>'Pressure Profile'!H13</x:f>
        <x:v>1.7699514042766855</x:v>
      </x:c>
      <x:c r="D33" s="35" t="n">
        <x:f>'Inputs'!$B$14*'Unit Map'!$I$13</x:f>
        <x:v>1.4000000000000001</x:v>
      </x:c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 t="str">
        <x:f>"MD "&amp;'Unit Map'!$H$8</x:f>
        <x:v>MD m</x:v>
      </x:c>
      <x:c r="B44" s="35" t="str">
        <x:f>"Flow velocity "&amp;'Unit Map'!$H$19</x:f>
        <x:v>Flow velocity m/s</x:v>
      </x:c>
      <x:c r="C44" s="35" t="str">
        <x:f>"Minimum annular velocity "&amp;'Unit Map'!$H$19</x:f>
        <x:v>Minimum annular velocity m/s</x:v>
      </x:c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 t="n">
        <x:f>'Pressure Profile'!B6</x:f>
        <x:v>35</x:v>
      </x:c>
      <x:c r="B45" s="35" t="n">
        <x:f>'Pressure Profile'!C6</x:f>
        <x:v>5.384711646323257</x:v>
      </x:c>
      <x:c r="C45" s="35" t="n">
        <x:f>'Inputs'!$B$15*'Unit Map'!$I$19</x:f>
        <x:v>0.5</x:v>
      </x:c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 t="n">
        <x:f>'Pressure Profile'!B7</x:f>
        <x:v>53</x:v>
      </x:c>
      <x:c r="B46" s="35" t="n">
        <x:f>'Pressure Profile'!C7</x:f>
        <x:v>9.699193207816338</x:v>
      </x:c>
      <x:c r="C46" s="35" t="n">
        <x:f>'Inputs'!$B$15*'Unit Map'!$I$19</x:f>
        <x:v>0.5</x:v>
      </x:c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 t="n">
        <x:f>'Pressure Profile'!B8</x:f>
        <x:v>61</x:v>
      </x:c>
      <x:c r="B47" s="35" t="n">
        <x:f>'Pressure Profile'!C8</x:f>
        <x:v>9.699193207816338</x:v>
      </x:c>
      <x:c r="C47" s="35" t="n">
        <x:f>'Inputs'!$B$15*'Unit Map'!$I$19</x:f>
        <x:v>0.5</x:v>
      </x:c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 t="n">
        <x:f>'Pressure Profile'!B9</x:f>
        <x:v>2161</x:v>
      </x:c>
      <x:c r="B48" s="35" t="n">
        <x:f>'Pressure Profile'!C9</x:f>
        <x:v>4.750104287987</x:v>
      </x:c>
      <x:c r="C48" s="35" t="n">
        <x:f>'Inputs'!$B$15*'Unit Map'!$I$19</x:f>
        <x:v>0.5</x:v>
      </x:c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 t="n">
        <x:f>'Pressure Profile'!B10</x:f>
        <x:v>2461</x:v>
      </x:c>
      <x:c r="B49" s="35" t="n">
        <x:f>'Pressure Profile'!C10</x:f>
        <x:v>9.699193207816338</x:v>
      </x:c>
      <x:c r="C49" s="35" t="n">
        <x:f>'Inputs'!$B$15*'Unit Map'!$I$19</x:f>
        <x:v>0.5</x:v>
      </x:c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 t="n">
        <x:f>'Pressure Profile'!B11</x:f>
        <x:v>2671</x:v>
      </x:c>
      <x:c r="B50" s="35" t="n">
        <x:f>'Pressure Profile'!C11</x:f>
        <x:v>11.113378291677677</x:v>
      </x:c>
      <x:c r="C50" s="35" t="n">
        <x:f>'Inputs'!$B$15*'Unit Map'!$I$19</x:f>
        <x:v>0.5</x:v>
      </x:c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 t="n">
        <x:f>'Pressure Profile'!B12</x:f>
        <x:v>2721</x:v>
      </x:c>
      <x:c r="B51" s="35" t="n">
        <x:f>'Pressure Profile'!C12</x:f>
        <x:v>17.24301014722904</x:v>
      </x:c>
      <x:c r="C51" s="35" t="n">
        <x:f>'Inputs'!$B$15*'Unit Map'!$I$19</x:f>
        <x:v>0.5</x:v>
      </x:c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 t="n">
        <x:f>'Pressure Profile'!B13</x:f>
        <x:v>5381</x:v>
      </x:c>
      <x:c r="B52" s="35" t="n">
        <x:f>'Pressure Profile'!C13</x:f>
        <x:v>3.2985480433553427</x:v>
      </x:c>
      <x:c r="C52" s="35" t="n">
        <x:f>'Inputs'!$B$15*'Unit Map'!$I$19</x:f>
        <x:v>0.5</x:v>
      </x:c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 t="str">
        <x:f>"Nozzle diameter "&amp;'Unit Map'!$H$9</x:f>
        <x:v>Nozzle diameter m</x:v>
      </x:c>
      <x:c r="B63" s="35" t="str">
        <x:f>"SPP "&amp;'Unit Map'!$H$15</x:f>
        <x:v>SPP Pa</x:v>
      </x:c>
      <x:c r="C63" s="35" t="str">
        <x:f>"Surface limit "&amp;'Unit Map'!$H$15</x:f>
        <x:v>Surface limit Pa</x:v>
      </x:c>
      <x:c r="D63" s="35" t="str">
        <x:f>"Bit drop "&amp;'Unit Map'!$H$15</x:f>
        <x:v>Bit drop Pa</x:v>
      </x:c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 t="n">
        <x:f>Calc!L6*'Unit Map'!$I$9</x:f>
        <x:v>0.008</x:v>
      </x:c>
      <x:c r="B64" s="35" t="n">
        <x:f>Calc!P6*'Unit Map'!$I$15</x:f>
        <x:v>93950077.08458325</x:v>
      </x:c>
      <x:c r="C64" s="35" t="n">
        <x:f>Inputs!$B$6*'Unit Map'!$I$15</x:f>
        <x:v>35000000</x:v>
      </x:c>
      <x:c r="D64" s="35" t="n">
        <x:f>Calc!O6*'Unit Map'!$I$15</x:f>
        <x:v>56601399.91100126</x:v>
      </x:c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 t="n">
        <x:f>Calc!L7*'Unit Map'!$I$9</x:f>
        <x:v>0.009</x:v>
      </x:c>
      <x:c r="B65" s="35" t="n">
        <x:f>Calc!P7*'Unit Map'!$I$15</x:f>
        <x:v>72684652.48762882</x:v>
      </x:c>
      <x:c r="C65" s="35" t="n">
        <x:f>Inputs!$B$6*'Unit Map'!$I$15</x:f>
        <x:v>35000000</x:v>
      </x:c>
      <x:c r="D65" s="35" t="n">
        <x:f>Calc!O7*'Unit Map'!$I$15</x:f>
        <x:v>35335975.31404682</x:v>
      </x:c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 t="n">
        <x:f>Calc!L8*'Unit Map'!$I$9</x:f>
        <x:v>0.01</x:v>
      </x:c>
      <x:c r="B66" s="35" t="n">
        <x:f>Calc!P8*'Unit Map'!$I$15</x:f>
        <x:v>60532610.5771281</x:v>
      </x:c>
      <x:c r="C66" s="35" t="n">
        <x:f>Inputs!$B$6*'Unit Map'!$I$15</x:f>
        <x:v>35000000</x:v>
      </x:c>
      <x:c r="D66" s="35" t="n">
        <x:f>Calc!O8*'Unit Map'!$I$15</x:f>
        <x:v>23183933.40354611</x:v>
      </x:c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 t="n">
        <x:f>Calc!L9*'Unit Map'!$I$9</x:f>
        <x:v>0.011</x:v>
      </x:c>
      <x:c r="B67" s="35" t="n">
        <x:f>Calc!P9*'Unit Map'!$I$15</x:f>
        <x:v>53183615.63649171</x:v>
      </x:c>
      <x:c r="C67" s="35" t="n">
        <x:f>Inputs!$B$6*'Unit Map'!$I$15</x:f>
        <x:v>35000000</x:v>
      </x:c>
      <x:c r="D67" s="35" t="n">
        <x:f>Calc!O9*'Unit Map'!$I$15</x:f>
        <x:v>15834938.462909719</x:v>
      </x:c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 t="n">
        <x:f>Calc!L10*'Unit Map'!$I$9</x:f>
        <x:v>0.012</x:v>
      </x:c>
      <x:c r="B68" s="35" t="n">
        <x:f>Calc!P10*'Unit Map'!$I$15</x:f>
        <x:v>48529200.612792104</x:v>
      </x:c>
      <x:c r="C68" s="35" t="n">
        <x:f>Inputs!$B$6*'Unit Map'!$I$15</x:f>
        <x:v>35000000</x:v>
      </x:c>
      <x:c r="D68" s="35" t="n">
        <x:f>Calc!O10*'Unit Map'!$I$15</x:f>
        <x:v>11180523.43921012</x:v>
      </x:c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Id1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Flow Cases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Hydraulic sensitivity cases — editable multipliers of the canonical base flow rate</x:v>
      </x:c>
      <x:c r="B3" s="38" t="str">
        <x:v>Hydraulic sensitivity cases — editable multipliers of the canonical base flow rate</x:v>
      </x:c>
      <x:c r="C3" s="38" t="str">
        <x:v>Hydraulic sensitivity cases — editable multipliers of the canonical base flow rate</x:v>
      </x:c>
      <x:c r="D3" s="38" t="str">
        <x:v>Hydraulic sensitivity cases — editable multipliers of the canonical base flow rate</x:v>
      </x:c>
      <x:c r="E3" s="38" t="str">
        <x:v>Hydraulic sensitivity cases — editable multipliers of the canonical base flow rate</x:v>
      </x:c>
      <x:c r="F3" s="38" t="str">
        <x:v>Hydraulic sensitivity cases — editable multipliers of the canonical base flow rate</x:v>
      </x:c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Case</x:v>
      </x:c>
      <x:c r="B5" s="36" t="str">
        <x:v>Multiplier</x:v>
      </x:c>
      <x:c r="C5" s="36" t="str">
        <x:v>Label</x:v>
      </x:c>
      <x:c r="D5" s="36" t="str">
        <x:v>Flow rate m3/s (canonical SI)</x:v>
      </x:c>
      <x:c r="E5" s="36" t="str">
        <x:v>Enabled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5" t="str">
        <x:v>FLOW-LOW</x:v>
      </x:c>
      <x:c r="B6" s="39" t="n">
        <x:v>0.85</x:v>
      </x:c>
      <x:c r="C6" s="35" t="str">
        <x:v>Low</x:v>
      </x:c>
      <x:c r="D6" s="49" t="n">
        <x:f>'Inputs'!$B$8*B6</x:f>
        <x:v>0.037399999999999996</x:v>
      </x:c>
      <x:c r="E6" s="35" t="str">
        <x:v>Yes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 t="str">
        <x:v>FLOW-BASE</x:v>
      </x:c>
      <x:c r="B7" s="39" t="n">
        <x:v>1</x:v>
      </x:c>
      <x:c r="C7" s="35" t="str">
        <x:v>Base</x:v>
      </x:c>
      <x:c r="D7" s="49" t="n">
        <x:f>'Inputs'!$B$8*B7</x:f>
        <x:v>0.044</x:v>
      </x:c>
      <x:c r="E7" s="35" t="str">
        <x:v>Yes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 t="str">
        <x:v>FLOW-HIGH</x:v>
      </x:c>
      <x:c r="B8" s="39" t="n">
        <x:v>1.15</x:v>
      </x:c>
      <x:c r="C8" s="35" t="str">
        <x:v>High</x:v>
      </x:c>
      <x:c r="D8" s="49" t="n">
        <x:f>'Inputs'!$B$8*B8</x:f>
        <x:v>0.05059999999999999</x:v>
      </x:c>
      <x:c r="E8" s="35" t="str">
        <x:v>Yes</x:v>
      </x:c>
      <x:c r="F8" s="35"/>
      <x:c r="G8" s="35"/>
      <x:c r="H8" s="35"/>
      <x:c r="I8" s="35"/>
      <x:c r="J8" s="35"/>
      <x:c r="K8" s="35"/>
      <x:c r="L8" s="35"/>
      <x:c r="M8" s="35"/>
      <x:c r="N8" s="35"/>
    </x:row>
  </x:sheetData>
  <x:mergeCells>
    <x:mergeCell ref="A1:N1"/>
    <x:mergeCell ref="A3:F3"/>
  </x:mergeCells>
  <x:dataValidations count="1">
    <x:dataValidation type="list" sqref="E6:E8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Hydraulics Dashboard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</x:row>
    <x:row r="3">
      <x:c r="A3" s="38" t="str">
        <x:v>Integrated hydraulics review — pressure, ECD, transport, flow sensitivity and nozzle envelope</x:v>
      </x:c>
      <x:c r="B3" s="38" t="str">
        <x:v>Integrated hydraulics review — pressure, ECD, transport, flow sensitivity and nozzle envelope</x:v>
      </x:c>
      <x:c r="C3" s="38" t="str">
        <x:v>Integrated hydraulics review — pressure, ECD, transport, flow sensitivity and nozzle envelope</x:v>
      </x:c>
      <x:c r="D3" s="38" t="str">
        <x:v>Integrated hydraulics review — pressure, ECD, transport, flow sensitivity and nozzle envelope</x:v>
      </x:c>
      <x:c r="E3" s="38" t="str">
        <x:v>Integrated hydraulics review — pressure, ECD, transport, flow sensitivity and nozzle envelope</x:v>
      </x:c>
      <x:c r="F3" s="38" t="str">
        <x:v>Integrated hydraulics review — pressure, ECD, transport, flow sensitivity and nozzle envelope</x:v>
      </x:c>
      <x:c r="G3" s="38" t="str">
        <x:v>Integrated hydraulics review — pressure, ECD, transport, flow sensitivity and nozzle envelope</x:v>
      </x:c>
      <x:c r="H3" s="38" t="str">
        <x:v>Integrated hydraulics review — pressure, ECD, transport, flow sensitivity and nozzle envelope</x:v>
      </x:c>
      <x:c r="I3" s="38" t="str">
        <x:v>Integrated hydraulics review — pressure, ECD, transport, flow sensitivity and nozzle envelope</x:v>
      </x:c>
      <x:c r="J3" s="38" t="str">
        <x:v>Integrated hydraulics review — pressure, ECD, transport, flow sensitivity and nozzle envelope</x:v>
      </x:c>
      <x:c r="K3" s="38" t="str">
        <x:v>Integrated hydraulics review — pressure, ECD, transport, flow sensitivity and nozzle envelope</x:v>
      </x:c>
      <x:c r="L3" s="38" t="str">
        <x:v>Integrated hydraulics review — pressure, ECD, transport, flow sensitivity and nozzle envelope</x:v>
      </x:c>
      <x:c r="M3" s="38" t="str">
        <x:v>Integrated hydraulics review — pressure, ECD, transport, flow sensitivity and nozzle envelope</x:v>
      </x:c>
      <x:c r="N3" s="38" t="str">
        <x:v>Integrated hydraulics review — pressure, ECD, transport, flow sensitivity and nozzle envelope</x:v>
      </x:c>
      <x:c r="O3" s="38" t="str">
        <x:v>Integrated hydraulics review — pressure, ECD, transport, flow sensitivity and nozzle envelope</x:v>
      </x:c>
      <x:c r="P3" s="38" t="str">
        <x:v>Integrated hydraulics review — pressure, ECD, transport, flow sensitivity and nozzle envelope</x:v>
      </x:c>
      <x:c r="Q3" s="38" t="str">
        <x:v>Integrated hydraulics review — pressure, ECD, transport, flow sensitivity and nozzle envelope</x:v>
      </x:c>
      <x:c r="R3" s="38" t="str">
        <x:v>Integrated hydraulics review — pressure, ECD, transport, flow sensitivity and nozzle envelope</x:v>
      </x:c>
      <x:c r="S3" s="38" t="str">
        <x:v>Integrated hydraulics review — pressure, ECD, transport, flow sensitivity and nozzle envelope</x:v>
      </x:c>
      <x:c r="T3" s="38" t="str">
        <x:v>Integrated hydraulics review — pressure, ECD, transport, flow sensitivity and nozzle envelope</x:v>
      </x:c>
      <x:c r="U3" s="38" t="str">
        <x:v>Integrated hydraulics review — pressure, ECD, transport, flow sensitivity and nozzle envelope</x:v>
      </x:c>
      <x:c r="V3" s="38" t="str">
        <x:v>Integrated hydraulics review — pressure, ECD, transport, flow sensitivity and nozzle envelope</x:v>
      </x:c>
      <x:c r="W3" s="38" t="str">
        <x:v>Integrated hydraulics review — pressure, ECD, transport, flow sensitivity and nozzle envelope</x:v>
      </x:c>
      <x:c r="X3" s="38" t="str">
        <x:v>Integrated hydraulics review — pressure, ECD, transport, flow sensitivity and nozzle envelope</x:v>
      </x:c>
      <x:c r="Y3" s="38" t="str">
        <x:v>Integrated hydraulics review — pressure, ECD, transport, flow sensitivity and nozzle envelope</x:v>
      </x:c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</x:row>
    <x:row r="5">
      <x:c r="A5" s="35" t="str">
        <x:v>Selected MD</x:v>
      </x:c>
      <x:c r="B5" s="39" t="n">
        <x:f>'Chart Settings'!B6*'Unit Map'!$I$8</x:f>
        <x:v>2690.5</x:v>
      </x:c>
      <x:c r="C5" s="35" t="str">
        <x:f>'Unit Map'!$H$8</x:f>
        <x:v>m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</x:row>
    <x:row r="6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</x:row>
    <x:row r="8">
      <x:c r="A8" s="36" t="str">
        <x:v>Nearest station MD</x:v>
      </x:c>
      <x:c r="B8" s="37" t="n">
        <x:f>INDEX($A$46:$A$53,MATCH($B$5,$A$46:$A$53,1))</x:f>
        <x:v>2671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</x:row>
    <x:row r="9">
      <x:c r="A9" s="36" t="str">
        <x:v>Flow case</x:v>
      </x:c>
      <x:c r="B9" s="37" t="str">
        <x:f>"Base"</x:f>
        <x:v>Base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</x:row>
    <x:row r="10">
      <x:c r="A10" s="36" t="str">
        <x:v>Total dynamic pressure</x:v>
      </x:c>
      <x:c r="B10" s="37" t="n">
        <x:f>INDEX($D$46:$D$53,MATCH($B$5,$A$46:$A$53,1))</x:f>
        <x:v>55475730.58452158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</x:row>
    <x:row r="11">
      <x:c r="A11" s="36" t="str">
        <x:v>Pressure margin</x:v>
      </x:c>
      <x:c r="B11" s="37" t="n">
        <x:f>INDEX($F$46:$F$53,MATCH($B$5,$A$46:$A$53,1))-INDEX($D$46:$D$53,MATCH($B$5,$A$46:$A$53,1))</x:f>
        <x:v>-20475730.584521577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</x:row>
    <x:row r="12">
      <x:c r="A12" s="36" t="str">
        <x:v>ECD</x:v>
      </x:c>
      <x:c r="B12" s="37" t="n">
        <x:f>INDEX($J$46:$J$53,MATCH($B$5,$H$46:$H$53,1))</x:f>
        <x:v>1.2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</x:row>
    <x:row r="13">
      <x:c r="A13" s="36" t="str">
        <x:v>ECD margin</x:v>
      </x:c>
      <x:c r="B13" s="37" t="n">
        <x:f>INDEX($M$46:$M$53,MATCH($B$5,$H$46:$H$53,1))-INDEX($J$46:$J$53,MATCH($B$5,$H$46:$H$53,1))</x:f>
        <x:v>0.20000000000000018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</x:row>
    <x:row r="14">
      <x:c r="A14" s="36" t="str">
        <x:v>Annular velocity</x:v>
      </x:c>
      <x:c r="B14" s="37" t="n">
        <x:f>INDEX($Q$46:$Q$53,MATCH($B$5,$O$46:$O$53,1))</x:f>
        <x:v>11.113378291677677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</x:row>
    <x:row r="15">
      <x:c r="A15" s="36" t="str">
        <x:v>Transport margin</x:v>
      </x:c>
      <x:c r="B15" s="37" t="n">
        <x:f>INDEX($Q$46:$Q$53,MATCH($B$5,$O$46:$O$53,1))-INDEX($S$46:$S$53,MATCH($B$5,$O$46:$O$53,1))</x:f>
        <x:v>10.613378291677677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</x:row>
    <x:row r="16">
      <x:c r="A16" s="36" t="str">
        <x:v>Governing state</x:v>
      </x:c>
      <x:c r="B16" s="37" t="str">
        <x:f>IF(OR(B11&lt;0,B13&lt;0,B15&lt;0),"REVIEW","WITHIN LIMITS")</x:f>
        <x:v>REVIEW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</x:row>
    <x:row r="18">
      <x:c r="A18" s="36" t="str">
        <x:v>Flow-path context</x:v>
      </x:c>
      <x:c r="B18" s="36" t="str">
        <x:v>Top / start</x:v>
      </x:c>
      <x:c r="C18" s="36" t="str">
        <x:v>Bottom / end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</x:row>
    <x:row r="19">
      <x:c r="A19" s="37" t="str">
        <x:v>Drill collar</x:v>
      </x:c>
      <x:c r="B19" s="37" t="n">
        <x:v>2461</x:v>
      </x:c>
      <x:c r="C19" s="37" t="n">
        <x:v>2671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</x:row>
    <x:row r="20">
      <x:c r="A20" s="37" t="str">
        <x:v>Motor / MWD</x:v>
      </x:c>
      <x:c r="B20" s="37" t="n">
        <x:v>2671</x:v>
      </x:c>
      <x:c r="C20" s="37" t="n">
        <x:v>2721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</x:row>
    <x:row r="21">
      <x:c r="A21" s="37" t="str">
        <x:v>Open-hole annulus</x:v>
      </x:c>
      <x:c r="B21" s="37" t="n">
        <x:v>2721</x:v>
      </x:c>
      <x:c r="C21" s="37" t="n">
        <x:v>5381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</x:row>
    <x:row r="22">
      <x:c r="A22" s="37" t="str">
        <x:v>Profile basis</x:v>
      </x:c>
      <x:c r="B22" s="37" t="str">
        <x:v>Surface equipment</x:v>
      </x:c>
      <x:c r="C22" s="37" t="str">
        <x:v>Open-hole annulus</x:v>
      </x:c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</x:row>
    <x:row r="45">
      <x:c r="A45" s="35" t="str">
        <x:f>"MD "&amp;'Unit Map'!$H$8</x:f>
        <x:v>MD m</x:v>
      </x:c>
      <x:c r="B45" s="35" t="str">
        <x:f>"Low flow pressure "&amp;'Unit Map'!$H$15</x:f>
        <x:v>Low flow pressure Pa</x:v>
      </x:c>
      <x:c r="C45" s="35" t="str">
        <x:f>"Base flow pressure "&amp;'Unit Map'!$H$15</x:f>
        <x:v>Base flow pressure Pa</x:v>
      </x:c>
      <x:c r="D45" s="35" t="str">
        <x:f>"High flow pressure "&amp;'Unit Map'!$H$15</x:f>
        <x:v>High flow pressure Pa</x:v>
      </x:c>
      <x:c r="E45" s="35" t="str">
        <x:f>"Hydrostatic "&amp;'Unit Map'!$H$15</x:f>
        <x:v>Hydrostatic Pa</x:v>
      </x:c>
      <x:c r="F45" s="35" t="str">
        <x:f>"Pressure limit "&amp;'Unit Map'!$H$15</x:f>
        <x:v>Pressure limit Pa</x:v>
      </x:c>
      <x:c r="G45" s="35"/>
      <x:c r="H45" s="35" t="str">
        <x:f>"MD "&amp;'Unit Map'!$H$8</x:f>
        <x:v>MD m</x:v>
      </x:c>
      <x:c r="I45" s="35" t="str">
        <x:f>"Low flow ECD "&amp;'Unit Map'!$H$13</x:f>
        <x:v>Low flow ECD g/cm3</x:v>
      </x:c>
      <x:c r="J45" s="35" t="str">
        <x:f>"Base flow ECD "&amp;'Unit Map'!$H$13</x:f>
        <x:v>Base flow ECD g/cm3</x:v>
      </x:c>
      <x:c r="K45" s="35" t="str">
        <x:f>"High flow ECD "&amp;'Unit Map'!$H$13</x:f>
        <x:v>High flow ECD g/cm3</x:v>
      </x:c>
      <x:c r="L45" s="35" t="str">
        <x:f>"Static density "&amp;'Unit Map'!$H$13</x:f>
        <x:v>Static density g/cm3</x:v>
      </x:c>
      <x:c r="M45" s="35" t="str">
        <x:f>"ECD limit "&amp;'Unit Map'!$H$13</x:f>
        <x:v>ECD limit g/cm3</x:v>
      </x:c>
      <x:c r="N45" s="35"/>
      <x:c r="O45" s="35" t="str">
        <x:f>"MD "&amp;'Unit Map'!$H$8</x:f>
        <x:v>MD m</x:v>
      </x:c>
      <x:c r="P45" s="35" t="str">
        <x:f>"Low flow velocity "&amp;'Unit Map'!$H$19</x:f>
        <x:v>Low flow velocity m/s</x:v>
      </x:c>
      <x:c r="Q45" s="35" t="str">
        <x:f>"Base flow velocity "&amp;'Unit Map'!$H$19</x:f>
        <x:v>Base flow velocity m/s</x:v>
      </x:c>
      <x:c r="R45" s="35" t="str">
        <x:f>"High flow velocity "&amp;'Unit Map'!$H$19</x:f>
        <x:v>High flow velocity m/s</x:v>
      </x:c>
      <x:c r="S45" s="35" t="str">
        <x:f>"Minimum transport velocity "&amp;'Unit Map'!$H$19</x:f>
        <x:v>Minimum transport velocity m/s</x:v>
      </x:c>
      <x:c r="T45" s="35"/>
      <x:c r="U45" s="35" t="str">
        <x:f>"Nozzle diameter "&amp;'Unit Map'!$H$9</x:f>
        <x:v>Nozzle diameter m</x:v>
      </x:c>
      <x:c r="V45" s="35" t="str">
        <x:f>"SPP "&amp;'Unit Map'!$H$15</x:f>
        <x:v>SPP Pa</x:v>
      </x:c>
      <x:c r="W45" s="35" t="str">
        <x:f>"Surface limit "&amp;'Unit Map'!$H$15</x:f>
        <x:v>Surface limit Pa</x:v>
      </x:c>
      <x:c r="X45" s="35" t="str">
        <x:f>"Bit drop "&amp;'Unit Map'!$H$15</x:f>
        <x:v>Bit drop Pa</x:v>
      </x:c>
      <x:c r="Y45" s="35"/>
    </x:row>
    <x:row r="46">
      <x:c r="A46" s="35" t="n">
        <x:f>'Pressure Profile'!B6</x:f>
        <x:v>35</x:v>
      </x:c>
      <x:c r="B46" s="35" t="n">
        <x:f>('Pressure Profile'!F6+('Pressure Profile'!G6-'Pressure Profile'!F6)*'Flow Cases'!B6^1.75)</x:f>
        <x:v>533202.7257372491</x:v>
      </x:c>
      <x:c r="C46" s="35" t="n">
        <x:f>'Pressure Profile'!G6</x:f>
        <x:v>573115.1252271696</x:v>
      </x:c>
      <x:c r="D46" s="35" t="n">
        <x:f>('Pressure Profile'!F6+('Pressure Profile'!G6-'Pressure Profile'!F6)*'Flow Cases'!B8^1.75)</x:f>
        <x:v>617791.8255593947</x:v>
      </x:c>
      <x:c r="E46" s="35" t="n">
        <x:f>'Pressure Profile'!F6</x:f>
        <x:v>411879.3</x:v>
      </x:c>
      <x:c r="F46" s="35" t="n">
        <x:f>'Inputs'!$B$6*'Unit Map'!$I$15</x:f>
        <x:v>35000000</x:v>
      </x:c>
      <x:c r="G46" s="35"/>
      <x:c r="H46" s="35" t="n">
        <x:f>'Pressure Profile'!B6</x:f>
        <x:v>35</x:v>
      </x:c>
      <x:c r="I46" s="35" t="n">
        <x:f>('Inputs'!$B$9+('Pressure Profile'!H6/'Unit Map'!$I$13-'Inputs'!$B$9)*'Flow Cases'!B6^1.75)*'Unit Map'!$I$13</x:f>
        <x:v>1.2</x:v>
      </x:c>
      <x:c r="J46" s="35" t="n">
        <x:f>'Pressure Profile'!H6</x:f>
        <x:v>1.2</x:v>
      </x:c>
      <x:c r="K46" s="35" t="n">
        <x:f>('Inputs'!$B$9+('Pressure Profile'!H6/'Unit Map'!$I$13-'Inputs'!$B$9)*'Flow Cases'!B8^1.75)*'Unit Map'!$I$13</x:f>
        <x:v>1.2</x:v>
      </x:c>
      <x:c r="L46" s="35" t="n">
        <x:f>'Inputs'!$B$9*'Unit Map'!$I$13</x:f>
        <x:v>1.2</x:v>
      </x:c>
      <x:c r="M46" s="35" t="n">
        <x:f>'Inputs'!$B$14*'Unit Map'!$I$13</x:f>
        <x:v>1.4000000000000001</x:v>
      </x:c>
      <x:c r="N46" s="35"/>
      <x:c r="O46" s="35" t="n">
        <x:f>'Pressure Profile'!B6</x:f>
        <x:v>35</x:v>
      </x:c>
      <x:c r="P46" s="35" t="n">
        <x:f>'Pressure Profile'!C6*'Flow Cases'!B6</x:f>
        <x:v>4.577004899374769</x:v>
      </x:c>
      <x:c r="Q46" s="35" t="n">
        <x:f>'Pressure Profile'!C6</x:f>
        <x:v>5.384711646323257</x:v>
      </x:c>
      <x:c r="R46" s="35" t="n">
        <x:f>'Pressure Profile'!C6*'Flow Cases'!B8</x:f>
        <x:v>6.192418393271746</x:v>
      </x:c>
      <x:c r="S46" s="35" t="n">
        <x:f>'Inputs'!$B$15*'Unit Map'!$I$19</x:f>
        <x:v>0.5</x:v>
      </x:c>
      <x:c r="T46" s="35"/>
      <x:c r="U46" s="35" t="n">
        <x:f>'Hydraulics Charts'!A64</x:f>
        <x:v>0.008</x:v>
      </x:c>
      <x:c r="V46" s="35" t="n">
        <x:f>'Hydraulics Charts'!B64</x:f>
        <x:v>93950077.08458325</x:v>
      </x:c>
      <x:c r="W46" s="35" t="n">
        <x:f>'Hydraulics Charts'!C64</x:f>
        <x:v>35000000</x:v>
      </x:c>
      <x:c r="X46" s="35" t="n">
        <x:f>'Hydraulics Charts'!D64</x:f>
        <x:v>56601399.91100126</x:v>
      </x:c>
      <x:c r="Y46" s="35"/>
    </x:row>
    <x:row r="47">
      <x:c r="A47" s="35" t="n">
        <x:f>'Pressure Profile'!B7</x:f>
        <x:v>53</x:v>
      </x:c>
      <x:c r="B47" s="35" t="n">
        <x:f>('Pressure Profile'!F7+('Pressure Profile'!G7-'Pressure Profile'!F7)*'Flow Cases'!B6^1.75)</x:f>
        <x:v>997453.1170375557</x:v>
      </x:c>
      <x:c r="C47" s="35" t="n">
        <x:f>'Pressure Profile'!G7</x:f>
        <x:v>1120407.660108717</x:v>
      </x:c>
      <x:c r="D47" s="35" t="n">
        <x:f>('Pressure Profile'!F7+('Pressure Profile'!G7-'Pressure Profile'!F7)*'Flow Cases'!B8^1.75)</x:f>
        <x:v>1258039.1567232762</x:v>
      </x:c>
      <x:c r="E47" s="35" t="n">
        <x:f>'Pressure Profile'!F7</x:f>
        <x:v>623702.94</x:v>
      </x:c>
      <x:c r="F47" s="35" t="n">
        <x:f>'Inputs'!$B$6*'Unit Map'!$I$15</x:f>
        <x:v>35000000</x:v>
      </x:c>
      <x:c r="G47" s="35"/>
      <x:c r="H47" s="35" t="n">
        <x:f>'Pressure Profile'!B7</x:f>
        <x:v>53</x:v>
      </x:c>
      <x:c r="I47" s="35" t="n">
        <x:f>('Inputs'!$B$9+('Pressure Profile'!H7/'Unit Map'!$I$13-'Inputs'!$B$9)*'Flow Cases'!B6^1.75)*'Unit Map'!$I$13</x:f>
        <x:v>1.2</x:v>
      </x:c>
      <x:c r="J47" s="35" t="n">
        <x:f>'Pressure Profile'!H7</x:f>
        <x:v>1.2</x:v>
      </x:c>
      <x:c r="K47" s="35" t="n">
        <x:f>('Inputs'!$B$9+('Pressure Profile'!H7/'Unit Map'!$I$13-'Inputs'!$B$9)*'Flow Cases'!B8^1.75)*'Unit Map'!$I$13</x:f>
        <x:v>1.2</x:v>
      </x:c>
      <x:c r="L47" s="35" t="n">
        <x:f>'Inputs'!$B$9*'Unit Map'!$I$13</x:f>
        <x:v>1.2</x:v>
      </x:c>
      <x:c r="M47" s="35" t="n">
        <x:f>'Inputs'!$B$14*'Unit Map'!$I$13</x:f>
        <x:v>1.4000000000000001</x:v>
      </x:c>
      <x:c r="N47" s="35"/>
      <x:c r="O47" s="35" t="n">
        <x:f>'Pressure Profile'!B7</x:f>
        <x:v>53</x:v>
      </x:c>
      <x:c r="P47" s="35" t="n">
        <x:f>'Pressure Profile'!C7*'Flow Cases'!B6</x:f>
        <x:v>8.244314226643887</x:v>
      </x:c>
      <x:c r="Q47" s="35" t="n">
        <x:f>'Pressure Profile'!C7</x:f>
        <x:v>9.699193207816338</x:v>
      </x:c>
      <x:c r="R47" s="35" t="n">
        <x:f>'Pressure Profile'!C7*'Flow Cases'!B8</x:f>
        <x:v>11.154072188988787</x:v>
      </x:c>
      <x:c r="S47" s="35" t="n">
        <x:f>'Inputs'!$B$15*'Unit Map'!$I$19</x:f>
        <x:v>0.5</x:v>
      </x:c>
      <x:c r="T47" s="35"/>
      <x:c r="U47" s="35" t="n">
        <x:f>'Hydraulics Charts'!A65</x:f>
        <x:v>0.009</x:v>
      </x:c>
      <x:c r="V47" s="35" t="n">
        <x:f>'Hydraulics Charts'!B65</x:f>
        <x:v>72684652.48762882</x:v>
      </x:c>
      <x:c r="W47" s="35" t="n">
        <x:f>'Hydraulics Charts'!C65</x:f>
        <x:v>35000000</x:v>
      </x:c>
      <x:c r="X47" s="35" t="n">
        <x:f>'Hydraulics Charts'!D65</x:f>
        <x:v>35335975.31404682</x:v>
      </x:c>
      <x:c r="Y47" s="35"/>
    </x:row>
    <x:row r="48">
      <x:c r="A48" s="35" t="n">
        <x:f>'Pressure Profile'!B8</x:f>
        <x:v>61</x:v>
      </x:c>
      <x:c r="B48" s="35" t="n">
        <x:f>('Pressure Profile'!F8+('Pressure Profile'!G8-'Pressure Profile'!F8)*'Flow Cases'!B6^1.75)</x:f>
        <x:v>1203786.6242821366</x:v>
      </x:c>
      <x:c r="C48" s="35" t="n">
        <x:f>'Pressure Profile'!G8</x:f>
        <x:v>1363648.7867227383</x:v>
      </x:c>
      <x:c r="D48" s="35" t="n">
        <x:f>('Pressure Profile'!F8+('Pressure Profile'!G8-'Pressure Profile'!F8)*'Flow Cases'!B8^1.75)</x:f>
        <x:v>1542593.526129446</x:v>
      </x:c>
      <x:c r="E48" s="35" t="n">
        <x:f>'Pressure Profile'!F8</x:f>
        <x:v>717846.78</x:v>
      </x:c>
      <x:c r="F48" s="35" t="n">
        <x:f>'Inputs'!$B$6*'Unit Map'!$I$15</x:f>
        <x:v>35000000</x:v>
      </x:c>
      <x:c r="G48" s="35"/>
      <x:c r="H48" s="35" t="n">
        <x:f>'Pressure Profile'!B8</x:f>
        <x:v>61</x:v>
      </x:c>
      <x:c r="I48" s="35" t="n">
        <x:f>('Inputs'!$B$9+('Pressure Profile'!H8/'Unit Map'!$I$13-'Inputs'!$B$9)*'Flow Cases'!B6^1.75)*'Unit Map'!$I$13</x:f>
        <x:v>1.2</x:v>
      </x:c>
      <x:c r="J48" s="35" t="n">
        <x:f>'Pressure Profile'!H8</x:f>
        <x:v>1.2</x:v>
      </x:c>
      <x:c r="K48" s="35" t="n">
        <x:f>('Inputs'!$B$9+('Pressure Profile'!H8/'Unit Map'!$I$13-'Inputs'!$B$9)*'Flow Cases'!B8^1.75)*'Unit Map'!$I$13</x:f>
        <x:v>1.2</x:v>
      </x:c>
      <x:c r="L48" s="35" t="n">
        <x:f>'Inputs'!$B$9*'Unit Map'!$I$13</x:f>
        <x:v>1.2</x:v>
      </x:c>
      <x:c r="M48" s="35" t="n">
        <x:f>'Inputs'!$B$14*'Unit Map'!$I$13</x:f>
        <x:v>1.4000000000000001</x:v>
      </x:c>
      <x:c r="N48" s="35"/>
      <x:c r="O48" s="35" t="n">
        <x:f>'Pressure Profile'!B8</x:f>
        <x:v>61</x:v>
      </x:c>
      <x:c r="P48" s="35" t="n">
        <x:f>'Pressure Profile'!C8*'Flow Cases'!B6</x:f>
        <x:v>8.244314226643887</x:v>
      </x:c>
      <x:c r="Q48" s="35" t="n">
        <x:f>'Pressure Profile'!C8</x:f>
        <x:v>9.699193207816338</x:v>
      </x:c>
      <x:c r="R48" s="35" t="n">
        <x:f>'Pressure Profile'!C8*'Flow Cases'!B8</x:f>
        <x:v>11.154072188988787</x:v>
      </x:c>
      <x:c r="S48" s="35" t="n">
        <x:f>'Inputs'!$B$15*'Unit Map'!$I$19</x:f>
        <x:v>0.5</x:v>
      </x:c>
      <x:c r="T48" s="35"/>
      <x:c r="U48" s="35" t="n">
        <x:f>'Hydraulics Charts'!A66</x:f>
        <x:v>0.01</x:v>
      </x:c>
      <x:c r="V48" s="35" t="n">
        <x:f>'Hydraulics Charts'!B66</x:f>
        <x:v>60532610.5771281</x:v>
      </x:c>
      <x:c r="W48" s="35" t="n">
        <x:f>'Hydraulics Charts'!C66</x:f>
        <x:v>35000000</x:v>
      </x:c>
      <x:c r="X48" s="35" t="n">
        <x:f>'Hydraulics Charts'!D66</x:f>
        <x:v>23183933.40354611</x:v>
      </x:c>
      <x:c r="Y48" s="35"/>
    </x:row>
    <x:row r="49">
      <x:c r="A49" s="35" t="n">
        <x:f>'Pressure Profile'!B9</x:f>
        <x:v>2161</x:v>
      </x:c>
      <x:c r="B49" s="35" t="n">
        <x:f>('Pressure Profile'!F9+('Pressure Profile'!G9-'Pressure Profile'!F9)*'Flow Cases'!B6^1.75)</x:f>
        <x:v>31321038.89802733</x:v>
      </x:c>
      <x:c r="C49" s="35" t="n">
        <x:f>'Pressure Profile'!G9</x:f>
        <x:v>33258845.700457428</x:v>
      </x:c>
      <x:c r="D49" s="35" t="n">
        <x:f>('Pressure Profile'!F9+('Pressure Profile'!G9-'Pressure Profile'!F9)*'Flow Cases'!B8^1.75)</x:f>
        <x:v>35427966.44790285</x:v>
      </x:c>
      <x:c r="E49" s="35" t="n">
        <x:f>'Pressure Profile'!F9</x:f>
        <x:v>25430604.779999997</x:v>
      </x:c>
      <x:c r="F49" s="35" t="n">
        <x:f>'Inputs'!$B$6*'Unit Map'!$I$15</x:f>
        <x:v>35000000</x:v>
      </x:c>
      <x:c r="G49" s="35"/>
      <x:c r="H49" s="35" t="n">
        <x:f>'Pressure Profile'!B9</x:f>
        <x:v>2161</x:v>
      </x:c>
      <x:c r="I49" s="35" t="n">
        <x:f>('Inputs'!$B$9+('Pressure Profile'!H9/'Unit Map'!$I$13-'Inputs'!$B$9)*'Flow Cases'!B6^1.75)*'Unit Map'!$I$13</x:f>
        <x:v>1.2</x:v>
      </x:c>
      <x:c r="J49" s="35" t="n">
        <x:f>'Pressure Profile'!H9</x:f>
        <x:v>1.2</x:v>
      </x:c>
      <x:c r="K49" s="35" t="n">
        <x:f>('Inputs'!$B$9+('Pressure Profile'!H9/'Unit Map'!$I$13-'Inputs'!$B$9)*'Flow Cases'!B8^1.75)*'Unit Map'!$I$13</x:f>
        <x:v>1.2</x:v>
      </x:c>
      <x:c r="L49" s="35" t="n">
        <x:f>'Inputs'!$B$9*'Unit Map'!$I$13</x:f>
        <x:v>1.2</x:v>
      </x:c>
      <x:c r="M49" s="35" t="n">
        <x:f>'Inputs'!$B$14*'Unit Map'!$I$13</x:f>
        <x:v>1.4000000000000001</x:v>
      </x:c>
      <x:c r="N49" s="35"/>
      <x:c r="O49" s="35" t="n">
        <x:f>'Pressure Profile'!B9</x:f>
        <x:v>2161</x:v>
      </x:c>
      <x:c r="P49" s="35" t="n">
        <x:f>'Pressure Profile'!C9*'Flow Cases'!B6</x:f>
        <x:v>4.03758864478895</x:v>
      </x:c>
      <x:c r="Q49" s="35" t="n">
        <x:f>'Pressure Profile'!C9</x:f>
        <x:v>4.750104287987</x:v>
      </x:c>
      <x:c r="R49" s="35" t="n">
        <x:f>'Pressure Profile'!C9*'Flow Cases'!B8</x:f>
        <x:v>5.462619931185049</x:v>
      </x:c>
      <x:c r="S49" s="35" t="n">
        <x:f>'Inputs'!$B$15*'Unit Map'!$I$19</x:f>
        <x:v>0.5</x:v>
      </x:c>
      <x:c r="T49" s="35"/>
      <x:c r="U49" s="35" t="n">
        <x:f>'Hydraulics Charts'!A67</x:f>
        <x:v>0.011</x:v>
      </x:c>
      <x:c r="V49" s="35" t="n">
        <x:f>'Hydraulics Charts'!B67</x:f>
        <x:v>53183615.63649171</x:v>
      </x:c>
      <x:c r="W49" s="35" t="n">
        <x:f>'Hydraulics Charts'!C67</x:f>
        <x:v>35000000</x:v>
      </x:c>
      <x:c r="X49" s="35" t="n">
        <x:f>'Hydraulics Charts'!D67</x:f>
        <x:v>15834938.462909719</x:v>
      </x:c>
      <x:c r="Y49" s="35"/>
    </x:row>
    <x:row r="50">
      <x:c r="A50" s="35" t="n">
        <x:f>'Pressure Profile'!B10</x:f>
        <x:v>2461</x:v>
      </x:c>
      <x:c r="B50" s="35" t="n">
        <x:f>('Pressure Profile'!F10+('Pressure Profile'!G10-'Pressure Profile'!F10)*'Flow Cases'!B6^1.75)</x:f>
        <x:v>39058545.41969911</x:v>
      </x:c>
      <x:c r="C50" s="35" t="n">
        <x:f>'Pressure Profile'!G10</x:f>
        <x:v>42380387.94848322</x:v>
      </x:c>
      <x:c r="D50" s="35" t="n">
        <x:f>('Pressure Profile'!F10+('Pressure Profile'!G10-'Pressure Profile'!F10)*'Flow Cases'!B8^1.75)</x:f>
        <x:v>46098755.30063422</x:v>
      </x:c>
      <x:c r="E50" s="35" t="n">
        <x:f>'Pressure Profile'!F10</x:f>
        <x:v>28960998.779999997</x:v>
      </x:c>
      <x:c r="F50" s="35" t="n">
        <x:f>'Inputs'!$B$6*'Unit Map'!$I$15</x:f>
        <x:v>35000000</x:v>
      </x:c>
      <x:c r="G50" s="35"/>
      <x:c r="H50" s="35" t="n">
        <x:f>'Pressure Profile'!B10</x:f>
        <x:v>2461</x:v>
      </x:c>
      <x:c r="I50" s="35" t="n">
        <x:f>('Inputs'!$B$9+('Pressure Profile'!H10/'Unit Map'!$I$13-'Inputs'!$B$9)*'Flow Cases'!B6^1.75)*'Unit Map'!$I$13</x:f>
        <x:v>1.2</x:v>
      </x:c>
      <x:c r="J50" s="35" t="n">
        <x:f>'Pressure Profile'!H10</x:f>
        <x:v>1.2</x:v>
      </x:c>
      <x:c r="K50" s="35" t="n">
        <x:f>('Inputs'!$B$9+('Pressure Profile'!H10/'Unit Map'!$I$13-'Inputs'!$B$9)*'Flow Cases'!B8^1.75)*'Unit Map'!$I$13</x:f>
        <x:v>1.2</x:v>
      </x:c>
      <x:c r="L50" s="35" t="n">
        <x:f>'Inputs'!$B$9*'Unit Map'!$I$13</x:f>
        <x:v>1.2</x:v>
      </x:c>
      <x:c r="M50" s="35" t="n">
        <x:f>'Inputs'!$B$14*'Unit Map'!$I$13</x:f>
        <x:v>1.4000000000000001</x:v>
      </x:c>
      <x:c r="N50" s="35"/>
      <x:c r="O50" s="35" t="n">
        <x:f>'Pressure Profile'!B10</x:f>
        <x:v>2461</x:v>
      </x:c>
      <x:c r="P50" s="35" t="n">
        <x:f>'Pressure Profile'!C10*'Flow Cases'!B6</x:f>
        <x:v>8.244314226643887</x:v>
      </x:c>
      <x:c r="Q50" s="35" t="n">
        <x:f>'Pressure Profile'!C10</x:f>
        <x:v>9.699193207816338</x:v>
      </x:c>
      <x:c r="R50" s="35" t="n">
        <x:f>'Pressure Profile'!C10*'Flow Cases'!B8</x:f>
        <x:v>11.154072188988787</x:v>
      </x:c>
      <x:c r="S50" s="35" t="n">
        <x:f>'Inputs'!$B$15*'Unit Map'!$I$19</x:f>
        <x:v>0.5</x:v>
      </x:c>
      <x:c r="T50" s="35"/>
      <x:c r="U50" s="35" t="n">
        <x:f>'Hydraulics Charts'!A68</x:f>
        <x:v>0.012</x:v>
      </x:c>
      <x:c r="V50" s="35" t="n">
        <x:f>'Hydraulics Charts'!B68</x:f>
        <x:v>48529200.612792104</x:v>
      </x:c>
      <x:c r="W50" s="35" t="n">
        <x:f>'Hydraulics Charts'!C68</x:f>
        <x:v>35000000</x:v>
      </x:c>
      <x:c r="X50" s="35" t="n">
        <x:f>'Hydraulics Charts'!D68</x:f>
        <x:v>11180523.43921012</x:v>
      </x:c>
      <x:c r="Y50" s="35"/>
    </x:row>
    <x:row r="51">
      <x:c r="A51" s="35" t="n">
        <x:f>'Pressure Profile'!B11</x:f>
        <x:v>2671</x:v>
      </x:c>
      <x:c r="B51" s="35" t="n">
        <x:f>('Pressure Profile'!F11+('Pressure Profile'!G11-'Pressure Profile'!F11)*'Flow Cases'!B6^1.75)</x:f>
        <x:v>45598651.497124374</x:v>
      </x:c>
      <x:c r="C51" s="35" t="n">
        <x:f>'Pressure Profile'!G11</x:f>
        <x:v>50259038.32188793</x:v>
      </x:c>
      <x:c r="D51" s="35" t="n">
        <x:f>('Pressure Profile'!F11+('Pressure Profile'!G11-'Pressure Profile'!F11)*'Flow Cases'!B8^1.75)</x:f>
        <x:v>55475730.58452158</x:v>
      </x:c>
      <x:c r="E51" s="35" t="n">
        <x:f>'Pressure Profile'!F11</x:f>
        <x:v>31432274.58</x:v>
      </x:c>
      <x:c r="F51" s="35" t="n">
        <x:f>'Inputs'!$B$6*'Unit Map'!$I$15</x:f>
        <x:v>35000000</x:v>
      </x:c>
      <x:c r="G51" s="35"/>
      <x:c r="H51" s="35" t="n">
        <x:f>'Pressure Profile'!B11</x:f>
        <x:v>2671</x:v>
      </x:c>
      <x:c r="I51" s="35" t="n">
        <x:f>('Inputs'!$B$9+('Pressure Profile'!H11/'Unit Map'!$I$13-'Inputs'!$B$9)*'Flow Cases'!B6^1.75)*'Unit Map'!$I$13</x:f>
        <x:v>1.2</x:v>
      </x:c>
      <x:c r="J51" s="35" t="n">
        <x:f>'Pressure Profile'!H11</x:f>
        <x:v>1.2</x:v>
      </x:c>
      <x:c r="K51" s="35" t="n">
        <x:f>('Inputs'!$B$9+('Pressure Profile'!H11/'Unit Map'!$I$13-'Inputs'!$B$9)*'Flow Cases'!B8^1.75)*'Unit Map'!$I$13</x:f>
        <x:v>1.2</x:v>
      </x:c>
      <x:c r="L51" s="35" t="n">
        <x:f>'Inputs'!$B$9*'Unit Map'!$I$13</x:f>
        <x:v>1.2</x:v>
      </x:c>
      <x:c r="M51" s="35" t="n">
        <x:f>'Inputs'!$B$14*'Unit Map'!$I$13</x:f>
        <x:v>1.4000000000000001</x:v>
      </x:c>
      <x:c r="N51" s="35"/>
      <x:c r="O51" s="35" t="n">
        <x:f>'Pressure Profile'!B11</x:f>
        <x:v>2671</x:v>
      </x:c>
      <x:c r="P51" s="35" t="n">
        <x:f>'Pressure Profile'!C11*'Flow Cases'!B6</x:f>
        <x:v>9.446371547926026</x:v>
      </x:c>
      <x:c r="Q51" s="35" t="n">
        <x:f>'Pressure Profile'!C11</x:f>
        <x:v>11.113378291677677</x:v>
      </x:c>
      <x:c r="R51" s="35" t="n">
        <x:f>'Pressure Profile'!C11*'Flow Cases'!B8</x:f>
        <x:v>12.780385035429328</x:v>
      </x:c>
      <x:c r="S51" s="35" t="n">
        <x:f>'Inputs'!$B$15*'Unit Map'!$I$19</x:f>
        <x:v>0.5</x:v>
      </x:c>
      <x:c r="T51" s="35"/>
      <x:c r="U51" s="35"/>
      <x:c r="V51" s="35"/>
      <x:c r="W51" s="35"/>
      <x:c r="X51" s="35"/>
      <x:c r="Y51" s="35"/>
    </x:row>
    <x:row r="52">
      <x:c r="A52" s="35" t="n">
        <x:f>'Pressure Profile'!B12</x:f>
        <x:v>2721</x:v>
      </x:c>
      <x:c r="B52" s="35" t="n">
        <x:f>('Pressure Profile'!F12+('Pressure Profile'!G12-'Pressure Profile'!F12)*'Flow Cases'!B6^1.75)</x:f>
        <x:v>48936792.047184736</x:v>
      </x:c>
      <x:c r="C52" s="35" t="n">
        <x:f>'Pressure Profile'!G12</x:f>
        <x:v>54501775.6765071</x:v>
      </x:c>
      <x:c r="D52" s="35" t="n">
        <x:f>('Pressure Profile'!F12+('Pressure Profile'!G12-'Pressure Profile'!F12)*'Flow Cases'!B8^1.75)</x:f>
        <x:v>60731045.505893365</x:v>
      </x:c>
      <x:c r="E52" s="35" t="n">
        <x:f>'Pressure Profile'!F12</x:f>
        <x:v>32020673.58</x:v>
      </x:c>
      <x:c r="F52" s="35" t="n">
        <x:f>'Inputs'!$B$6*'Unit Map'!$I$15</x:f>
        <x:v>35000000</x:v>
      </x:c>
      <x:c r="G52" s="35"/>
      <x:c r="H52" s="35" t="n">
        <x:f>'Pressure Profile'!B12</x:f>
        <x:v>2721</x:v>
      </x:c>
      <x:c r="I52" s="35" t="n">
        <x:f>('Inputs'!$B$9+('Pressure Profile'!H12/'Unit Map'!$I$13-'Inputs'!$B$9)*'Flow Cases'!B6^1.75)*'Unit Map'!$I$13</x:f>
        <x:v>1.2</x:v>
      </x:c>
      <x:c r="J52" s="35" t="n">
        <x:f>'Pressure Profile'!H12</x:f>
        <x:v>1.2</x:v>
      </x:c>
      <x:c r="K52" s="35" t="n">
        <x:f>('Inputs'!$B$9+('Pressure Profile'!H12/'Unit Map'!$I$13-'Inputs'!$B$9)*'Flow Cases'!B8^1.75)*'Unit Map'!$I$13</x:f>
        <x:v>1.2</x:v>
      </x:c>
      <x:c r="L52" s="35" t="n">
        <x:f>'Inputs'!$B$9*'Unit Map'!$I$13</x:f>
        <x:v>1.2</x:v>
      </x:c>
      <x:c r="M52" s="35" t="n">
        <x:f>'Inputs'!$B$14*'Unit Map'!$I$13</x:f>
        <x:v>1.4000000000000001</x:v>
      </x:c>
      <x:c r="N52" s="35"/>
      <x:c r="O52" s="35" t="n">
        <x:f>'Pressure Profile'!B12</x:f>
        <x:v>2721</x:v>
      </x:c>
      <x:c r="P52" s="35" t="n">
        <x:f>'Pressure Profile'!C12*'Flow Cases'!B6</x:f>
        <x:v>14.656558625144683</x:v>
      </x:c>
      <x:c r="Q52" s="35" t="n">
        <x:f>'Pressure Profile'!C12</x:f>
        <x:v>17.24301014722904</x:v>
      </x:c>
      <x:c r="R52" s="35" t="n">
        <x:f>'Pressure Profile'!C12*'Flow Cases'!B8</x:f>
        <x:v>19.829461669313392</x:v>
      </x:c>
      <x:c r="S52" s="35" t="n">
        <x:f>'Inputs'!$B$15*'Unit Map'!$I$19</x:f>
        <x:v>0.5</x:v>
      </x:c>
      <x:c r="T52" s="35"/>
      <x:c r="U52" s="35"/>
      <x:c r="V52" s="35"/>
      <x:c r="W52" s="35"/>
      <x:c r="X52" s="35"/>
      <x:c r="Y52" s="35"/>
    </x:row>
    <x:row r="53">
      <x:c r="A53" s="35" t="n">
        <x:f>'Pressure Profile'!B13</x:f>
        <x:v>5381</x:v>
      </x:c>
      <x:c r="B53" s="35" t="n">
        <x:f>('Pressure Profile'!F13+('Pressure Profile'!G13-'Pressure Profile'!F13)*'Flow Cases'!B6^1.75)</x:f>
        <x:v>91426866.7073614</x:v>
      </x:c>
      <x:c r="C53" s="35" t="n">
        <x:f>'Pressure Profile'!G13</x:f>
        <x:v>100672177.55358198</x:v>
      </x:c>
      <x:c r="D53" s="35" t="n">
        <x:f>('Pressure Profile'!F13+('Pressure Profile'!G13-'Pressure Profile'!F13)*'Flow Cases'!B8^1.75)</x:f>
        <x:v>111021091.36066037</x:v>
      </x:c>
      <x:c r="E53" s="35" t="n">
        <x:f>'Pressure Profile'!F13</x:f>
        <x:v>63323500.379999995</x:v>
      </x:c>
      <x:c r="F53" s="35" t="n">
        <x:f>'Inputs'!$B$6*'Unit Map'!$I$15</x:f>
        <x:v>35000000</x:v>
      </x:c>
      <x:c r="G53" s="35"/>
      <x:c r="H53" s="35" t="n">
        <x:f>'Pressure Profile'!B13</x:f>
        <x:v>5381</x:v>
      </x:c>
      <x:c r="I53" s="35" t="n">
        <x:f>('Inputs'!$B$9+('Pressure Profile'!H13/'Unit Map'!$I$13-'Inputs'!$B$9)*'Flow Cases'!B6^1.75)*'Unit Map'!$I$13</x:f>
        <x:v>1.6288653391588261</x:v>
      </x:c>
      <x:c r="J53" s="35" t="n">
        <x:f>'Pressure Profile'!H13</x:f>
        <x:v>1.7699514042766855</x:v>
      </x:c>
      <x:c r="K53" s="35" t="n">
        <x:f>('Inputs'!$B$9+('Pressure Profile'!H13/'Unit Map'!$I$13-'Inputs'!$B$9)*'Flow Cases'!B8^1.75)*'Unit Map'!$I$13</x:f>
        <x:v>1.927878763515391</x:v>
      </x:c>
      <x:c r="L53" s="35" t="n">
        <x:f>'Inputs'!$B$9*'Unit Map'!$I$13</x:f>
        <x:v>1.2</x:v>
      </x:c>
      <x:c r="M53" s="35" t="n">
        <x:f>'Inputs'!$B$14*'Unit Map'!$I$13</x:f>
        <x:v>1.4000000000000001</x:v>
      </x:c>
      <x:c r="N53" s="35"/>
      <x:c r="O53" s="35" t="n">
        <x:f>'Pressure Profile'!B13</x:f>
        <x:v>5381</x:v>
      </x:c>
      <x:c r="P53" s="35" t="n">
        <x:f>'Pressure Profile'!C13*'Flow Cases'!B6</x:f>
        <x:v>2.8037658368520413</x:v>
      </x:c>
      <x:c r="Q53" s="35" t="n">
        <x:f>'Pressure Profile'!C13</x:f>
        <x:v>3.2985480433553427</x:v>
      </x:c>
      <x:c r="R53" s="35" t="n">
        <x:f>'Pressure Profile'!C13*'Flow Cases'!B8</x:f>
        <x:v>3.7933302498586436</x:v>
      </x:c>
      <x:c r="S53" s="35" t="n">
        <x:f>'Inputs'!$B$15*'Unit Map'!$I$19</x:f>
        <x:v>0.5</x:v>
      </x:c>
      <x:c r="T53" s="35"/>
      <x:c r="U53" s="35"/>
      <x:c r="V53" s="35"/>
      <x:c r="W53" s="35"/>
      <x:c r="X53" s="35"/>
      <x:c r="Y53" s="35"/>
    </x:row>
  </x:sheetData>
  <x:mergeCells>
    <x:mergeCell ref="A1:N1"/>
    <x:mergeCell ref="A3:Y3"/>
  </x:mergeCells>
  <x:pageMargins left="0.7" right="0.7" top="0.75" bottom="0.75" header="0.3" footer="0.3"/>
  <x:drawing xmlns:r="http://schemas.openxmlformats.org/officeDocument/2006/relationships" r:id="rId1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BHA Assembly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Shared SI BHA assembly — reused by hydraulics, torque/drag and BHA models</x:v>
      </x:c>
      <x:c r="B3" s="38" t="str">
        <x:v>Shared SI BHA assembly — reused by hydraulics, torque/drag and BHA models</x:v>
      </x:c>
      <x:c r="C3" s="38" t="str">
        <x:v>Shared SI BHA assembly — reused by hydraulics, torque/drag and BHA models</x:v>
      </x:c>
      <x:c r="D3" s="38" t="str">
        <x:v>Shared SI BHA assembly — reused by hydraulics, torque/drag and BHA models</x:v>
      </x:c>
      <x:c r="E3" s="38" t="str">
        <x:v>Shared SI BHA assembly — reused by hydraulics, torque/drag and BHA models</x:v>
      </x:c>
      <x:c r="F3" s="38" t="str">
        <x:v>Shared SI BHA assembly — reused by hydraulics, torque/drag and BHA models</x:v>
      </x:c>
      <x:c r="G3" s="38" t="str">
        <x:v>Shared SI BHA assembly — reused by hydraulics, torque/drag and BHA models</x:v>
      </x:c>
      <x:c r="H3" s="38" t="str">
        <x:v>Shared SI BHA assembly — reused by hydraulics, torque/drag and BHA models</x:v>
      </x:c>
      <x:c r="I3" s="38" t="str">
        <x:v>Shared SI BHA assembly — reused by hydraulics, torque/drag and BHA models</x:v>
      </x:c>
      <x:c r="J3" s="38" t="str">
        <x:v>Shared SI BHA assembly — reused by hydraulics, torque/drag and BHA models</x:v>
      </x:c>
      <x:c r="K3" s="38" t="str">
        <x:v>Shared SI BHA assembly — reused by hydraulics, torque/drag and BHA models</x:v>
      </x:c>
      <x:c r="L3" s="38" t="str">
        <x:v>Shared SI BHA assembly — reused by hydraulics, torque/drag and BHA models</x:v>
      </x:c>
      <x:c r="M3" s="38" t="str">
        <x:v>Shared SI BHA assembly — reused by hydraulics, torque/drag and BHA models</x:v>
      </x:c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Record ID</x:v>
      </x:c>
      <x:c r="B5" s="36" t="str">
        <x:v>Component</x:v>
      </x:c>
      <x:c r="C5" s="36" t="str">
        <x:v>Top m</x:v>
      </x:c>
      <x:c r="D5" s="36" t="str">
        <x:v>Bottom m</x:v>
      </x:c>
      <x:c r="E5" s="36" t="str">
        <x:v>Length m</x:v>
      </x:c>
      <x:c r="F5" s="36" t="str">
        <x:v>OD m</x:v>
      </x:c>
      <x:c r="G5" s="36" t="str">
        <x:v>ID m</x:v>
      </x:c>
      <x:c r="H5" s="36" t="str">
        <x:v>Area m2</x:v>
      </x:c>
      <x:c r="I5" s="36" t="str">
        <x:v>I m4</x:v>
      </x:c>
      <x:c r="J5" s="36" t="str">
        <x:v>Mass kg</x:v>
      </x:c>
      <x:c r="K5" s="36" t="str">
        <x:v>Support factor</x:v>
      </x:c>
      <x:c r="L5" s="36" t="str">
        <x:v>Connection / role</x:v>
      </x:c>
      <x:c r="M5" s="36" t="str">
        <x:v>Status</x:v>
      </x:c>
      <x:c r="N5" s="35"/>
    </x:row>
    <x:row r="6">
      <x:c r="A6" s="37" t="str">
        <x:v>bha-bit</x:v>
      </x:c>
      <x:c r="B6" s="37" t="str">
        <x:v>Bit</x:v>
      </x:c>
      <x:c r="C6" s="37" t="n">
        <x:f>0</x:f>
        <x:v>0</x:v>
      </x:c>
      <x:c r="D6" s="37" t="n">
        <x:f>C6+E6</x:f>
        <x:v>0.3</x:v>
      </x:c>
      <x:c r="E6" s="37" t="n">
        <x:f>0.3</x:f>
        <x:v>0.3</x:v>
      </x:c>
      <x:c r="F6" s="37" t="n">
        <x:f>0.216</x:f>
        <x:v>0.216</x:v>
      </x:c>
      <x:c r="G6" s="37" t="n">
        <x:f>0.05</x:f>
        <x:v>0.05</x:v>
      </x:c>
      <x:c r="H6" s="37" t="n">
        <x:f>PI()/4*(F6^2-G6^2)</x:f>
        <x:v>0.03468004130297772</x:v>
      </x:c>
      <x:c r="I6" s="37" t="n">
        <x:f>PI()/64*(F6^4-G6^4)</x:f>
        <x:v>0.0001065457568930733</x:v>
      </x:c>
      <x:c r="J6" s="37" t="n">
        <x:f>H6*E6*7850</x:f>
        <x:v>81.67149726851254</x:v>
      </x:c>
      <x:c r="K6" s="37" t="n">
        <x:f>1</x:f>
        <x:v>1</x:v>
      </x:c>
      <x:c r="L6" s="37" t="str">
        <x:f>"Bit / formation interface"</x:f>
        <x:v>Bit / formation interface</x:v>
      </x:c>
      <x:c r="M6" s="37" t="str">
        <x:f>IF(AND(F6&gt;G6,E6&gt;0),"PASS","REVIEW")</x:f>
        <x:v>PASS</x:v>
      </x:c>
      <x:c r="N6" s="35"/>
    </x:row>
    <x:row r="7">
      <x:c r="A7" s="37" t="str">
        <x:v>bha-near-bit-stabilizer</x:v>
      </x:c>
      <x:c r="B7" s="37" t="str">
        <x:v>Near-bit stabilizer</x:v>
      </x:c>
      <x:c r="C7" s="37" t="n">
        <x:f>D6</x:f>
        <x:v>0.3</x:v>
      </x:c>
      <x:c r="D7" s="37" t="n">
        <x:f>C7+E7</x:f>
        <x:v>1.8</x:v>
      </x:c>
      <x:c r="E7" s="37" t="n">
        <x:f>1.5</x:f>
        <x:v>1.5</x:v>
      </x:c>
      <x:c r="F7" s="37" t="n">
        <x:f>0.203</x:f>
        <x:v>0.203</x:v>
      </x:c>
      <x:c r="G7" s="37" t="n">
        <x:f>0.07</x:f>
        <x:v>0.07</x:v>
      </x:c>
      <x:c r="H7" s="37" t="n">
        <x:f>PI()/4*(F7^2-G7^2)</x:f>
        <x:v>0.02851702191479795</x:v>
      </x:c>
      <x:c r="I7" s="37" t="n">
        <x:f>PI()/64*(F7^4-G7^4)</x:f>
        <x:v>0.00008218071021683868</x:v>
      </x:c>
      <x:c r="J7" s="37" t="n">
        <x:f>H7*E7*7850</x:f>
        <x:v>335.7879330467459</x:v>
      </x:c>
      <x:c r="K7" s="37" t="n">
        <x:f>0.85</x:f>
        <x:v>0.85</x:v>
      </x:c>
      <x:c r="L7" s="37" t="str">
        <x:f>"BHA component"</x:f>
        <x:v>BHA component</x:v>
      </x:c>
      <x:c r="M7" s="37" t="str">
        <x:f>IF(AND(F7&gt;G7,E7&gt;0),"PASS","REVIEW")</x:f>
        <x:v>PASS</x:v>
      </x:c>
      <x:c r="N7" s="35"/>
    </x:row>
    <x:row r="8">
      <x:c r="A8" s="37" t="str">
        <x:v>bha-motor-rss</x:v>
      </x:c>
      <x:c r="B8" s="37" t="str">
        <x:v>Motor / RSS</x:v>
      </x:c>
      <x:c r="C8" s="37" t="n">
        <x:f>D7</x:f>
        <x:v>1.8</x:v>
      </x:c>
      <x:c r="D8" s="37" t="n">
        <x:f>C8+E8</x:f>
        <x:v>9.8</x:v>
      </x:c>
      <x:c r="E8" s="37" t="n">
        <x:f>8</x:f>
        <x:v>8</x:v>
      </x:c>
      <x:c r="F8" s="37" t="n">
        <x:f>0.171</x:f>
        <x:v>0.171</x:v>
      </x:c>
      <x:c r="G8" s="37" t="n">
        <x:f>0.057</x:f>
        <x:v>0.057</x:v>
      </x:c>
      <x:c r="H8" s="37" t="n">
        <x:f>PI()/4*(F8^2-G8^2)</x:f>
        <x:v>0.020414069063026476</x:v>
      </x:c>
      <x:c r="I8" s="37" t="n">
        <x:f>PI()/64*(F8^4-G8^4)</x:f>
        <x:v>0.00004145331899110815</x:v>
      </x:c>
      <x:c r="J8" s="37" t="n">
        <x:f>H8*E8*7850</x:f>
        <x:v>1282.0035371580627</x:v>
      </x:c>
      <x:c r="K8" s="37" t="n">
        <x:f>0.7</x:f>
        <x:v>0.7</x:v>
      </x:c>
      <x:c r="L8" s="37" t="str">
        <x:f>"BHA component"</x:f>
        <x:v>BHA component</x:v>
      </x:c>
      <x:c r="M8" s="37" t="str">
        <x:f>IF(AND(F8&gt;G8,E8&gt;0),"PASS","REVIEW")</x:f>
        <x:v>PASS</x:v>
      </x:c>
      <x:c r="N8" s="35"/>
    </x:row>
    <x:row r="9">
      <x:c r="A9" s="37" t="str">
        <x:v>bha-mwd-lwd</x:v>
      </x:c>
      <x:c r="B9" s="37" t="str">
        <x:v>MWD / LWD</x:v>
      </x:c>
      <x:c r="C9" s="37" t="n">
        <x:f>D8</x:f>
        <x:v>9.8</x:v>
      </x:c>
      <x:c r="D9" s="37" t="n">
        <x:f>C9+E9</x:f>
        <x:v>21.8</x:v>
      </x:c>
      <x:c r="E9" s="37" t="n">
        <x:f>12</x:f>
        <x:v>12</x:v>
      </x:c>
      <x:c r="F9" s="37" t="n">
        <x:f>0.171</x:f>
        <x:v>0.171</x:v>
      </x:c>
      <x:c r="G9" s="37" t="n">
        <x:f>0.057</x:f>
        <x:v>0.057</x:v>
      </x:c>
      <x:c r="H9" s="37" t="n">
        <x:f>PI()/4*(F9^2-G9^2)</x:f>
        <x:v>0.020414069063026476</x:v>
      </x:c>
      <x:c r="I9" s="37" t="n">
        <x:f>PI()/64*(F9^4-G9^4)</x:f>
        <x:v>0.00004145331899110815</x:v>
      </x:c>
      <x:c r="J9" s="37" t="n">
        <x:f>H9*E9*7850</x:f>
        <x:v>1923.005305737094</x:v>
      </x:c>
      <x:c r="K9" s="37" t="n">
        <x:f>0.65</x:f>
        <x:v>0.65</x:v>
      </x:c>
      <x:c r="L9" s="37" t="str">
        <x:f>"BHA component"</x:f>
        <x:v>BHA component</x:v>
      </x:c>
      <x:c r="M9" s="37" t="str">
        <x:f>IF(AND(F9&gt;G9,E9&gt;0),"PASS","REVIEW")</x:f>
        <x:v>PASS</x:v>
      </x:c>
      <x:c r="N9" s="35"/>
    </x:row>
    <x:row r="10">
      <x:c r="A10" s="37" t="str">
        <x:v>bha-drill-collar</x:v>
      </x:c>
      <x:c r="B10" s="37" t="str">
        <x:v>Drill collar</x:v>
      </x:c>
      <x:c r="C10" s="37" t="n">
        <x:f>D9</x:f>
        <x:v>21.8</x:v>
      </x:c>
      <x:c r="D10" s="37" t="n">
        <x:f>C10+E10</x:f>
        <x:v>111.8</x:v>
      </x:c>
      <x:c r="E10" s="37" t="n">
        <x:f>90</x:f>
        <x:v>90</x:v>
      </x:c>
      <x:c r="F10" s="37" t="n">
        <x:f>0.171</x:f>
        <x:v>0.171</x:v>
      </x:c>
      <x:c r="G10" s="37" t="n">
        <x:f>0.071</x:f>
        <x:v>0.071</x:v>
      </x:c>
      <x:c r="H10" s="37" t="n">
        <x:f>PI()/4*(F10^2-G10^2)</x:f>
        <x:v>0.019006635554218252</x:v>
      </x:c>
      <x:c r="I10" s="37" t="n">
        <x:f>PI()/64*(F10^4-G10^4)</x:f>
        <x:v>0.00004072409250435688</x:v>
      </x:c>
      <x:c r="J10" s="37" t="n">
        <x:f>H10*E10*7850</x:f>
        <x:v>13428.188019055196</x:v>
      </x:c>
      <x:c r="K10" s="37" t="n">
        <x:f>0.55</x:f>
        <x:v>0.55</x:v>
      </x:c>
      <x:c r="L10" s="37" t="str">
        <x:f>"BHA component"</x:f>
        <x:v>BHA component</x:v>
      </x:c>
      <x:c r="M10" s="37" t="str">
        <x:f>IF(AND(F10&gt;G10,E10&gt;0),"PASS","REVIEW")</x:f>
        <x:v>PASS</x:v>
      </x:c>
      <x:c r="N10" s="35"/>
    </x:row>
    <x:row r="11">
      <x:c r="A11" s="37" t="str">
        <x:v>bha-hwdp-transition</x:v>
      </x:c>
      <x:c r="B11" s="37" t="str">
        <x:v>HWDP transition</x:v>
      </x:c>
      <x:c r="C11" s="37" t="n">
        <x:f>D10</x:f>
        <x:v>111.8</x:v>
      </x:c>
      <x:c r="D11" s="37" t="n">
        <x:f>C11+E11</x:f>
        <x:v>171.8</x:v>
      </x:c>
      <x:c r="E11" s="37" t="n">
        <x:f>60</x:f>
        <x:v>60</x:v>
      </x:c>
      <x:c r="F11" s="37" t="n">
        <x:f>0.14</x:f>
        <x:v>0.14</x:v>
      </x:c>
      <x:c r="G11" s="37" t="n">
        <x:f>0.076</x:f>
        <x:v>0.076</x:v>
      </x:c>
      <x:c r="H11" s="37" t="n">
        <x:f>PI()/4*(F11^2-G11^2)</x:f>
        <x:v>0.010857344210806327</x:v>
      </x:c>
      <x:c r="I11" s="37" t="n">
        <x:f>PI()/64*(F11^4-G11^4)</x:f>
        <x:v>0.00001721974791833884</x:v>
      </x:c>
      <x:c r="J11" s="37" t="n">
        <x:f>H11*E11*7850</x:f>
        <x:v>5113.80912328978</x:v>
      </x:c>
      <x:c r="K11" s="37" t="n">
        <x:f>0.4</x:f>
        <x:v>0.4</x:v>
      </x:c>
      <x:c r="L11" s="37" t="str">
        <x:f>"BHA component"</x:f>
        <x:v>BHA component</x:v>
      </x:c>
      <x:c r="M11" s="37" t="str">
        <x:f>IF(AND(F11&gt;G11,E11&gt;0),"PASS","REVIEW")</x:f>
        <x:v>PASS</x:v>
      </x:c>
      <x:c r="N11" s="35"/>
    </x:row>
  </x:sheetData>
  <x:mergeCells>
    <x:mergeCell ref="A1:N1"/>
    <x:mergeCell ref="A3:M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Chart Settings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Persisted engineering-chart configuration</x:v>
      </x:c>
      <x:c r="B3" s="38" t="str">
        <x:v>Persisted engineering-chart configuration</x:v>
      </x:c>
      <x:c r="C3" s="38" t="str">
        <x:v>Persisted engineering-chart configuration</x:v>
      </x:c>
      <x:c r="D3" s="40" t="str">
        <x:v>These settings are saved with the case and reapplied by the VBA engine.</x:v>
      </x:c>
      <x:c r="E3" s="40"/>
      <x:c r="F3" s="40"/>
      <x:c r="G3" s="40"/>
      <x:c r="H3" s="40"/>
      <x:c r="I3" s="40"/>
      <x:c r="J3" s="40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Setting</x:v>
      </x:c>
      <x:c r="B5" s="36" t="str">
        <x:v>Value</x:v>
      </x:c>
      <x:c r="C5" s="36" t="str">
        <x:v>Purpose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5" t="str">
        <x:v>Selected MD</x:v>
      </x:c>
      <x:c r="B6" s="39" t="n">
        <x:v>2690.5</x:v>
      </x:c>
      <x:c r="C6" s="35" t="str">
        <x:v>Canonical SI depth used by the screen reader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 t="str">
        <x:v>Observed data visible</x:v>
      </x:c>
      <x:c r="B7" s="39" t="str">
        <x:v>Yes</x:v>
      </x:c>
      <x:c r="C7" s="35" t="str">
        <x:v>Show measured/observed series when supplied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 t="str">
        <x:v>Low friction multiplier</x:v>
      </x:c>
      <x:c r="B8" s="39" t="n">
        <x:v>0.8</x:v>
      </x:c>
      <x:c r="C8" s="35" t="str">
        <x:v>Low sensitivity family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 t="str">
        <x:v>Base friction multiplier</x:v>
      </x:c>
      <x:c r="B9" s="39" t="n">
        <x:v>1</x:v>
      </x:c>
      <x:c r="C9" s="35" t="str">
        <x:v>Base model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 t="str">
        <x:v>High friction multiplier</x:v>
      </x:c>
      <x:c r="B10" s="39" t="n">
        <x:v>1.2</x:v>
      </x:c>
      <x:c r="C10" s="35" t="str">
        <x:v>High sensitivity family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 t="str">
        <x:v>Show well context</x:v>
      </x:c>
      <x:c r="B11" s="39" t="str">
        <x:v>Yes</x:v>
      </x:c>
      <x:c r="C11" s="35" t="str">
        <x:v>Show section/component boundary context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 t="str">
        <x:v>Show limits</x:v>
      </x:c>
      <x:c r="B12" s="39" t="str">
        <x:v>Yes</x:v>
      </x:c>
      <x:c r="C12" s="35" t="str">
        <x:v>Show ratings, thresholds, and operating envelopes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 t="str">
        <x:v>Report composition</x:v>
      </x:c>
      <x:c r="B13" s="39" t="str">
        <x:v>Engineering review</x:v>
      </x:c>
      <x:c r="C13" s="35" t="str">
        <x:v>Saved chart/report selection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</x:sheetData>
  <x:mergeCells>
    <x:mergeCell ref="A1:N1"/>
    <x:mergeCell ref="A3:C3"/>
    <x:mergeCell ref="D3:J3"/>
  </x:mergeCells>
  <x:dataValidations count="2">
    <x:dataValidation type="list" sqref="B7">
      <x:formula1>"Yes,No"</x:formula1>
    </x:dataValidation>
    <x:dataValidation type="list" sqref="B11:B12">
      <x:formula1>"Yes,No"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Unit Map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Display-unit control — calculations and stored inputs remain SI</x:v>
      </x:c>
      <x:c r="B3" s="38" t="str">
        <x:v>Display-unit control — calculations and stored inputs remain SI</x:v>
      </x:c>
      <x:c r="C3" s="38" t="str">
        <x:v>Display-unit control — calculations and stored inputs remain SI</x:v>
      </x:c>
      <x:c r="D3" s="38" t="str">
        <x:v>Display-unit control — calculations and stored inputs remain SI</x:v>
      </x:c>
      <x:c r="E3" s="38" t="str">
        <x:v>Display-unit control — calculations and stored inputs remain SI</x:v>
      </x:c>
      <x:c r="F3" s="38" t="str">
        <x:v>Display-unit control — calculations and stored inputs remain SI</x:v>
      </x:c>
      <x:c r="G3" s="38" t="str">
        <x:v>Display-unit control — calculations and stored inputs remain SI</x:v>
      </x:c>
      <x:c r="H3" s="38" t="str">
        <x:v>Display-unit control — calculations and stored inputs remain SI</x:v>
      </x:c>
      <x:c r="I3" s="38" t="str">
        <x:v>Display-unit control — calculations and stored inputs remain SI</x:v>
      </x:c>
      <x:c r="J3" s="38" t="str">
        <x:v>Display-unit control — calculations and stored inputs remain SI</x:v>
      </x:c>
      <x:c r="K3" s="38" t="str">
        <x:v>Display-unit control — calculations and stored inputs remain SI</x:v>
      </x:c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5" t="str">
        <x:v>Display system</x:v>
      </x:c>
      <x:c r="B5" s="39" t="str">
        <x:v>SI</x:v>
      </x:c>
      <x:c r="C5" s="35"/>
      <x:c r="D5" s="40" t="str">
        <x:v>Choose Custom, then set each domain dropdown in column J.</x:v>
      </x:c>
      <x:c r="E5" s="40"/>
      <x:c r="F5" s="40"/>
      <x:c r="G5" s="40"/>
      <x:c r="H5" s="40"/>
      <x:c r="I5" s="40"/>
      <x:c r="J5" s="40"/>
      <x:c r="K5" s="40"/>
      <x:c r="L5" s="35"/>
      <x:c r="M5" s="35"/>
      <x:c r="N5" s="35"/>
    </x:row>
    <x:row r="6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6" t="str">
        <x:v>Domain</x:v>
      </x:c>
      <x:c r="B7" s="36" t="str">
        <x:v>SI unit</x:v>
      </x:c>
      <x:c r="C7" s="36" t="str">
        <x:v>Imperial</x:v>
      </x:c>
      <x:c r="D7" s="36" t="str">
        <x:v>Mixed</x:v>
      </x:c>
      <x:c r="E7" s="36" t="str">
        <x:v>Imp factor</x:v>
      </x:c>
      <x:c r="F7" s="36" t="str">
        <x:v>Mixed factor</x:v>
      </x:c>
      <x:c r="G7" s="36" t="str">
        <x:v>Offset</x:v>
      </x:c>
      <x:c r="H7" s="36" t="str">
        <x:v>Selected unit</x:v>
      </x:c>
      <x:c r="I7" s="36" t="str">
        <x:v>Selected factor</x:v>
      </x:c>
      <x:c r="J7" s="36" t="str">
        <x:v>Custom selection</x:v>
      </x:c>
      <x:c r="K7" s="36" t="str">
        <x:v>SI factor</x:v>
      </x:c>
      <x:c r="L7" s="35"/>
      <x:c r="M7" s="35"/>
      <x:c r="N7" s="35"/>
    </x:row>
    <x:row r="8">
      <x:c r="A8" s="41" t="str">
        <x:v>Length</x:v>
      </x:c>
      <x:c r="B8" s="41" t="str">
        <x:v>m</x:v>
      </x:c>
      <x:c r="C8" s="41" t="str">
        <x:v>ft</x:v>
      </x:c>
      <x:c r="D8" s="41" t="str">
        <x:v>m</x:v>
      </x:c>
      <x:c r="E8" s="18" t="n">
        <x:v>3.280839895</x:v>
      </x:c>
      <x:c r="F8" s="18" t="n">
        <x:v>1</x:v>
      </x:c>
      <x:c r="G8" s="18" t="n">
        <x:v>0</x:v>
      </x:c>
      <x:c r="H8" s="41" t="str">
        <x:f>IF($B$5="SI",B8,IF($B$5="Imperial",C8,IF($B$5="Mixed",D8,IF($B$5="Custom",IF(J8="SI",B8,IF(J8="Imperial",C8,IF(J8="Mixed",D8,"INVALID"))),"INVALID"))))</x:f>
        <x:v>m</x:v>
      </x:c>
      <x:c r="I8" s="18" t="n">
        <x:f>IF($B$5="SI",K8,IF($B$5="Imperial",E8,IF($B$5="Mixed",F8,IF($B$5="Custom",IF(J8="SI",K8,IF(J8="Imperial",E8,IF(J8="Mixed",F8,NA()))),NA()))))</x:f>
        <x:v>1</x:v>
      </x:c>
      <x:c r="J8" s="39" t="str">
        <x:v>SI</x:v>
      </x:c>
      <x:c r="K8" s="41" t="n">
        <x:v>1</x:v>
      </x:c>
      <x:c r="L8" s="35"/>
      <x:c r="M8" s="35"/>
      <x:c r="N8" s="35"/>
    </x:row>
    <x:row r="9">
      <x:c r="A9" s="41" t="str">
        <x:v>Diameter</x:v>
      </x:c>
      <x:c r="B9" s="41" t="str">
        <x:v>m</x:v>
      </x:c>
      <x:c r="C9" s="41" t="str">
        <x:v>in</x:v>
      </x:c>
      <x:c r="D9" s="41" t="str">
        <x:v>mm</x:v>
      </x:c>
      <x:c r="E9" s="18" t="n">
        <x:v>39.37007874</x:v>
      </x:c>
      <x:c r="F9" s="18" t="n">
        <x:v>1000</x:v>
      </x:c>
      <x:c r="G9" s="18" t="n">
        <x:v>0</x:v>
      </x:c>
      <x:c r="H9" s="41" t="str">
        <x:f>IF($B$5="SI",B9,IF($B$5="Imperial",C9,IF($B$5="Mixed",D9,IF($B$5="Custom",IF(J9="SI",B9,IF(J9="Imperial",C9,IF(J9="Mixed",D9,"INVALID"))),"INVALID"))))</x:f>
        <x:v>m</x:v>
      </x:c>
      <x:c r="I9" s="18" t="n">
        <x:f>IF($B$5="SI",K9,IF($B$5="Imperial",E9,IF($B$5="Mixed",F9,IF($B$5="Custom",IF(J9="SI",K9,IF(J9="Imperial",E9,IF(J9="Mixed",F9,NA()))),NA()))))</x:f>
        <x:v>1</x:v>
      </x:c>
      <x:c r="J9" s="39" t="str">
        <x:v>SI</x:v>
      </x:c>
      <x:c r="K9" s="41" t="n">
        <x:v>1</x:v>
      </x:c>
      <x:c r="L9" s="35"/>
      <x:c r="M9" s="35"/>
      <x:c r="N9" s="35"/>
    </x:row>
    <x:row r="10">
      <x:c r="A10" s="41" t="str">
        <x:v>Area</x:v>
      </x:c>
      <x:c r="B10" s="41" t="str">
        <x:v>m2</x:v>
      </x:c>
      <x:c r="C10" s="41" t="str">
        <x:v>in2</x:v>
      </x:c>
      <x:c r="D10" s="41" t="str">
        <x:v>cm2</x:v>
      </x:c>
      <x:c r="E10" s="18" t="n">
        <x:v>1550.0031</x:v>
      </x:c>
      <x:c r="F10" s="18" t="n">
        <x:v>10000</x:v>
      </x:c>
      <x:c r="G10" s="18" t="n">
        <x:v>0</x:v>
      </x:c>
      <x:c r="H10" s="41" t="str">
        <x:f>IF($B$5="SI",B10,IF($B$5="Imperial",C10,IF($B$5="Mixed",D10,IF($B$5="Custom",IF(J10="SI",B10,IF(J10="Imperial",C10,IF(J10="Mixed",D10,"INVALID"))),"INVALID"))))</x:f>
        <x:v>m2</x:v>
      </x:c>
      <x:c r="I10" s="18" t="n">
        <x:f>IF($B$5="SI",K10,IF($B$5="Imperial",E10,IF($B$5="Mixed",F10,IF($B$5="Custom",IF(J10="SI",K10,IF(J10="Imperial",E10,IF(J10="Mixed",F10,NA()))),NA()))))</x:f>
        <x:v>1</x:v>
      </x:c>
      <x:c r="J10" s="39" t="str">
        <x:v>SI</x:v>
      </x:c>
      <x:c r="K10" s="41" t="n">
        <x:v>1</x:v>
      </x:c>
      <x:c r="L10" s="35"/>
      <x:c r="M10" s="35"/>
      <x:c r="N10" s="35"/>
    </x:row>
    <x:row r="11">
      <x:c r="A11" s="41" t="str">
        <x:v>Volume</x:v>
      </x:c>
      <x:c r="B11" s="41" t="str">
        <x:v>m3</x:v>
      </x:c>
      <x:c r="C11" s="41" t="str">
        <x:v>bbl</x:v>
      </x:c>
      <x:c r="D11" s="41" t="str">
        <x:v>L</x:v>
      </x:c>
      <x:c r="E11" s="18" t="n">
        <x:v>6.28981077</x:v>
      </x:c>
      <x:c r="F11" s="18" t="n">
        <x:v>1000</x:v>
      </x:c>
      <x:c r="G11" s="18" t="n">
        <x:v>0</x:v>
      </x:c>
      <x:c r="H11" s="41" t="str">
        <x:f>IF($B$5="SI",B11,IF($B$5="Imperial",C11,IF($B$5="Mixed",D11,IF($B$5="Custom",IF(J11="SI",B11,IF(J11="Imperial",C11,IF(J11="Mixed",D11,"INVALID"))),"INVALID"))))</x:f>
        <x:v>m3</x:v>
      </x:c>
      <x:c r="I11" s="18" t="n">
        <x:f>IF($B$5="SI",K11,IF($B$5="Imperial",E11,IF($B$5="Mixed",F11,IF($B$5="Custom",IF(J11="SI",K11,IF(J11="Imperial",E11,IF(J11="Mixed",F11,NA()))),NA()))))</x:f>
        <x:v>1</x:v>
      </x:c>
      <x:c r="J11" s="39" t="str">
        <x:v>SI</x:v>
      </x:c>
      <x:c r="K11" s="41" t="n">
        <x:v>1</x:v>
      </x:c>
      <x:c r="L11" s="35"/>
      <x:c r="M11" s="35"/>
      <x:c r="N11" s="35"/>
    </x:row>
    <x:row r="12">
      <x:c r="A12" s="41" t="str">
        <x:v>Flow rate</x:v>
      </x:c>
      <x:c r="B12" s="41" t="str">
        <x:v>m3/s</x:v>
      </x:c>
      <x:c r="C12" s="41" t="str">
        <x:v>gpm</x:v>
      </x:c>
      <x:c r="D12" s="41" t="str">
        <x:v>L/min</x:v>
      </x:c>
      <x:c r="E12" s="18" t="n">
        <x:v>15850.32314</x:v>
      </x:c>
      <x:c r="F12" s="18" t="n">
        <x:v>60000</x:v>
      </x:c>
      <x:c r="G12" s="18" t="n">
        <x:v>0</x:v>
      </x:c>
      <x:c r="H12" s="41" t="str">
        <x:f>IF($B$5="SI",B12,IF($B$5="Imperial",C12,IF($B$5="Mixed",D12,IF($B$5="Custom",IF(J12="SI",B12,IF(J12="Imperial",C12,IF(J12="Mixed",D12,"INVALID"))),"INVALID"))))</x:f>
        <x:v>m3/s</x:v>
      </x:c>
      <x:c r="I12" s="18" t="n">
        <x:f>IF($B$5="SI",K12,IF($B$5="Imperial",E12,IF($B$5="Mixed",F12,IF($B$5="Custom",IF(J12="SI",K12,IF(J12="Imperial",E12,IF(J12="Mixed",F12,NA()))),NA()))))</x:f>
        <x:v>1</x:v>
      </x:c>
      <x:c r="J12" s="39" t="str">
        <x:v>SI</x:v>
      </x:c>
      <x:c r="K12" s="41" t="n">
        <x:v>1</x:v>
      </x:c>
      <x:c r="L12" s="35"/>
      <x:c r="M12" s="35"/>
      <x:c r="N12" s="35"/>
    </x:row>
    <x:row r="13">
      <x:c r="A13" s="41" t="str">
        <x:v>Density</x:v>
      </x:c>
      <x:c r="B13" s="41" t="str">
        <x:v>g/cm3</x:v>
      </x:c>
      <x:c r="C13" s="41" t="str">
        <x:v>ppg</x:v>
      </x:c>
      <x:c r="D13" s="41" t="str">
        <x:v>g/cm3</x:v>
      </x:c>
      <x:c r="E13" s="18" t="n">
        <x:v>0.008345404</x:v>
      </x:c>
      <x:c r="F13" s="18" t="n">
        <x:v>0.001</x:v>
      </x:c>
      <x:c r="G13" s="18" t="n">
        <x:v>0</x:v>
      </x:c>
      <x:c r="H13" s="41" t="str">
        <x:f>IF($B$5="SI",B13,IF($B$5="Imperial",C13,IF($B$5="Mixed",D13,IF($B$5="Custom",IF(J13="SI",B13,IF(J13="Imperial",C13,IF(J13="Mixed",D13,"INVALID"))),"INVALID"))))</x:f>
        <x:v>g/cm3</x:v>
      </x:c>
      <x:c r="I13" s="18" t="n">
        <x:f>IF($B$5="SI",K13,IF($B$5="Imperial",E13,IF($B$5="Mixed",F13,IF($B$5="Custom",IF(J13="SI",K13,IF(J13="Imperial",E13,IF(J13="Mixed",F13,NA()))),NA()))))</x:f>
        <x:v>0.001</x:v>
      </x:c>
      <x:c r="J13" s="39" t="str">
        <x:v>SI</x:v>
      </x:c>
      <x:c r="K13" s="41" t="n">
        <x:v>0.001</x:v>
      </x:c>
      <x:c r="L13" s="35"/>
      <x:c r="M13" s="35"/>
      <x:c r="N13" s="35"/>
    </x:row>
    <x:row r="14">
      <x:c r="A14" s="41" t="str">
        <x:v>Force</x:v>
      </x:c>
      <x:c r="B14" s="41" t="str">
        <x:v>N</x:v>
      </x:c>
      <x:c r="C14" s="41" t="str">
        <x:v>lbf</x:v>
      </x:c>
      <x:c r="D14" s="41" t="str">
        <x:v>kN</x:v>
      </x:c>
      <x:c r="E14" s="18" t="n">
        <x:v>0.224808943</x:v>
      </x:c>
      <x:c r="F14" s="18" t="n">
        <x:v>0.001</x:v>
      </x:c>
      <x:c r="G14" s="18" t="n">
        <x:v>0</x:v>
      </x:c>
      <x:c r="H14" s="41" t="str">
        <x:f>IF($B$5="SI",B14,IF($B$5="Imperial",C14,IF($B$5="Mixed",D14,IF($B$5="Custom",IF(J14="SI",B14,IF(J14="Imperial",C14,IF(J14="Mixed",D14,"INVALID"))),"INVALID"))))</x:f>
        <x:v>N</x:v>
      </x:c>
      <x:c r="I14" s="18" t="n">
        <x:f>IF($B$5="SI",K14,IF($B$5="Imperial",E14,IF($B$5="Mixed",F14,IF($B$5="Custom",IF(J14="SI",K14,IF(J14="Imperial",E14,IF(J14="Mixed",F14,NA()))),NA()))))</x:f>
        <x:v>1</x:v>
      </x:c>
      <x:c r="J14" s="39" t="str">
        <x:v>SI</x:v>
      </x:c>
      <x:c r="K14" s="41" t="n">
        <x:v>1</x:v>
      </x:c>
      <x:c r="L14" s="35"/>
      <x:c r="M14" s="35"/>
      <x:c r="N14" s="35"/>
    </x:row>
    <x:row r="15">
      <x:c r="A15" s="41" t="str">
        <x:v>Pressure</x:v>
      </x:c>
      <x:c r="B15" s="41" t="str">
        <x:v>Pa</x:v>
      </x:c>
      <x:c r="C15" s="41" t="str">
        <x:v>psi</x:v>
      </x:c>
      <x:c r="D15" s="41" t="str">
        <x:v>kPa</x:v>
      </x:c>
      <x:c r="E15" s="18" t="n">
        <x:v>0.000145037738</x:v>
      </x:c>
      <x:c r="F15" s="18" t="n">
        <x:v>0.001</x:v>
      </x:c>
      <x:c r="G15" s="18" t="n">
        <x:v>0</x:v>
      </x:c>
      <x:c r="H15" s="41" t="str">
        <x:f>IF($B$5="SI",B15,IF($B$5="Imperial",C15,IF($B$5="Mixed",D15,IF($B$5="Custom",IF(J15="SI",B15,IF(J15="Imperial",C15,IF(J15="Mixed",D15,"INVALID"))),"INVALID"))))</x:f>
        <x:v>Pa</x:v>
      </x:c>
      <x:c r="I15" s="18" t="n">
        <x:f>IF($B$5="SI",K15,IF($B$5="Imperial",E15,IF($B$5="Mixed",F15,IF($B$5="Custom",IF(J15="SI",K15,IF(J15="Imperial",E15,IF(J15="Mixed",F15,NA()))),NA()))))</x:f>
        <x:v>1</x:v>
      </x:c>
      <x:c r="J15" s="39" t="str">
        <x:v>SI</x:v>
      </x:c>
      <x:c r="K15" s="41" t="n">
        <x:v>1</x:v>
      </x:c>
      <x:c r="L15" s="35"/>
      <x:c r="M15" s="35"/>
      <x:c r="N15" s="35"/>
    </x:row>
    <x:row r="16">
      <x:c r="A16" s="41" t="str">
        <x:v>Torque</x:v>
      </x:c>
      <x:c r="B16" s="41" t="str">
        <x:v>N-m</x:v>
      </x:c>
      <x:c r="C16" s="41" t="str">
        <x:v>ft-lbf</x:v>
      </x:c>
      <x:c r="D16" s="41" t="str">
        <x:v>kN-m</x:v>
      </x:c>
      <x:c r="E16" s="18" t="n">
        <x:v>0.737562149</x:v>
      </x:c>
      <x:c r="F16" s="18" t="n">
        <x:v>0.001</x:v>
      </x:c>
      <x:c r="G16" s="18" t="n">
        <x:v>0</x:v>
      </x:c>
      <x:c r="H16" s="41" t="str">
        <x:f>IF($B$5="SI",B16,IF($B$5="Imperial",C16,IF($B$5="Mixed",D16,IF($B$5="Custom",IF(J16="SI",B16,IF(J16="Imperial",C16,IF(J16="Mixed",D16,"INVALID"))),"INVALID"))))</x:f>
        <x:v>N-m</x:v>
      </x:c>
      <x:c r="I16" s="18" t="n">
        <x:f>IF($B$5="SI",K16,IF($B$5="Imperial",E16,IF($B$5="Mixed",F16,IF($B$5="Custom",IF(J16="SI",K16,IF(J16="Imperial",E16,IF(J16="Mixed",F16,NA()))),NA()))))</x:f>
        <x:v>1</x:v>
      </x:c>
      <x:c r="J16" s="39" t="str">
        <x:v>SI</x:v>
      </x:c>
      <x:c r="K16" s="41" t="n">
        <x:v>1</x:v>
      </x:c>
      <x:c r="L16" s="35"/>
      <x:c r="M16" s="35"/>
      <x:c r="N16" s="35"/>
    </x:row>
    <x:row r="17">
      <x:c r="A17" s="41" t="str">
        <x:v>Stress</x:v>
      </x:c>
      <x:c r="B17" s="41" t="str">
        <x:v>Pa</x:v>
      </x:c>
      <x:c r="C17" s="41" t="str">
        <x:v>psi</x:v>
      </x:c>
      <x:c r="D17" s="41" t="str">
        <x:v>MPa</x:v>
      </x:c>
      <x:c r="E17" s="18" t="n">
        <x:v>0.000145037738</x:v>
      </x:c>
      <x:c r="F17" s="18" t="n">
        <x:v>0.000001</x:v>
      </x:c>
      <x:c r="G17" s="18" t="n">
        <x:v>0</x:v>
      </x:c>
      <x:c r="H17" s="41" t="str">
        <x:f>IF($B$5="SI",B17,IF($B$5="Imperial",C17,IF($B$5="Mixed",D17,IF($B$5="Custom",IF(J17="SI",B17,IF(J17="Imperial",C17,IF(J17="Mixed",D17,"INVALID"))),"INVALID"))))</x:f>
        <x:v>Pa</x:v>
      </x:c>
      <x:c r="I17" s="18" t="n">
        <x:f>IF($B$5="SI",K17,IF($B$5="Imperial",E17,IF($B$5="Mixed",F17,IF($B$5="Custom",IF(J17="SI",K17,IF(J17="Imperial",E17,IF(J17="Mixed",F17,NA()))),NA()))))</x:f>
        <x:v>1</x:v>
      </x:c>
      <x:c r="J17" s="39" t="str">
        <x:v>SI</x:v>
      </x:c>
      <x:c r="K17" s="41" t="n">
        <x:v>1</x:v>
      </x:c>
      <x:c r="L17" s="35"/>
      <x:c r="M17" s="35"/>
      <x:c r="N17" s="35"/>
    </x:row>
    <x:row r="18">
      <x:c r="A18" s="41" t="str">
        <x:v>Angle</x:v>
      </x:c>
      <x:c r="B18" s="41" t="str">
        <x:v>rad</x:v>
      </x:c>
      <x:c r="C18" s="41" t="str">
        <x:v>deg</x:v>
      </x:c>
      <x:c r="D18" s="41" t="str">
        <x:v>deg</x:v>
      </x:c>
      <x:c r="E18" s="18" t="n">
        <x:v>57.295779513</x:v>
      </x:c>
      <x:c r="F18" s="18" t="n">
        <x:v>57.295779513</x:v>
      </x:c>
      <x:c r="G18" s="18" t="n">
        <x:v>0</x:v>
      </x:c>
      <x:c r="H18" s="41" t="str">
        <x:f>IF($B$5="SI",B18,IF($B$5="Imperial",C18,IF($B$5="Mixed",D18,IF($B$5="Custom",IF(J18="SI",B18,IF(J18="Imperial",C18,IF(J18="Mixed",D18,"INVALID"))),"INVALID"))))</x:f>
        <x:v>rad</x:v>
      </x:c>
      <x:c r="I18" s="18" t="n">
        <x:f>IF($B$5="SI",K18,IF($B$5="Imperial",E18,IF($B$5="Mixed",F18,IF($B$5="Custom",IF(J18="SI",K18,IF(J18="Imperial",E18,IF(J18="Mixed",F18,NA()))),NA()))))</x:f>
        <x:v>1</x:v>
      </x:c>
      <x:c r="J18" s="39" t="str">
        <x:v>SI</x:v>
      </x:c>
      <x:c r="K18" s="41" t="n">
        <x:v>1</x:v>
      </x:c>
      <x:c r="L18" s="35"/>
      <x:c r="M18" s="35"/>
      <x:c r="N18" s="35"/>
    </x:row>
    <x:row r="19">
      <x:c r="A19" s="41" t="str">
        <x:v>Speed</x:v>
      </x:c>
      <x:c r="B19" s="41" t="str">
        <x:v>m/s</x:v>
      </x:c>
      <x:c r="C19" s="41" t="str">
        <x:v>ft/min</x:v>
      </x:c>
      <x:c r="D19" s="41" t="str">
        <x:v>m/min</x:v>
      </x:c>
      <x:c r="E19" s="18" t="n">
        <x:v>196.8503937</x:v>
      </x:c>
      <x:c r="F19" s="18" t="n">
        <x:v>60</x:v>
      </x:c>
      <x:c r="G19" s="18" t="n">
        <x:v>0</x:v>
      </x:c>
      <x:c r="H19" s="41" t="str">
        <x:f>IF($B$5="SI",B19,IF($B$5="Imperial",C19,IF($B$5="Mixed",D19,IF($B$5="Custom",IF(J19="SI",B19,IF(J19="Imperial",C19,IF(J19="Mixed",D19,"INVALID"))),"INVALID"))))</x:f>
        <x:v>m/s</x:v>
      </x:c>
      <x:c r="I19" s="18" t="n">
        <x:f>IF($B$5="SI",K19,IF($B$5="Imperial",E19,IF($B$5="Mixed",F19,IF($B$5="Custom",IF(J19="SI",K19,IF(J19="Imperial",E19,IF(J19="Mixed",F19,NA()))),NA()))))</x:f>
        <x:v>1</x:v>
      </x:c>
      <x:c r="J19" s="39" t="str">
        <x:v>SI</x:v>
      </x:c>
      <x:c r="K19" s="41" t="n">
        <x:v>1</x:v>
      </x:c>
      <x:c r="L19" s="35"/>
      <x:c r="M19" s="35"/>
      <x:c r="N19" s="35"/>
    </x:row>
    <x:row r="20">
      <x:c r="A20" s="41" t="str">
        <x:v>Angular gradient</x:v>
      </x:c>
      <x:c r="B20" s="41" t="str">
        <x:v>rad/m</x:v>
      </x:c>
      <x:c r="C20" s="41" t="str">
        <x:v>deg/100ft</x:v>
      </x:c>
      <x:c r="D20" s="41" t="str">
        <x:v>deg/30m</x:v>
      </x:c>
      <x:c r="E20" s="18" t="n">
        <x:v>1746.37535955875</x:v>
      </x:c>
      <x:c r="F20" s="18" t="n">
        <x:v>1718.87338539247</x:v>
      </x:c>
      <x:c r="G20" s="18" t="n">
        <x:v>0</x:v>
      </x:c>
      <x:c r="H20" s="41" t="str">
        <x:f>IF($B$5="SI",B20,IF($B$5="Imperial",C20,IF($B$5="Mixed",D20,IF($B$5="Custom",IF(J20="SI",B20,IF(J20="Imperial",C20,IF(J20="Mixed",D20,"INVALID"))),"INVALID"))))</x:f>
        <x:v>rad/m</x:v>
      </x:c>
      <x:c r="I20" s="18" t="n">
        <x:f>IF($B$5="SI",K20,IF($B$5="Imperial",E20,IF($B$5="Mixed",F20,IF($B$5="Custom",IF(J20="SI",K20,IF(J20="Imperial",E20,IF(J20="Mixed",F20,NA()))),NA()))))</x:f>
        <x:v>1</x:v>
      </x:c>
      <x:c r="J20" s="39" t="str">
        <x:v>SI</x:v>
      </x:c>
      <x:c r="K20" s="41" t="n">
        <x:v>1</x:v>
      </x:c>
      <x:c r="L20" s="35"/>
      <x:c r="M20" s="35"/>
      <x:c r="N20" s="35"/>
    </x:row>
  </x:sheetData>
  <x:mergeCells>
    <x:mergeCell ref="A1:N1"/>
    <x:mergeCell ref="A3:K3"/>
    <x:mergeCell ref="D5:K5"/>
  </x:mergeCells>
  <x:dataValidations count="14">
    <x:dataValidation type="list" sqref="B5">
      <x:formula1>"SI,Imperial,Mixed,Custom"</x:formula1>
    </x:dataValidation>
    <x:dataValidation type="list" sqref="J8">
      <x:formula1>"SI,Imperial,Mixed"</x:formula1>
    </x:dataValidation>
    <x:dataValidation type="list" sqref="J9">
      <x:formula1>"SI,Imperial,Mixed"</x:formula1>
    </x:dataValidation>
    <x:dataValidation type="list" sqref="J10">
      <x:formula1>"SI,Imperial,Mixed"</x:formula1>
    </x:dataValidation>
    <x:dataValidation type="list" sqref="J11">
      <x:formula1>"SI,Imperial,Mixed"</x:formula1>
    </x:dataValidation>
    <x:dataValidation type="list" sqref="J12">
      <x:formula1>"SI,Imperial,Mixed"</x:formula1>
    </x:dataValidation>
    <x:dataValidation type="list" sqref="J13">
      <x:formula1>"SI,Imperial,Mixed"</x:formula1>
    </x:dataValidation>
    <x:dataValidation type="list" sqref="J14">
      <x:formula1>"SI,Imperial,Mixed"</x:formula1>
    </x:dataValidation>
    <x:dataValidation type="list" sqref="J15">
      <x:formula1>"SI,Imperial,Mixed"</x:formula1>
    </x:dataValidation>
    <x:dataValidation type="list" sqref="J16">
      <x:formula1>"SI,Imperial,Mixed"</x:formula1>
    </x:dataValidation>
    <x:dataValidation type="list" sqref="J17">
      <x:formula1>"SI,Imperial,Mixed"</x:formula1>
    </x:dataValidation>
    <x:dataValidation type="list" sqref="J18">
      <x:formula1>"SI,Imperial,Mixed"</x:formula1>
    </x:dataValidation>
    <x:dataValidation type="list" sqref="J19">
      <x:formula1>"SI,Imperial,Mixed"</x:formula1>
    </x:dataValidation>
    <x:dataValidation type="list" sqref="J20">
      <x:formula1>"SI,Imperial,Mixed"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Checks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Model checks and operating-status gates</x:v>
      </x:c>
      <x:c r="B3" s="38" t="str">
        <x:v>Model checks and operating-status gates</x:v>
      </x:c>
      <x:c r="C3" s="38" t="str">
        <x:v>Model checks and operating-status gates</x:v>
      </x:c>
      <x:c r="D3" s="38" t="str">
        <x:v>Model checks and operating-status gates</x:v>
      </x:c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6" t="str">
        <x:v>Check</x:v>
      </x:c>
      <x:c r="B5" s="36" t="str">
        <x:v>Result</x:v>
      </x:c>
      <x:c r="C5" s="36" t="str">
        <x:v>Status</x:v>
      </x:c>
      <x:c r="D5" s="36" t="str">
        <x:v>Required action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41" t="str">
        <x:v>SI input source</x:v>
      </x:c>
      <x:c r="B6" s="41" t="str">
        <x:v>All calculation sources use SI units</x:v>
      </x:c>
      <x:c r="C6" s="41" t="str">
        <x:v>INFO</x:v>
      </x:c>
      <x:c r="D6" s="41" t="str">
        <x:v>Select display units only in Unit Map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41" t="str">
        <x:v>Input completeness</x:v>
      </x:c>
      <x:c r="B7" s="41" t="str">
        <x:v>Refer to Inputs input-status cells</x:v>
      </x:c>
      <x:c r="C7" s="41" t="str">
        <x:v>PENDING</x:v>
      </x:c>
      <x:c r="D7" s="41" t="str">
        <x:v>Resolve blanks / invalid geometry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41" t="str">
        <x:v>Limit screening</x:v>
      </x:c>
      <x:c r="B8" s="41" t="str">
        <x:v>Refer to Summary governing utilisation</x:v>
      </x:c>
      <x:c r="C8" s="41" t="str">
        <x:v>PENDING</x:v>
      </x:c>
      <x:c r="D8" s="41" t="str">
        <x:v>Review any value above 100%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41" t="str">
        <x:v>Method basis</x:v>
      </x:c>
      <x:c r="B9" s="41" t="str">
        <x:v>Screening model; not controlled operational approval</x:v>
      </x:c>
      <x:c r="C9" s="41" t="str">
        <x:v>INFO</x:v>
      </x:c>
      <x:c r="D9" s="41" t="str">
        <x:v>Use approved engineering workflow for sign-off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41" t="str">
        <x:v>External links / VBA</x:v>
      </x:c>
      <x:c r="B10" s="41" t="str">
        <x:v>None</x:v>
      </x:c>
      <x:c r="C10" s="41" t="str">
        <x:v>PASS</x:v>
      </x:c>
      <x:c r="D10" s="41" t="str">
        <x:v>Workbook remains portable and auditable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</x:sheetData>
  <x:mergeCells>
    <x:mergeCell ref="A1:N1"/>
    <x:mergeCell ref="A3:D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Calc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5"/>
      <x:c r="P1" s="35"/>
      <x:c r="Q1" s="35"/>
      <x:c r="R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</x:row>
    <x:row r="3">
      <x:c r="A3" s="38" t="str">
        <x:v>Formula-driven pressure-loss calculations</x:v>
      </x:c>
      <x:c r="B3" s="38" t="str">
        <x:v>Formula-driven pressure-loss calculations</x:v>
      </x:c>
      <x:c r="C3" s="38" t="str">
        <x:v>Formula-driven pressure-loss calculations</x:v>
      </x:c>
      <x:c r="D3" s="38" t="str">
        <x:v>Formula-driven pressure-loss calculations</x:v>
      </x:c>
      <x:c r="E3" s="38" t="str">
        <x:v>Formula-driven pressure-loss calculations</x:v>
      </x:c>
      <x:c r="F3" s="38" t="str">
        <x:v>Formula-driven pressure-loss calculations</x:v>
      </x:c>
      <x:c r="G3" s="38" t="str">
        <x:v>Formula-driven pressure-loss calculations</x:v>
      </x:c>
      <x:c r="H3" s="38" t="str">
        <x:v>Formula-driven pressure-loss calculations</x:v>
      </x:c>
      <x:c r="I3" s="38" t="str">
        <x:v>Formula-driven pressure-loss calculations</x:v>
      </x:c>
      <x:c r="J3" s="38" t="str">
        <x:v>Formula-driven pressure-loss calculations</x:v>
      </x:c>
      <x:c r="K3" s="35"/>
      <x:c r="L3" s="35"/>
      <x:c r="M3" s="35"/>
      <x:c r="N3" s="35"/>
      <x:c r="O3" s="35"/>
      <x:c r="P3" s="35"/>
      <x:c r="Q3" s="35"/>
      <x:c r="R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</x:row>
    <x:row r="5">
      <x:c r="A5" s="36" t="str">
        <x:v>Tube section</x:v>
      </x:c>
      <x:c r="B5" s="36" t="str">
        <x:v>Length m</x:v>
      </x:c>
      <x:c r="C5" s="36" t="str">
        <x:v>Hydraulic dia. m</x:v>
      </x:c>
      <x:c r="D5" s="36" t="str">
        <x:v>Velocity m/s</x:v>
      </x:c>
      <x:c r="E5" s="36" t="str">
        <x:v>Reynolds</x:v>
      </x:c>
      <x:c r="F5" s="36" t="str">
        <x:v>Friction factor</x:v>
      </x:c>
      <x:c r="G5" s="36" t="str">
        <x:v>Pressure loss Pa</x:v>
      </x:c>
      <x:c r="H5" s="36" t="str">
        <x:v>Cumulative Pa</x:v>
      </x:c>
      <x:c r="I5" s="36" t="str">
        <x:v>Pressure % limit</x:v>
      </x:c>
      <x:c r="J5" s="36" t="str">
        <x:v>Status</x:v>
      </x:c>
      <x:c r="K5" s="35"/>
      <x:c r="L5" s="36" t="str">
        <x:v>Nozzle d m</x:v>
      </x:c>
      <x:c r="M5" s="36" t="str">
        <x:v>Total area m2</x:v>
      </x:c>
      <x:c r="N5" s="36" t="str">
        <x:v>Nozzle velocity m/s</x:v>
      </x:c>
      <x:c r="O5" s="36" t="str">
        <x:v>Bit drop Pa</x:v>
      </x:c>
      <x:c r="P5" s="36" t="str">
        <x:v>Total SPP Pa</x:v>
      </x:c>
      <x:c r="Q5" s="36" t="str">
        <x:v>Score</x:v>
      </x:c>
      <x:c r="R5" s="35" t="str">
        <x:v>Exchange record ID</x:v>
      </x:c>
    </x:row>
    <x:row r="6">
      <x:c r="A6" s="37" t="str">
        <x:f>Inputs!D6</x:f>
        <x:v>Standpipe</x:v>
      </x:c>
      <x:c r="B6" s="37" t="n">
        <x:f>Inputs!E6</x:f>
        <x:v>35</x:v>
      </x:c>
      <x:c r="C6" s="37" t="n">
        <x:f>Inputs!H6</x:f>
        <x:v>0.102</x:v>
      </x:c>
      <x:c r="D6" s="37" t="n">
        <x:f>Inputs!$B$8/IF(Inputs!G6="Annulus",PI()/4*((Inputs!F6+Inputs!H6)^2-Inputs!F6^2),PI()/4*C6^2)</x:f>
        <x:v>5.384711646323257</x:v>
      </x:c>
      <x:c r="E6" s="37" t="n">
        <x:f>Inputs!$B$9*D6*C6/Inputs!$B$10</x:f>
        <x:v>18831.10587171333</x:v>
      </x:c>
      <x:c r="F6" s="37" t="n">
        <x:f>IF(E6&gt;4000,0.3164/E6^0.25,64/E6)</x:f>
        <x:v>0.0270095605723651</x:v>
      </x:c>
      <x:c r="G6" s="37" t="n">
        <x:f>F6*B6/C6*(Inputs!$B$9*D6^2/2)</x:f>
        <x:v>161235.82522716955</x:v>
      </x:c>
      <x:c r="H6" s="37" t="n">
        <x:f>SUM($G$6:G6)</x:f>
        <x:v>161235.82522716955</x:v>
      </x:c>
      <x:c r="I6" s="50" t="n">
        <x:f>H6/Inputs!$B$6</x:f>
        <x:v>0.004606737863633416</x:v>
      </x:c>
      <x:c r="J6" s="37" t="str">
        <x:f>IF(I6&lt;=1,"PASS","REVIEW")</x:f>
        <x:v>PASS</x:v>
      </x:c>
      <x:c r="K6" s="35"/>
      <x:c r="L6" s="37" t="n">
        <x:v>0.008</x:v>
      </x:c>
      <x:c r="M6" s="37" t="n">
        <x:f>PI()/4*L6^2*Inputs!$B$11</x:f>
        <x:v>0.00015079644737231007</x:v>
      </x:c>
      <x:c r="N6" s="37" t="n">
        <x:f>Inputs!$B$8/M6</x:f>
        <x:v>291.78406233514147</x:v>
      </x:c>
      <x:c r="O6" s="37" t="n">
        <x:f>Inputs!$B$9/2*(N6/Inputs!$B$13)^2</x:f>
        <x:v>56601399.91100126</x:v>
      </x:c>
      <x:c r="P6" s="37" t="n">
        <x:f>H13+O6</x:f>
        <x:v>93950077.08458325</x:v>
      </x:c>
      <x:c r="Q6" s="50" t="n">
        <x:f>ABS(P6-Inputs!$B$6)/Inputs!$B$6</x:f>
        <x:v>1.6842879167023785</x:v>
      </x:c>
      <x:c r="R6" s="35" t="str">
        <x:v>nozzle-008</x:v>
      </x:c>
    </x:row>
    <x:row r="7">
      <x:c r="A7" s="37" t="str">
        <x:f>Inputs!D7</x:f>
        <x:v>Rotary hose</x:v>
      </x:c>
      <x:c r="B7" s="37" t="n">
        <x:f>Inputs!E7</x:f>
        <x:v>18</x:v>
      </x:c>
      <x:c r="C7" s="37" t="n">
        <x:f>Inputs!H7</x:f>
        <x:v>0.076</x:v>
      </x:c>
      <x:c r="D7" s="37" t="n">
        <x:f>Inputs!$B$8/IF(Inputs!G7="Annulus",PI()/4*((Inputs!F7+Inputs!H7)^2-Inputs!F7^2),PI()/4*C7^2)</x:f>
        <x:v>9.699193207816338</x:v>
      </x:c>
      <x:c r="E7" s="37" t="n">
        <x:f>Inputs!$B$9*D7*C7/Inputs!$B$10</x:f>
        <x:v>25273.32630151</x:v>
      </x:c>
      <x:c r="F7" s="37" t="n">
        <x:f>IF(E7&gt;4000,0.3164/E7^0.25,64/E7)</x:f>
        <x:v>0.02509405662751508</x:v>
      </x:c>
      <x:c r="G7" s="37" t="n">
        <x:f>F7*B7/C7*(Inputs!$B$9*D7^2/2)</x:f>
        <x:v>335468.8948815475</x:v>
      </x:c>
      <x:c r="H7" s="37" t="n">
        <x:f>SUM($G$6:G7)</x:f>
        <x:v>496704.72010871704</x:v>
      </x:c>
      <x:c r="I7" s="50" t="n">
        <x:f>H7/Inputs!$B$6</x:f>
        <x:v>0.01419156343167763</x:v>
      </x:c>
      <x:c r="J7" s="37" t="str">
        <x:f>IF(I7&lt;=1,"PASS","REVIEW")</x:f>
        <x:v>PASS</x:v>
      </x:c>
      <x:c r="K7" s="35"/>
      <x:c r="L7" s="37" t="n">
        <x:v>0.009</x:v>
      </x:c>
      <x:c r="M7" s="37" t="n">
        <x:f>PI()/4*L7^2*Inputs!$B$11</x:f>
        <x:v>0.0001908517537055799</x:v>
      </x:c>
      <x:c r="N7" s="37" t="n">
        <x:f>Inputs!$B$8/M7</x:f>
        <x:v>230.54543196850685</x:v>
      </x:c>
      <x:c r="O7" s="37" t="n">
        <x:f>Inputs!$B$9/2*(N7/Inputs!$B$13)^2</x:f>
        <x:v>35335975.31404682</x:v>
      </x:c>
      <x:c r="P7" s="37" t="n">
        <x:f>H13+O7</x:f>
        <x:v>72684652.48762882</x:v>
      </x:c>
      <x:c r="Q7" s="50" t="n">
        <x:f>ABS(P7-Inputs!$B$6)/Inputs!$B$6</x:f>
        <x:v>1.0767043567893948</x:v>
      </x:c>
      <x:c r="R7" s="35" t="str">
        <x:v>nozzle-009</x:v>
      </x:c>
    </x:row>
    <x:row r="8">
      <x:c r="A8" s="37" t="str">
        <x:f>Inputs!D8</x:f>
        <x:v>Top drive / swivel</x:v>
      </x:c>
      <x:c r="B8" s="37" t="n">
        <x:f>Inputs!E8</x:f>
        <x:v>8</x:v>
      </x:c>
      <x:c r="C8" s="37" t="n">
        <x:f>Inputs!H8</x:f>
        <x:v>0.076</x:v>
      </x:c>
      <x:c r="D8" s="37" t="n">
        <x:f>Inputs!$B$8/IF(Inputs!G8="Annulus",PI()/4*((Inputs!F8+Inputs!H8)^2-Inputs!F8^2),PI()/4*C8^2)</x:f>
        <x:v>9.699193207816338</x:v>
      </x:c>
      <x:c r="E8" s="37" t="n">
        <x:f>Inputs!$B$9*D8*C8/Inputs!$B$10</x:f>
        <x:v>25273.32630151</x:v>
      </x:c>
      <x:c r="F8" s="37" t="n">
        <x:f>IF(E8&gt;4000,0.3164/E8^0.25,64/E8)</x:f>
        <x:v>0.02509405662751508</x:v>
      </x:c>
      <x:c r="G8" s="37" t="n">
        <x:f>F8*B8/C8*(Inputs!$B$9*D8^2/2)</x:f>
        <x:v>149097.28661402114</x:v>
      </x:c>
      <x:c r="H8" s="37" t="n">
        <x:f>SUM($G$6:G8)</x:f>
        <x:v>645802.0067227382</x:v>
      </x:c>
      <x:c r="I8" s="50" t="n">
        <x:f>H8/Inputs!$B$6</x:f>
        <x:v>0.018451485906363946</x:v>
      </x:c>
      <x:c r="J8" s="37" t="str">
        <x:f>IF(I8&lt;=1,"PASS","REVIEW")</x:f>
        <x:v>PASS</x:v>
      </x:c>
      <x:c r="K8" s="35"/>
      <x:c r="L8" s="37" t="n">
        <x:v>0.01</x:v>
      </x:c>
      <x:c r="M8" s="37" t="n">
        <x:f>PI()/4*L8^2*Inputs!$B$11</x:f>
        <x:v>0.00023561944901923448</x:v>
      </x:c>
      <x:c r="N8" s="37" t="n">
        <x:f>Inputs!$B$8/M8</x:f>
        <x:v>186.74179989449053</x:v>
      </x:c>
      <x:c r="O8" s="37" t="n">
        <x:f>Inputs!$B$9/2*(N8/Inputs!$B$13)^2</x:f>
        <x:v>23183933.40354611</x:v>
      </x:c>
      <x:c r="P8" s="37" t="n">
        <x:f>H13+O8</x:f>
        <x:v>60532610.5771281</x:v>
      </x:c>
      <x:c r="Q8" s="50" t="n">
        <x:f>ABS(P8-Inputs!$B$6)/Inputs!$B$6</x:f>
        <x:v>0.7295031593465171</x:v>
      </x:c>
      <x:c r="R8" s="35" t="str">
        <x:v>nozzle-010</x:v>
      </x:c>
    </x:row>
    <x:row r="9">
      <x:c r="A9" s="37" t="str">
        <x:f>Inputs!D9</x:f>
        <x:v>Drill pipe</x:v>
      </x:c>
      <x:c r="B9" s="37" t="n">
        <x:f>Inputs!E9</x:f>
        <x:v>2100</x:v>
      </x:c>
      <x:c r="C9" s="37" t="n">
        <x:f>Inputs!H9</x:f>
        <x:v>0.1086</x:v>
      </x:c>
      <x:c r="D9" s="37" t="n">
        <x:f>Inputs!$B$8/IF(Inputs!G9="Annulus",PI()/4*((Inputs!F9+Inputs!H9)^2-Inputs!F9^2),PI()/4*C9^2)</x:f>
        <x:v>4.750104287987</x:v>
      </x:c>
      <x:c r="E9" s="37" t="n">
        <x:f>Inputs!$B$9*D9*C9/Inputs!$B$10</x:f>
        <x:v>17686.674023156163</x:v>
      </x:c>
      <x:c r="F9" s="37" t="n">
        <x:f>IF(E9&gt;4000,0.3164/E9^0.25,64/E9)</x:f>
        <x:v>0.027436261398201402</x:v>
      </x:c>
      <x:c r="G9" s="37" t="n">
        <x:f>F9*B9/C9*(Inputs!$B$9*D9^2/2)</x:f>
        <x:v>7182438.913734692</x:v>
      </x:c>
      <x:c r="H9" s="37" t="n">
        <x:f>SUM($G$6:G9)</x:f>
        <x:v>7828240.92045743</x:v>
      </x:c>
      <x:c r="I9" s="50" t="n">
        <x:f>H9/Inputs!$B$6</x:f>
        <x:v>0.2236640262987837</x:v>
      </x:c>
      <x:c r="J9" s="37" t="str">
        <x:f>IF(I9&lt;=1,"PASS","REVIEW")</x:f>
        <x:v>PASS</x:v>
      </x:c>
      <x:c r="K9" s="35"/>
      <x:c r="L9" s="37" t="n">
        <x:v>0.011</x:v>
      </x:c>
      <x:c r="M9" s="37" t="n">
        <x:f>PI()/4*L9^2*Inputs!$B$11</x:f>
        <x:v>0.00028509953331327367</x:v>
      </x:c>
      <x:c r="N9" s="37" t="n">
        <x:f>Inputs!$B$8/M9</x:f>
        <x:v>154.33206602850458</x:v>
      </x:c>
      <x:c r="O9" s="37" t="n">
        <x:f>Inputs!$B$9/2*(N9/Inputs!$B$13)^2</x:f>
        <x:v>15834938.462909719</x:v>
      </x:c>
      <x:c r="P9" s="37" t="n">
        <x:f>H13+O9</x:f>
        <x:v>53183615.63649171</x:v>
      </x:c>
      <x:c r="Q9" s="50" t="n">
        <x:f>ABS(P9-Inputs!$B$6)/Inputs!$B$6</x:f>
        <x:v>0.5195318753283346</x:v>
      </x:c>
      <x:c r="R9" s="35" t="str">
        <x:v>nozzle-011</x:v>
      </x:c>
    </x:row>
    <x:row r="10">
      <x:c r="A10" s="37" t="str">
        <x:f>Inputs!D10</x:f>
        <x:v>HWDP</x:v>
      </x:c>
      <x:c r="B10" s="37" t="n">
        <x:f>Inputs!E10</x:f>
        <x:v>300</x:v>
      </x:c>
      <x:c r="C10" s="37" t="n">
        <x:f>Inputs!H10</x:f>
        <x:v>0.076</x:v>
      </x:c>
      <x:c r="D10" s="37" t="n">
        <x:f>Inputs!$B$8/IF(Inputs!G10="Annulus",PI()/4*((Inputs!F10+Inputs!H10)^2-Inputs!F10^2),PI()/4*C10^2)</x:f>
        <x:v>9.699193207816338</x:v>
      </x:c>
      <x:c r="E10" s="37" t="n">
        <x:f>Inputs!$B$9*D10*C10/Inputs!$B$10</x:f>
        <x:v>25273.32630151</x:v>
      </x:c>
      <x:c r="F10" s="37" t="n">
        <x:f>IF(E10&gt;4000,0.3164/E10^0.25,64/E10)</x:f>
        <x:v>0.02509405662751508</x:v>
      </x:c>
      <x:c r="G10" s="37" t="n">
        <x:f>F10*B10/C10*(Inputs!$B$9*D10^2/2)</x:f>
        <x:v>5591148.248025793</x:v>
      </x:c>
      <x:c r="H10" s="37" t="n">
        <x:f>SUM($G$6:G10)</x:f>
        <x:v>13419389.168483224</x:v>
      </x:c>
      <x:c r="I10" s="50" t="n">
        <x:f>H10/Inputs!$B$6</x:f>
        <x:v>0.3834111190995207</x:v>
      </x:c>
      <x:c r="J10" s="37" t="str">
        <x:f>IF(I10&lt;=1,"PASS","REVIEW")</x:f>
        <x:v>PASS</x:v>
      </x:c>
      <x:c r="K10" s="35"/>
      <x:c r="L10" s="37" t="n">
        <x:v>0.012</x:v>
      </x:c>
      <x:c r="M10" s="37" t="n">
        <x:f>PI()/4*L10^2*Inputs!$B$11</x:f>
        <x:v>0.00033929200658769766</x:v>
      </x:c>
      <x:c r="N10" s="37" t="n">
        <x:f>Inputs!$B$8/M10</x:f>
        <x:v>129.68180548228509</x:v>
      </x:c>
      <x:c r="O10" s="37" t="n">
        <x:f>Inputs!$B$9/2*(N10/Inputs!$B$13)^2</x:f>
        <x:v>11180523.43921012</x:v>
      </x:c>
      <x:c r="P10" s="37" t="n">
        <x:f>H13+O10</x:f>
        <x:v>48529200.612792104</x:v>
      </x:c>
      <x:c r="Q10" s="50" t="n">
        <x:f>ABS(P10-Inputs!$B$6)/Inputs!$B$6</x:f>
        <x:v>0.3865485889369173</x:v>
      </x:c>
      <x:c r="R10" s="35" t="str">
        <x:v>nozzle-012</x:v>
      </x:c>
    </x:row>
    <x:row r="11">
      <x:c r="A11" s="37" t="str">
        <x:f>Inputs!D11</x:f>
        <x:v>Drill collar</x:v>
      </x:c>
      <x:c r="B11" s="37" t="n">
        <x:f>Inputs!E11</x:f>
        <x:v>210</x:v>
      </x:c>
      <x:c r="C11" s="37" t="n">
        <x:f>Inputs!H11</x:f>
        <x:v>0.071</x:v>
      </x:c>
      <x:c r="D11" s="37" t="n">
        <x:f>Inputs!$B$8/IF(Inputs!G11="Annulus",PI()/4*((Inputs!F11+Inputs!H11)^2-Inputs!F11^2),PI()/4*C11^2)</x:f>
        <x:v>11.113378291677677</x:v>
      </x:c>
      <x:c r="E11" s="37" t="n">
        <x:f>Inputs!$B$9*D11*C11/Inputs!$B$10</x:f>
        <x:v>27053.13801288394</x:v>
      </x:c>
      <x:c r="F11" s="37" t="n">
        <x:f>IF(E11&gt;4000,0.3164/E11^0.25,64/E11)</x:f>
        <x:v>0.024670733548640484</x:v>
      </x:c>
      <x:c r="G11" s="37" t="n">
        <x:f>F11*B11/C11*(Inputs!$B$9*D11^2/2)</x:f>
        <x:v>5407374.573404709</x:v>
      </x:c>
      <x:c r="H11" s="37" t="n">
        <x:f>SUM($G$6:G11)</x:f>
        <x:v>18826763.741887935</x:v>
      </x:c>
      <x:c r="I11" s="50" t="n">
        <x:f>H11/Inputs!$B$6</x:f>
        <x:v>0.5379075354825125</x:v>
      </x:c>
      <x:c r="J11" s="37" t="str">
        <x:f>IF(I11&lt;=1,"PASS","REVIEW")</x:f>
        <x:v>PASS</x:v>
      </x:c>
      <x:c r="K11" s="35"/>
      <x:c r="L11" s="35"/>
      <x:c r="M11" s="35"/>
      <x:c r="N11" s="35"/>
      <x:c r="O11" s="35"/>
      <x:c r="P11" s="35"/>
      <x:c r="Q11" s="35"/>
      <x:c r="R11" s="35"/>
    </x:row>
    <x:row r="12">
      <x:c r="A12" s="37" t="str">
        <x:f>Inputs!D12</x:f>
        <x:v>Motor / MWD</x:v>
      </x:c>
      <x:c r="B12" s="37" t="n">
        <x:f>Inputs!E12</x:f>
        <x:v>50</x:v>
      </x:c>
      <x:c r="C12" s="37" t="n">
        <x:f>Inputs!H12</x:f>
        <x:v>0.057</x:v>
      </x:c>
      <x:c r="D12" s="37" t="n">
        <x:f>Inputs!$B$8/IF(Inputs!G12="Annulus",PI()/4*((Inputs!F12+Inputs!H12)^2-Inputs!F12^2),PI()/4*C12^2)</x:f>
        <x:v>17.24301014722904</x:v>
      </x:c>
      <x:c r="E12" s="37" t="n">
        <x:f>Inputs!$B$9*D12*C12/Inputs!$B$10</x:f>
        <x:v>33697.768402013324</x:v>
      </x:c>
      <x:c r="F12" s="37" t="n">
        <x:f>IF(E12&gt;4000,0.3164/E12^0.25,64/E12)</x:f>
        <x:v>0.023352651032148782</x:v>
      </x:c>
      <x:c r="G12" s="37" t="n">
        <x:f>F12*B12/C12*(Inputs!$B$9*D12^2/2)</x:f>
        <x:v>3654338.354619165</x:v>
      </x:c>
      <x:c r="H12" s="37" t="n">
        <x:f>SUM($G$6:G12)</x:f>
        <x:v>22481102.0965071</x:v>
      </x:c>
      <x:c r="I12" s="50" t="n">
        <x:f>H12/Inputs!$B$6</x:f>
        <x:v>0.6423172027573457</x:v>
      </x:c>
      <x:c r="J12" s="37" t="str">
        <x:f>IF(I12&lt;=1,"PASS","REVIEW")</x:f>
        <x:v>PASS</x:v>
      </x:c>
      <x:c r="K12" s="35"/>
      <x:c r="L12" s="35"/>
      <x:c r="M12" s="35"/>
      <x:c r="N12" s="35"/>
      <x:c r="O12" s="35"/>
      <x:c r="P12" s="35"/>
      <x:c r="Q12" s="35"/>
      <x:c r="R12" s="35"/>
    </x:row>
    <x:row r="13">
      <x:c r="A13" s="37" t="str">
        <x:f>Inputs!D13</x:f>
        <x:v>Open-hole annulus</x:v>
      </x:c>
      <x:c r="B13" s="37" t="n">
        <x:f>Inputs!E13</x:f>
        <x:v>2660</x:v>
      </x:c>
      <x:c r="C13" s="37" t="n">
        <x:f>Inputs!H13</x:f>
        <x:v>0.044</x:v>
      </x:c>
      <x:c r="D13" s="37" t="n">
        <x:f>Inputs!$B$8/IF(Inputs!G13="Annulus",PI()/4*((Inputs!F13+Inputs!H13)^2-Inputs!F13^2),PI()/4*C13^2)</x:f>
        <x:v>3.2985480433553427</x:v>
      </x:c>
      <x:c r="E13" s="37" t="n">
        <x:f>Inputs!$B$9*D13*C13/Inputs!$B$10</x:f>
        <x:v>4976.095333976058</x:v>
      </x:c>
      <x:c r="F13" s="37" t="n">
        <x:f>IF(E13&gt;4000,0.3164/E13^0.25,64/E13)</x:f>
        <x:v>0.03767162044536347</x:v>
      </x:c>
      <x:c r="G13" s="37" t="n">
        <x:f>F13*B13/C13*(Inputs!$B$9*D13^2/2)</x:f>
        <x:v>14867575.077074891</x:v>
      </x:c>
      <x:c r="H13" s="37" t="n">
        <x:f>SUM($G$6:G13)</x:f>
        <x:v>37348677.17358199</x:v>
      </x:c>
      <x:c r="I13" s="50" t="n">
        <x:f>H13/Inputs!$B$6</x:f>
        <x:v>1.0671050621023426</x:v>
      </x:c>
      <x:c r="J13" s="37" t="str">
        <x:f>IF(I13&lt;=1,"PASS","REVIEW")</x:f>
        <x:v>REVIEW</x:v>
      </x:c>
      <x:c r="K13" s="35"/>
      <x:c r="L13" s="35"/>
      <x:c r="M13" s="35"/>
      <x:c r="N13" s="35"/>
      <x:c r="O13" s="35"/>
      <x:c r="P13" s="35"/>
      <x:c r="Q13" s="35"/>
      <x:c r="R13" s="35"/>
    </x:row>
  </x:sheetData>
  <x:mergeCells>
    <x:mergeCell ref="A1:N1"/>
    <x:mergeCell ref="A3:J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26" customHeight="1">
      <x:c r="A1" s="34" t="str">
        <x:v>WellForge | Exchange Map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42" t="str">
        <x:v>Declarative JSON exchange destinations — documentation only; automation reads this protected table</x:v>
      </x:c>
      <x:c r="B3" s="42" t="str">
        <x:v>Declarative JSON exchange destinations — documentation only; automation reads this protected table</x:v>
      </x:c>
      <x:c r="C3" s="42" t="str">
        <x:v>Declarative JSON exchange destinations — documentation only; automation reads this protected table</x:v>
      </x:c>
      <x:c r="D3" s="42" t="str">
        <x:v>Declarative JSON exchange destinations — documentation only; automation reads this protected table</x:v>
      </x:c>
      <x:c r="E3" s="42" t="str">
        <x:v>Declarative JSON exchange destinations — documentation only; automation reads this protected table</x:v>
      </x:c>
      <x:c r="F3" s="42" t="str">
        <x:v>Declarative JSON exchange destinations — documentation only; automation reads this protected table</x:v>
      </x:c>
      <x:c r="G3" s="42" t="str">
        <x:v>Declarative JSON exchange destinations — documentation only; automation reads this protected table</x:v>
      </x:c>
      <x:c r="H3" s="42" t="str">
        <x:v>Declarative JSON exchange destinations — documentation only; automation reads this protected table</x:v>
      </x:c>
      <x:c r="I3" s="42" t="str">
        <x:v>Declarative JSON exchange destinations — documentation only; automation reads this protected table</x:v>
      </x:c>
      <x:c r="J3" s="42" t="str">
        <x:v>Declarative JSON exchange destinations — documentation only; automation reads this protected table</x:v>
      </x:c>
      <x:c r="K3" s="42" t="str">
        <x:v>Declarative JSON exchange destinations — documentation only; automation reads this protected table</x:v>
      </x:c>
      <x:c r="L3" s="42" t="str">
        <x:v>Declarative JSON exchange destinations — documentation only; automation reads this protected table</x:v>
      </x:c>
      <x:c r="M3" s="42" t="str">
        <x:v>Declarative JSON exchange destinations — documentation only; automation reads this protected table</x:v>
      </x:c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43" t="str">
        <x:v>JSON Pointer</x:v>
      </x:c>
      <x:c r="B5" s="43" t="str">
        <x:v>Direction</x:v>
      </x:c>
      <x:c r="C5" s="43" t="str">
        <x:v>Sheet</x:v>
      </x:c>
      <x:c r="D5" s="43" t="str">
        <x:v>Address</x:v>
      </x:c>
      <x:c r="E5" s="43" t="str">
        <x:v>Shape</x:v>
      </x:c>
      <x:c r="F5" s="43" t="str">
        <x:v>Value column</x:v>
      </x:c>
      <x:c r="G5" s="43" t="str">
        <x:v>Stable ID column</x:v>
      </x:c>
      <x:c r="H5" s="43" t="str">
        <x:v>Row capacity</x:v>
      </x:c>
      <x:c r="I5" s="43" t="str">
        <x:v>Unit source</x:v>
      </x:c>
      <x:c r="J5" s="43" t="str">
        <x:v>Dimension</x:v>
      </x:c>
      <x:c r="K5" s="43" t="str">
        <x:v>Data type</x:v>
      </x:c>
      <x:c r="L5" s="43" t="str">
        <x:v>Required</x:v>
      </x:c>
      <x:c r="M5" s="43" t="str">
        <x:v>Writable</x:v>
      </x:c>
      <x:c r="N5" s="35"/>
    </x:row>
    <x:row r="6">
      <x:c r="A6" s="41" t="str">
        <x:v>/analyses/hydraulics/rigPreset</x:v>
      </x:c>
      <x:c r="B6" s="41" t="str">
        <x:v>Input</x:v>
      </x:c>
      <x:c r="C6" s="41" t="str">
        <x:v>Inputs</x:v>
      </x:c>
      <x:c r="D6" s="41" t="str">
        <x:v>B5</x:v>
      </x:c>
      <x:c r="E6" s="41" t="str">
        <x:v>Scalar</x:v>
      </x:c>
      <x:c r="F6" s="41" t="str"/>
      <x:c r="G6" s="41" t="str"/>
      <x:c r="H6" s="41" t="str"/>
      <x:c r="I6" s="41" t="str">
        <x:v>text</x:v>
      </x:c>
      <x:c r="J6" s="41" t="str">
        <x:v>text</x:v>
      </x:c>
      <x:c r="K6" s="41" t="str">
        <x:v>string</x:v>
      </x:c>
      <x:c r="L6" s="44" t="b">
        <x:v>0</x:v>
      </x:c>
      <x:c r="M6" s="44" t="b">
        <x:v>1</x:v>
      </x:c>
      <x:c r="N6" s="35"/>
    </x:row>
    <x:row r="7">
      <x:c r="A7" s="41" t="str">
        <x:v>/rigLimits/surfacePressure</x:v>
      </x:c>
      <x:c r="B7" s="41" t="str">
        <x:v>Input</x:v>
      </x:c>
      <x:c r="C7" s="41" t="str">
        <x:v>Inputs</x:v>
      </x:c>
      <x:c r="D7" s="41" t="str">
        <x:v>B6</x:v>
      </x:c>
      <x:c r="E7" s="41" t="str">
        <x:v>Scalar</x:v>
      </x:c>
      <x:c r="F7" s="41" t="str"/>
      <x:c r="G7" s="41" t="str"/>
      <x:c r="H7" s="41" t="str"/>
      <x:c r="I7" s="41" t="str">
        <x:v>Pa</x:v>
      </x:c>
      <x:c r="J7" s="41" t="str">
        <x:v>pressure</x:v>
      </x:c>
      <x:c r="K7" s="41" t="str">
        <x:v>number</x:v>
      </x:c>
      <x:c r="L7" s="44" t="b">
        <x:v>1</x:v>
      </x:c>
      <x:c r="M7" s="44" t="b">
        <x:v>1</x:v>
      </x:c>
      <x:c r="N7" s="35"/>
    </x:row>
    <x:row r="8">
      <x:c r="A8" s="41" t="str">
        <x:v>/analyses/hydraulics/pumpEfficiency</x:v>
      </x:c>
      <x:c r="B8" s="41" t="str">
        <x:v>Input</x:v>
      </x:c>
      <x:c r="C8" s="41" t="str">
        <x:v>Inputs</x:v>
      </x:c>
      <x:c r="D8" s="41" t="str">
        <x:v>B7</x:v>
      </x:c>
      <x:c r="E8" s="41" t="str">
        <x:v>Scalar</x:v>
      </x:c>
      <x:c r="F8" s="41" t="str"/>
      <x:c r="G8" s="41" t="str"/>
      <x:c r="H8" s="41" t="str"/>
      <x:c r="I8" s="41" t="str">
        <x:v>1</x:v>
      </x:c>
      <x:c r="J8" s="41" t="str">
        <x:v>unitless</x:v>
      </x:c>
      <x:c r="K8" s="41" t="str">
        <x:v>number</x:v>
      </x:c>
      <x:c r="L8" s="44" t="b">
        <x:v>1</x:v>
      </x:c>
      <x:c r="M8" s="44" t="b">
        <x:v>1</x:v>
      </x:c>
      <x:c r="N8" s="35"/>
    </x:row>
    <x:row r="9">
      <x:c r="A9" s="41" t="str">
        <x:v>/operatingPoint/flowRate</x:v>
      </x:c>
      <x:c r="B9" s="41" t="str">
        <x:v>Input</x:v>
      </x:c>
      <x:c r="C9" s="41" t="str">
        <x:v>Inputs</x:v>
      </x:c>
      <x:c r="D9" s="41" t="str">
        <x:v>B8</x:v>
      </x:c>
      <x:c r="E9" s="41" t="str">
        <x:v>Scalar</x:v>
      </x:c>
      <x:c r="F9" s="41" t="str"/>
      <x:c r="G9" s="41" t="str"/>
      <x:c r="H9" s="41" t="str"/>
      <x:c r="I9" s="41" t="str">
        <x:v>m3/s</x:v>
      </x:c>
      <x:c r="J9" s="41" t="str">
        <x:v>flowRate</x:v>
      </x:c>
      <x:c r="K9" s="41" t="str">
        <x:v>number</x:v>
      </x:c>
      <x:c r="L9" s="44" t="b">
        <x:v>1</x:v>
      </x:c>
      <x:c r="M9" s="44" t="b">
        <x:v>1</x:v>
      </x:c>
      <x:c r="N9" s="35"/>
    </x:row>
    <x:row r="10">
      <x:c r="A10" s="41" t="str">
        <x:v>/analyses/hydraulics/fluidDensity</x:v>
      </x:c>
      <x:c r="B10" s="41" t="str">
        <x:v>Input</x:v>
      </x:c>
      <x:c r="C10" s="41" t="str">
        <x:v>Inputs</x:v>
      </x:c>
      <x:c r="D10" s="41" t="str">
        <x:v>B9</x:v>
      </x:c>
      <x:c r="E10" s="41" t="str">
        <x:v>Scalar</x:v>
      </x:c>
      <x:c r="F10" s="41" t="str"/>
      <x:c r="G10" s="41" t="str"/>
      <x:c r="H10" s="41" t="str"/>
      <x:c r="I10" s="41" t="str">
        <x:v>kg/m3</x:v>
      </x:c>
      <x:c r="J10" s="41" t="str">
        <x:v>density</x:v>
      </x:c>
      <x:c r="K10" s="41" t="str">
        <x:v>number</x:v>
      </x:c>
      <x:c r="L10" s="44" t="b">
        <x:v>1</x:v>
      </x:c>
      <x:c r="M10" s="44" t="b">
        <x:v>1</x:v>
      </x:c>
      <x:c r="N10" s="35"/>
    </x:row>
    <x:row r="11">
      <x:c r="A11" s="41" t="str">
        <x:v>/analyses/hydraulics/apparentViscosity</x:v>
      </x:c>
      <x:c r="B11" s="41" t="str">
        <x:v>Input</x:v>
      </x:c>
      <x:c r="C11" s="41" t="str">
        <x:v>Inputs</x:v>
      </x:c>
      <x:c r="D11" s="41" t="str">
        <x:v>B10</x:v>
      </x:c>
      <x:c r="E11" s="41" t="str">
        <x:v>Scalar</x:v>
      </x:c>
      <x:c r="F11" s="41" t="str"/>
      <x:c r="G11" s="41" t="str"/>
      <x:c r="H11" s="41" t="str"/>
      <x:c r="I11" s="41" t="str">
        <x:v>Pa*s</x:v>
      </x:c>
      <x:c r="J11" s="41" t="str">
        <x:v>viscosity</x:v>
      </x:c>
      <x:c r="K11" s="41" t="str">
        <x:v>number</x:v>
      </x:c>
      <x:c r="L11" s="44" t="b">
        <x:v>1</x:v>
      </x:c>
      <x:c r="M11" s="44" t="b">
        <x:v>1</x:v>
      </x:c>
      <x:c r="N11" s="35"/>
    </x:row>
    <x:row r="12">
      <x:c r="A12" s="41" t="str">
        <x:v>/analyses/hydraulics/nozzleCount</x:v>
      </x:c>
      <x:c r="B12" s="41" t="str">
        <x:v>Input</x:v>
      </x:c>
      <x:c r="C12" s="41" t="str">
        <x:v>Inputs</x:v>
      </x:c>
      <x:c r="D12" s="41" t="str">
        <x:v>B11</x:v>
      </x:c>
      <x:c r="E12" s="41" t="str">
        <x:v>Scalar</x:v>
      </x:c>
      <x:c r="F12" s="41" t="str"/>
      <x:c r="G12" s="41" t="str"/>
      <x:c r="H12" s="41" t="str"/>
      <x:c r="I12" s="41" t="str">
        <x:v>1</x:v>
      </x:c>
      <x:c r="J12" s="41" t="str">
        <x:v>unitless</x:v>
      </x:c>
      <x:c r="K12" s="41" t="str">
        <x:v>integer</x:v>
      </x:c>
      <x:c r="L12" s="44" t="b">
        <x:v>1</x:v>
      </x:c>
      <x:c r="M12" s="44" t="b">
        <x:v>1</x:v>
      </x:c>
      <x:c r="N12" s="35"/>
    </x:row>
    <x:row r="13">
      <x:c r="A13" s="41" t="str">
        <x:v>/analyses/hydraulics/baseNozzleDiameter</x:v>
      </x:c>
      <x:c r="B13" s="41" t="str">
        <x:v>Input</x:v>
      </x:c>
      <x:c r="C13" s="41" t="str">
        <x:v>Inputs</x:v>
      </x:c>
      <x:c r="D13" s="41" t="str">
        <x:v>B12</x:v>
      </x:c>
      <x:c r="E13" s="41" t="str">
        <x:v>Scalar</x:v>
      </x:c>
      <x:c r="F13" s="41" t="str"/>
      <x:c r="G13" s="41" t="str"/>
      <x:c r="H13" s="41" t="str"/>
      <x:c r="I13" s="41" t="str">
        <x:v>m</x:v>
      </x:c>
      <x:c r="J13" s="41" t="str">
        <x:v>diameter</x:v>
      </x:c>
      <x:c r="K13" s="41" t="str">
        <x:v>number</x:v>
      </x:c>
      <x:c r="L13" s="44" t="b">
        <x:v>1</x:v>
      </x:c>
      <x:c r="M13" s="44" t="b">
        <x:v>1</x:v>
      </x:c>
      <x:c r="N13" s="35"/>
    </x:row>
    <x:row r="14">
      <x:c r="A14" s="41" t="str">
        <x:v>/analyses/hydraulics/nozzleDischargeCoefficient</x:v>
      </x:c>
      <x:c r="B14" s="41" t="str">
        <x:v>Input</x:v>
      </x:c>
      <x:c r="C14" s="41" t="str">
        <x:v>Inputs</x:v>
      </x:c>
      <x:c r="D14" s="41" t="str">
        <x:v>B13</x:v>
      </x:c>
      <x:c r="E14" s="41" t="str">
        <x:v>Scalar</x:v>
      </x:c>
      <x:c r="F14" s="41" t="str"/>
      <x:c r="G14" s="41" t="str"/>
      <x:c r="H14" s="41" t="str"/>
      <x:c r="I14" s="41" t="str">
        <x:v>1</x:v>
      </x:c>
      <x:c r="J14" s="41" t="str">
        <x:v>unitless</x:v>
      </x:c>
      <x:c r="K14" s="41" t="str">
        <x:v>number</x:v>
      </x:c>
      <x:c r="L14" s="44" t="b">
        <x:v>1</x:v>
      </x:c>
      <x:c r="M14" s="44" t="b">
        <x:v>1</x:v>
      </x:c>
      <x:c r="N14" s="35"/>
    </x:row>
    <x:row r="15">
      <x:c r="A15" s="41" t="str">
        <x:v>/rigLimits/ecdScreenDensity</x:v>
      </x:c>
      <x:c r="B15" s="41" t="str">
        <x:v>Input</x:v>
      </x:c>
      <x:c r="C15" s="41" t="str">
        <x:v>Inputs</x:v>
      </x:c>
      <x:c r="D15" s="41" t="str">
        <x:v>B14</x:v>
      </x:c>
      <x:c r="E15" s="41" t="str">
        <x:v>Scalar</x:v>
      </x:c>
      <x:c r="F15" s="41" t="str"/>
      <x:c r="G15" s="41" t="str"/>
      <x:c r="H15" s="41" t="str"/>
      <x:c r="I15" s="41" t="str">
        <x:v>kg/m3</x:v>
      </x:c>
      <x:c r="J15" s="41" t="str">
        <x:v>density</x:v>
      </x:c>
      <x:c r="K15" s="41" t="str">
        <x:v>number</x:v>
      </x:c>
      <x:c r="L15" s="44" t="b">
        <x:v>1</x:v>
      </x:c>
      <x:c r="M15" s="44" t="b">
        <x:v>1</x:v>
      </x:c>
      <x:c r="N15" s="35"/>
    </x:row>
    <x:row r="16">
      <x:c r="A16" s="41" t="str">
        <x:v>/analyses/hydraulics/minimumAnnularVelocity</x:v>
      </x:c>
      <x:c r="B16" s="41" t="str">
        <x:v>Input</x:v>
      </x:c>
      <x:c r="C16" s="41" t="str">
        <x:v>Inputs</x:v>
      </x:c>
      <x:c r="D16" s="41" t="str">
        <x:v>B15</x:v>
      </x:c>
      <x:c r="E16" s="41" t="str">
        <x:v>Scalar</x:v>
      </x:c>
      <x:c r="F16" s="41" t="str"/>
      <x:c r="G16" s="41" t="str"/>
      <x:c r="H16" s="41" t="str"/>
      <x:c r="I16" s="41" t="str">
        <x:v>m/s</x:v>
      </x:c>
      <x:c r="J16" s="41" t="str">
        <x:v>speed</x:v>
      </x:c>
      <x:c r="K16" s="41" t="str">
        <x:v>number</x:v>
      </x:c>
      <x:c r="L16" s="44" t="b">
        <x:v>0</x:v>
      </x:c>
      <x:c r="M16" s="44" t="b">
        <x:v>1</x:v>
      </x:c>
      <x:c r="N16" s="35"/>
    </x:row>
    <x:row r="17">
      <x:c r="A17" s="41" t="str">
        <x:v>/analyses/hydraulics/ecdReferenceTvd</x:v>
      </x:c>
      <x:c r="B17" s="41" t="str">
        <x:v>Input</x:v>
      </x:c>
      <x:c r="C17" s="41" t="str">
        <x:v>Inputs</x:v>
      </x:c>
      <x:c r="D17" s="41" t="str">
        <x:v>B16</x:v>
      </x:c>
      <x:c r="E17" s="41" t="str">
        <x:v>Scalar</x:v>
      </x:c>
      <x:c r="F17" s="41" t="str"/>
      <x:c r="G17" s="41" t="str"/>
      <x:c r="H17" s="41" t="str"/>
      <x:c r="I17" s="41" t="str">
        <x:v>m</x:v>
      </x:c>
      <x:c r="J17" s="41" t="str">
        <x:v>length</x:v>
      </x:c>
      <x:c r="K17" s="41" t="str">
        <x:v>number</x:v>
      </x:c>
      <x:c r="L17" s="44" t="b">
        <x:v>0</x:v>
      </x:c>
      <x:c r="M17" s="44" t="b">
        <x:v>1</x:v>
      </x:c>
      <x:c r="N17" s="35"/>
    </x:row>
    <x:row r="18">
      <x:c r="A18" s="41" t="str">
        <x:v>/analyses/hydraulics/surfaceBackpressure</x:v>
      </x:c>
      <x:c r="B18" s="41" t="str">
        <x:v>Input</x:v>
      </x:c>
      <x:c r="C18" s="41" t="str">
        <x:v>Inputs</x:v>
      </x:c>
      <x:c r="D18" s="41" t="str">
        <x:v>B17</x:v>
      </x:c>
      <x:c r="E18" s="41" t="str">
        <x:v>Scalar</x:v>
      </x:c>
      <x:c r="F18" s="41" t="str"/>
      <x:c r="G18" s="41" t="str"/>
      <x:c r="H18" s="41" t="str"/>
      <x:c r="I18" s="41" t="str">
        <x:v>Pa</x:v>
      </x:c>
      <x:c r="J18" s="41" t="str">
        <x:v>pressure</x:v>
      </x:c>
      <x:c r="K18" s="41" t="str">
        <x:v>number</x:v>
      </x:c>
      <x:c r="L18" s="44" t="b">
        <x:v>0</x:v>
      </x:c>
      <x:c r="M18" s="44" t="b">
        <x:v>1</x:v>
      </x:c>
      <x:c r="N18" s="35"/>
    </x:row>
    <x:row r="19">
      <x:c r="A19" s="41" t="str">
        <x:v>/analyses/hydraulics/pressureCorrelation</x:v>
      </x:c>
      <x:c r="B19" s="41" t="str">
        <x:v>Input</x:v>
      </x:c>
      <x:c r="C19" s="41" t="str">
        <x:v>Inputs</x:v>
      </x:c>
      <x:c r="D19" s="41" t="str">
        <x:v>B18</x:v>
      </x:c>
      <x:c r="E19" s="41" t="str">
        <x:v>Scalar</x:v>
      </x:c>
      <x:c r="F19" s="41" t="str"/>
      <x:c r="G19" s="41" t="str"/>
      <x:c r="H19" s="41" t="str"/>
      <x:c r="I19" s="41" t="str">
        <x:v>text</x:v>
      </x:c>
      <x:c r="J19" s="41" t="str">
        <x:v>text</x:v>
      </x:c>
      <x:c r="K19" s="41" t="str">
        <x:v>string</x:v>
      </x:c>
      <x:c r="L19" s="44" t="b">
        <x:v>0</x:v>
      </x:c>
      <x:c r="M19" s="44" t="b">
        <x:v>1</x:v>
      </x:c>
      <x:c r="N19" s="35"/>
    </x:row>
    <x:row r="20">
      <x:c r="A20" s="41" t="str">
        <x:v>/analyses/hydraulics/computeBackend</x:v>
      </x:c>
      <x:c r="B20" s="41" t="str">
        <x:v>Input</x:v>
      </x:c>
      <x:c r="C20" s="41" t="str">
        <x:v>Inputs</x:v>
      </x:c>
      <x:c r="D20" s="41" t="str">
        <x:v>B19</x:v>
      </x:c>
      <x:c r="E20" s="41" t="str">
        <x:v>Scalar</x:v>
      </x:c>
      <x:c r="F20" s="41" t="str"/>
      <x:c r="G20" s="41" t="str"/>
      <x:c r="H20" s="41" t="str"/>
      <x:c r="I20" s="41" t="str">
        <x:v>text</x:v>
      </x:c>
      <x:c r="J20" s="41" t="str">
        <x:v>text</x:v>
      </x:c>
      <x:c r="K20" s="41" t="str">
        <x:v>string</x:v>
      </x:c>
      <x:c r="L20" s="44" t="b">
        <x:v>0</x:v>
      </x:c>
      <x:c r="M20" s="44" t="b">
        <x:v>1</x:v>
      </x:c>
      <x:c r="N20" s="35"/>
    </x:row>
    <x:row r="21">
      <x:c r="A21" s="41" t="str">
        <x:v>/analyses/hydraulics/thermalAssumption</x:v>
      </x:c>
      <x:c r="B21" s="41" t="str">
        <x:v>Input</x:v>
      </x:c>
      <x:c r="C21" s="41" t="str">
        <x:v>Inputs</x:v>
      </x:c>
      <x:c r="D21" s="41" t="str">
        <x:v>B20</x:v>
      </x:c>
      <x:c r="E21" s="41" t="str">
        <x:v>Scalar</x:v>
      </x:c>
      <x:c r="F21" s="41" t="str"/>
      <x:c r="G21" s="41" t="str"/>
      <x:c r="H21" s="41" t="str"/>
      <x:c r="I21" s="41" t="str">
        <x:v>text</x:v>
      </x:c>
      <x:c r="J21" s="41" t="str">
        <x:v>text</x:v>
      </x:c>
      <x:c r="K21" s="41" t="str">
        <x:v>string</x:v>
      </x:c>
      <x:c r="L21" s="44" t="b">
        <x:v>0</x:v>
      </x:c>
      <x:c r="M21" s="44" t="b">
        <x:v>1</x:v>
      </x:c>
      <x:c r="N21" s="35"/>
    </x:row>
    <x:row r="22">
      <x:c r="A22" s="41" t="str">
        <x:v>/analyses/hydraulics/rheology/model</x:v>
      </x:c>
      <x:c r="B22" s="41" t="str">
        <x:v>Input</x:v>
      </x:c>
      <x:c r="C22" s="41" t="str">
        <x:v>Fluid Model</x:v>
      </x:c>
      <x:c r="D22" s="41" t="str">
        <x:v>G6</x:v>
      </x:c>
      <x:c r="E22" s="41" t="str">
        <x:v>Scalar</x:v>
      </x:c>
      <x:c r="F22" s="41" t="str"/>
      <x:c r="G22" s="41" t="str"/>
      <x:c r="H22" s="41" t="str"/>
      <x:c r="I22" s="41" t="str">
        <x:v>text</x:v>
      </x:c>
      <x:c r="J22" s="41" t="str">
        <x:v>text</x:v>
      </x:c>
      <x:c r="K22" s="41" t="str">
        <x:v>string</x:v>
      </x:c>
      <x:c r="L22" s="44" t="b">
        <x:v>0</x:v>
      </x:c>
      <x:c r="M22" s="44" t="b">
        <x:v>1</x:v>
      </x:c>
      <x:c r="N22" s="35"/>
    </x:row>
    <x:row r="23">
      <x:c r="A23" s="41" t="str">
        <x:v>/analyses/hydraulics/rheology/flowBehaviorIndex</x:v>
      </x:c>
      <x:c r="B23" s="41" t="str">
        <x:v>Input</x:v>
      </x:c>
      <x:c r="C23" s="41" t="str">
        <x:v>Fluid Model</x:v>
      </x:c>
      <x:c r="D23" s="41" t="str">
        <x:v>B8</x:v>
      </x:c>
      <x:c r="E23" s="41" t="str">
        <x:v>Scalar</x:v>
      </x:c>
      <x:c r="F23" s="41" t="str"/>
      <x:c r="G23" s="41" t="str"/>
      <x:c r="H23" s="41" t="str"/>
      <x:c r="I23" s="41" t="str">
        <x:v>1</x:v>
      </x:c>
      <x:c r="J23" s="41" t="str">
        <x:v>unitless</x:v>
      </x:c>
      <x:c r="K23" s="41" t="str">
        <x:v>number</x:v>
      </x:c>
      <x:c r="L23" s="44" t="b">
        <x:v>0</x:v>
      </x:c>
      <x:c r="M23" s="44" t="b">
        <x:v>1</x:v>
      </x:c>
      <x:c r="N23" s="35"/>
    </x:row>
    <x:row r="24">
      <x:c r="A24" s="41" t="str">
        <x:v>/analyses/hydraulics/rheology/consistencyCoefficient</x:v>
      </x:c>
      <x:c r="B24" s="41" t="str">
        <x:v>Input</x:v>
      </x:c>
      <x:c r="C24" s="41" t="str">
        <x:v>Fluid Model</x:v>
      </x:c>
      <x:c r="D24" s="41" t="str">
        <x:v>B9</x:v>
      </x:c>
      <x:c r="E24" s="41" t="str">
        <x:v>Scalar</x:v>
      </x:c>
      <x:c r="F24" s="41" t="str"/>
      <x:c r="G24" s="41" t="str"/>
      <x:c r="H24" s="41" t="str"/>
      <x:c r="I24" s="41" t="str">
        <x:v>Pa*s^n</x:v>
      </x:c>
      <x:c r="J24" s="41" t="str">
        <x:v>rheologyConsistency</x:v>
      </x:c>
      <x:c r="K24" s="41" t="str">
        <x:v>number</x:v>
      </x:c>
      <x:c r="L24" s="44" t="b">
        <x:v>0</x:v>
      </x:c>
      <x:c r="M24" s="44" t="b">
        <x:v>1</x:v>
      </x:c>
      <x:c r="N24" s="35"/>
    </x:row>
    <x:row r="25">
      <x:c r="A25" s="41" t="str">
        <x:v>/analyses/hydraulics/rheology/yieldStress</x:v>
      </x:c>
      <x:c r="B25" s="41" t="str">
        <x:v>Input</x:v>
      </x:c>
      <x:c r="C25" s="41" t="str">
        <x:v>Fluid Model</x:v>
      </x:c>
      <x:c r="D25" s="41" t="str">
        <x:v>B10</x:v>
      </x:c>
      <x:c r="E25" s="41" t="str">
        <x:v>Scalar</x:v>
      </x:c>
      <x:c r="F25" s="41" t="str"/>
      <x:c r="G25" s="41" t="str"/>
      <x:c r="H25" s="41" t="str"/>
      <x:c r="I25" s="41" t="str">
        <x:v>Pa</x:v>
      </x:c>
      <x:c r="J25" s="41" t="str">
        <x:v>stress</x:v>
      </x:c>
      <x:c r="K25" s="41" t="str">
        <x:v>number</x:v>
      </x:c>
      <x:c r="L25" s="44" t="b">
        <x:v>0</x:v>
      </x:c>
      <x:c r="M25" s="44" t="b">
        <x:v>1</x:v>
      </x:c>
      <x:c r="N25" s="35"/>
    </x:row>
    <x:row r="26">
      <x:c r="A26" s="41" t="str">
        <x:v>/analyses/hydraulics/rheology/plasticViscosity</x:v>
      </x:c>
      <x:c r="B26" s="41" t="str">
        <x:v>Input</x:v>
      </x:c>
      <x:c r="C26" s="41" t="str">
        <x:v>Fluid Model</x:v>
      </x:c>
      <x:c r="D26" s="41" t="str">
        <x:v>B11</x:v>
      </x:c>
      <x:c r="E26" s="41" t="str">
        <x:v>Scalar</x:v>
      </x:c>
      <x:c r="F26" s="41" t="str"/>
      <x:c r="G26" s="41" t="str"/>
      <x:c r="H26" s="41" t="str"/>
      <x:c r="I26" s="41" t="str">
        <x:v>Pa*s</x:v>
      </x:c>
      <x:c r="J26" s="41" t="str">
        <x:v>viscosity</x:v>
      </x:c>
      <x:c r="K26" s="41" t="str">
        <x:v>number</x:v>
      </x:c>
      <x:c r="L26" s="44" t="b">
        <x:v>0</x:v>
      </x:c>
      <x:c r="M26" s="44" t="b">
        <x:v>1</x:v>
      </x:c>
      <x:c r="N26" s="35"/>
    </x:row>
    <x:row r="27">
      <x:c r="A27" s="41" t="str">
        <x:v>/analyses/hydraulics/rheology/surfaceTemperature</x:v>
      </x:c>
      <x:c r="B27" s="41" t="str">
        <x:v>Input</x:v>
      </x:c>
      <x:c r="C27" s="41" t="str">
        <x:v>Fluid Model</x:v>
      </x:c>
      <x:c r="D27" s="41" t="str">
        <x:v>B12</x:v>
      </x:c>
      <x:c r="E27" s="41" t="str">
        <x:v>Scalar</x:v>
      </x:c>
      <x:c r="F27" s="41" t="str"/>
      <x:c r="G27" s="41" t="str"/>
      <x:c r="H27" s="41" t="str"/>
      <x:c r="I27" s="41" t="str">
        <x:v>K</x:v>
      </x:c>
      <x:c r="J27" s="41" t="str">
        <x:v>temperature</x:v>
      </x:c>
      <x:c r="K27" s="41" t="str">
        <x:v>number</x:v>
      </x:c>
      <x:c r="L27" s="44" t="b">
        <x:v>0</x:v>
      </x:c>
      <x:c r="M27" s="44" t="b">
        <x:v>1</x:v>
      </x:c>
      <x:c r="N27" s="35"/>
    </x:row>
    <x:row r="28">
      <x:c r="A28" s="41" t="str">
        <x:v>/analyses/hydraulics/rheology/compressibility</x:v>
      </x:c>
      <x:c r="B28" s="41" t="str">
        <x:v>Input</x:v>
      </x:c>
      <x:c r="C28" s="41" t="str">
        <x:v>Fluid Model</x:v>
      </x:c>
      <x:c r="D28" s="41" t="str">
        <x:v>B13</x:v>
      </x:c>
      <x:c r="E28" s="41" t="str">
        <x:v>Scalar</x:v>
      </x:c>
      <x:c r="F28" s="41" t="str"/>
      <x:c r="G28" s="41" t="str"/>
      <x:c r="H28" s="41" t="str"/>
      <x:c r="I28" s="41" t="str">
        <x:v>1/Pa</x:v>
      </x:c>
      <x:c r="J28" s="41" t="str">
        <x:v>compressibility</x:v>
      </x:c>
      <x:c r="K28" s="41" t="str">
        <x:v>number</x:v>
      </x:c>
      <x:c r="L28" s="44" t="b">
        <x:v>0</x:v>
      </x:c>
      <x:c r="M28" s="44" t="b">
        <x:v>1</x:v>
      </x:c>
      <x:c r="N28" s="35"/>
    </x:row>
    <x:row r="29">
      <x:c r="A29" s="41" t="str">
        <x:v>/analyses/hydraulics/rheology/highShearFlowIndex</x:v>
      </x:c>
      <x:c r="B29" s="41" t="str">
        <x:v>Input</x:v>
      </x:c>
      <x:c r="C29" s="41" t="str">
        <x:v>Fluid Model</x:v>
      </x:c>
      <x:c r="D29" s="41" t="str">
        <x:v>B14</x:v>
      </x:c>
      <x:c r="E29" s="41" t="str">
        <x:v>Scalar</x:v>
      </x:c>
      <x:c r="F29" s="41" t="str"/>
      <x:c r="G29" s="41" t="str"/>
      <x:c r="H29" s="41" t="str"/>
      <x:c r="I29" s="41" t="str">
        <x:v>1</x:v>
      </x:c>
      <x:c r="J29" s="41" t="str">
        <x:v>unitless</x:v>
      </x:c>
      <x:c r="K29" s="41" t="str">
        <x:v>number</x:v>
      </x:c>
      <x:c r="L29" s="44" t="b">
        <x:v>0</x:v>
      </x:c>
      <x:c r="M29" s="44" t="b">
        <x:v>1</x:v>
      </x:c>
      <x:c r="N29" s="35"/>
    </x:row>
    <x:row r="30">
      <x:c r="A30" s="41" t="str">
        <x:v>/analyses/hydraulics/flowPath/*/name</x:v>
      </x:c>
      <x:c r="B30" s="41" t="str">
        <x:v>Input</x:v>
      </x:c>
      <x:c r="C30" s="41" t="str">
        <x:v>Inputs</x:v>
      </x:c>
      <x:c r="D30" s="41" t="str">
        <x:v>D6:D13</x:v>
      </x:c>
      <x:c r="E30" s="41" t="str">
        <x:v>Table</x:v>
      </x:c>
      <x:c r="F30" s="41" t="str">
        <x:v>D</x:v>
      </x:c>
      <x:c r="G30" s="41" t="str">
        <x:v>I</x:v>
      </x:c>
      <x:c r="H30" s="41" t="n">
        <x:v>8</x:v>
      </x:c>
      <x:c r="I30" s="41" t="str">
        <x:v>text</x:v>
      </x:c>
      <x:c r="J30" s="41" t="str">
        <x:v>text</x:v>
      </x:c>
      <x:c r="K30" s="41" t="str">
        <x:v>string</x:v>
      </x:c>
      <x:c r="L30" s="44" t="b">
        <x:v>1</x:v>
      </x:c>
      <x:c r="M30" s="44" t="b">
        <x:v>1</x:v>
      </x:c>
      <x:c r="N30" s="35"/>
    </x:row>
    <x:row r="31">
      <x:c r="A31" s="41" t="str">
        <x:v>/analyses/hydraulics/flowPath/*/length</x:v>
      </x:c>
      <x:c r="B31" s="41" t="str">
        <x:v>Input</x:v>
      </x:c>
      <x:c r="C31" s="41" t="str">
        <x:v>Inputs</x:v>
      </x:c>
      <x:c r="D31" s="41" t="str">
        <x:v>E6:E13</x:v>
      </x:c>
      <x:c r="E31" s="41" t="str">
        <x:v>Table</x:v>
      </x:c>
      <x:c r="F31" s="41" t="str">
        <x:v>E</x:v>
      </x:c>
      <x:c r="G31" s="41" t="str">
        <x:v>I</x:v>
      </x:c>
      <x:c r="H31" s="41" t="n">
        <x:v>8</x:v>
      </x:c>
      <x:c r="I31" s="41" t="str">
        <x:v>m</x:v>
      </x:c>
      <x:c r="J31" s="41" t="str">
        <x:v>length</x:v>
      </x:c>
      <x:c r="K31" s="41" t="str">
        <x:v>number</x:v>
      </x:c>
      <x:c r="L31" s="44" t="b">
        <x:v>1</x:v>
      </x:c>
      <x:c r="M31" s="44" t="b">
        <x:v>1</x:v>
      </x:c>
      <x:c r="N31" s="35"/>
    </x:row>
    <x:row r="32">
      <x:c r="A32" s="41" t="str">
        <x:v>/analyses/hydraulics/flowPath/*/flowId</x:v>
      </x:c>
      <x:c r="B32" s="41" t="str">
        <x:v>Input</x:v>
      </x:c>
      <x:c r="C32" s="41" t="str">
        <x:v>Inputs</x:v>
      </x:c>
      <x:c r="D32" s="41" t="str">
        <x:v>F6:F13</x:v>
      </x:c>
      <x:c r="E32" s="41" t="str">
        <x:v>Table</x:v>
      </x:c>
      <x:c r="F32" s="41" t="str">
        <x:v>F</x:v>
      </x:c>
      <x:c r="G32" s="41" t="str">
        <x:v>I</x:v>
      </x:c>
      <x:c r="H32" s="41" t="n">
        <x:v>8</x:v>
      </x:c>
      <x:c r="I32" s="41" t="str">
        <x:v>m</x:v>
      </x:c>
      <x:c r="J32" s="41" t="str">
        <x:v>length</x:v>
      </x:c>
      <x:c r="K32" s="41" t="str">
        <x:v>number</x:v>
      </x:c>
      <x:c r="L32" s="44" t="b">
        <x:v>1</x:v>
      </x:c>
      <x:c r="M32" s="44" t="b">
        <x:v>1</x:v>
      </x:c>
      <x:c r="N32" s="35"/>
    </x:row>
    <x:row r="33">
      <x:c r="A33" s="41" t="str">
        <x:v>/analyses/hydraulics/flowPath/*/flowType</x:v>
      </x:c>
      <x:c r="B33" s="41" t="str">
        <x:v>Input</x:v>
      </x:c>
      <x:c r="C33" s="41" t="str">
        <x:v>Inputs</x:v>
      </x:c>
      <x:c r="D33" s="41" t="str">
        <x:v>G6:G13</x:v>
      </x:c>
      <x:c r="E33" s="41" t="str">
        <x:v>Table</x:v>
      </x:c>
      <x:c r="F33" s="41" t="str">
        <x:v>G</x:v>
      </x:c>
      <x:c r="G33" s="41" t="str">
        <x:v>I</x:v>
      </x:c>
      <x:c r="H33" s="41" t="n">
        <x:v>8</x:v>
      </x:c>
      <x:c r="I33" s="41" t="str">
        <x:v>text</x:v>
      </x:c>
      <x:c r="J33" s="41" t="str">
        <x:v>text</x:v>
      </x:c>
      <x:c r="K33" s="41" t="str">
        <x:v>string</x:v>
      </x:c>
      <x:c r="L33" s="44" t="b">
        <x:v>1</x:v>
      </x:c>
      <x:c r="M33" s="44" t="b">
        <x:v>1</x:v>
      </x:c>
      <x:c r="N33" s="35"/>
    </x:row>
    <x:row r="34">
      <x:c r="A34" s="41" t="str">
        <x:v>/analyses/hydraulics/flowPath/*/hydraulicDiameter</x:v>
      </x:c>
      <x:c r="B34" s="41" t="str">
        <x:v>Input</x:v>
      </x:c>
      <x:c r="C34" s="41" t="str">
        <x:v>Inputs</x:v>
      </x:c>
      <x:c r="D34" s="41" t="str">
        <x:v>H6:H13</x:v>
      </x:c>
      <x:c r="E34" s="41" t="str">
        <x:v>Table</x:v>
      </x:c>
      <x:c r="F34" s="41" t="str">
        <x:v>H</x:v>
      </x:c>
      <x:c r="G34" s="41" t="str">
        <x:v>I</x:v>
      </x:c>
      <x:c r="H34" s="41" t="n">
        <x:v>8</x:v>
      </x:c>
      <x:c r="I34" s="41" t="str">
        <x:v>m</x:v>
      </x:c>
      <x:c r="J34" s="41" t="str">
        <x:v>diameter</x:v>
      </x:c>
      <x:c r="K34" s="41" t="str">
        <x:v>number</x:v>
      </x:c>
      <x:c r="L34" s="44" t="b">
        <x:v>1</x:v>
      </x:c>
      <x:c r="M34" s="44" t="b">
        <x:v>1</x:v>
      </x:c>
      <x:c r="N34" s="35"/>
    </x:row>
    <x:row r="35">
      <x:c r="A35" s="41" t="str">
        <x:v>/pumpNozzle/nozzles/*/diameter</x:v>
      </x:c>
      <x:c r="B35" s="41" t="str">
        <x:v>Input</x:v>
      </x:c>
      <x:c r="C35" s="41" t="str">
        <x:v>Calc</x:v>
      </x:c>
      <x:c r="D35" s="41" t="str">
        <x:v>L6:L10</x:v>
      </x:c>
      <x:c r="E35" s="41" t="str">
        <x:v>Table</x:v>
      </x:c>
      <x:c r="F35" s="41" t="str">
        <x:v>L</x:v>
      </x:c>
      <x:c r="G35" s="41" t="str">
        <x:v>R</x:v>
      </x:c>
      <x:c r="H35" s="41" t="n">
        <x:v>5</x:v>
      </x:c>
      <x:c r="I35" s="41" t="str">
        <x:v>m</x:v>
      </x:c>
      <x:c r="J35" s="41" t="str">
        <x:v>diameter</x:v>
      </x:c>
      <x:c r="K35" s="41" t="str">
        <x:v>number</x:v>
      </x:c>
      <x:c r="L35" s="44" t="b">
        <x:v>1</x:v>
      </x:c>
      <x:c r="M35" s="44" t="b">
        <x:v>1</x:v>
      </x:c>
      <x:c r="N35" s="35"/>
    </x:row>
    <x:row r="36">
      <x:c r="A36" s="41" t="str">
        <x:v>/analyses/hydraulics/results/totalFlowPathLoss</x:v>
      </x:c>
      <x:c r="B36" s="41" t="str">
        <x:v>Output</x:v>
      </x:c>
      <x:c r="C36" s="41" t="str">
        <x:v>Results</x:v>
      </x:c>
      <x:c r="D36" s="41" t="str">
        <x:v>B6</x:v>
      </x:c>
      <x:c r="E36" s="41" t="str">
        <x:v>Scalar</x:v>
      </x:c>
      <x:c r="F36" s="41" t="str"/>
      <x:c r="G36" s="41" t="str"/>
      <x:c r="H36" s="41" t="str"/>
      <x:c r="I36" s="41" t="str">
        <x:v>Results!C6</x:v>
      </x:c>
      <x:c r="J36" s="41" t="str">
        <x:v>pressure</x:v>
      </x:c>
      <x:c r="K36" s="41" t="str">
        <x:v>number</x:v>
      </x:c>
      <x:c r="L36" s="44" t="b">
        <x:v>0</x:v>
      </x:c>
      <x:c r="M36" s="44" t="b">
        <x:v>0</x:v>
      </x:c>
      <x:c r="N36" s="35"/>
    </x:row>
    <x:row r="37">
      <x:c r="A37" s="41" t="str">
        <x:v>/analyses/hydraulics/summary/recommendedNozzleDiameter</x:v>
      </x:c>
      <x:c r="B37" s="41" t="str">
        <x:v>Output</x:v>
      </x:c>
      <x:c r="C37" s="41" t="str">
        <x:v>Results</x:v>
      </x:c>
      <x:c r="D37" s="41" t="str">
        <x:v>B7</x:v>
      </x:c>
      <x:c r="E37" s="41" t="str">
        <x:v>Scalar</x:v>
      </x:c>
      <x:c r="F37" s="41" t="str"/>
      <x:c r="G37" s="41" t="str"/>
      <x:c r="H37" s="41" t="str"/>
      <x:c r="I37" s="41" t="str">
        <x:v>Results!C7</x:v>
      </x:c>
      <x:c r="J37" s="41" t="str">
        <x:v>diameter</x:v>
      </x:c>
      <x:c r="K37" s="41" t="str">
        <x:v>number</x:v>
      </x:c>
      <x:c r="L37" s="44" t="b">
        <x:v>0</x:v>
      </x:c>
      <x:c r="M37" s="44" t="b">
        <x:v>0</x:v>
      </x:c>
      <x:c r="N37" s="35"/>
    </x:row>
    <x:row r="38">
      <x:c r="A38" s="41" t="str">
        <x:v>/analyses/hydraulics/results/recommendedSurfacePressure</x:v>
      </x:c>
      <x:c r="B38" s="41" t="str">
        <x:v>Output</x:v>
      </x:c>
      <x:c r="C38" s="41" t="str">
        <x:v>Results</x:v>
      </x:c>
      <x:c r="D38" s="41" t="str">
        <x:v>B8</x:v>
      </x:c>
      <x:c r="E38" s="41" t="str">
        <x:v>Scalar</x:v>
      </x:c>
      <x:c r="F38" s="41" t="str"/>
      <x:c r="G38" s="41" t="str"/>
      <x:c r="H38" s="41" t="str"/>
      <x:c r="I38" s="41" t="str">
        <x:v>Results!C8</x:v>
      </x:c>
      <x:c r="J38" s="41" t="str">
        <x:v>pressure</x:v>
      </x:c>
      <x:c r="K38" s="41" t="str">
        <x:v>number</x:v>
      </x:c>
      <x:c r="L38" s="44" t="b">
        <x:v>0</x:v>
      </x:c>
      <x:c r="M38" s="44" t="b">
        <x:v>0</x:v>
      </x:c>
      <x:c r="N38" s="35"/>
    </x:row>
    <x:row r="39">
      <x:c r="A39" s="41" t="str">
        <x:v>/analyses/hydraulics/results/nozzleVelocity</x:v>
      </x:c>
      <x:c r="B39" s="41" t="str">
        <x:v>Output</x:v>
      </x:c>
      <x:c r="C39" s="41" t="str">
        <x:v>Results</x:v>
      </x:c>
      <x:c r="D39" s="41" t="str">
        <x:v>B9</x:v>
      </x:c>
      <x:c r="E39" s="41" t="str">
        <x:v>Scalar</x:v>
      </x:c>
      <x:c r="F39" s="41" t="str"/>
      <x:c r="G39" s="41" t="str"/>
      <x:c r="H39" s="41" t="str"/>
      <x:c r="I39" s="41" t="str">
        <x:v>Results!C9</x:v>
      </x:c>
      <x:c r="J39" s="41" t="str">
        <x:v>speed</x:v>
      </x:c>
      <x:c r="K39" s="41" t="str">
        <x:v>number</x:v>
      </x:c>
      <x:c r="L39" s="44" t="b">
        <x:v>0</x:v>
      </x:c>
      <x:c r="M39" s="44" t="b">
        <x:v>0</x:v>
      </x:c>
      <x:c r="N39" s="35"/>
    </x:row>
    <x:row r="40">
      <x:c r="A40" s="41" t="str">
        <x:v>/analyses/hydraulics/results/ecdScreeningInput</x:v>
      </x:c>
      <x:c r="B40" s="41" t="str">
        <x:v>Output</x:v>
      </x:c>
      <x:c r="C40" s="41" t="str">
        <x:v>Results</x:v>
      </x:c>
      <x:c r="D40" s="41" t="str">
        <x:v>B10</x:v>
      </x:c>
      <x:c r="E40" s="41" t="str">
        <x:v>Scalar</x:v>
      </x:c>
      <x:c r="F40" s="41" t="str"/>
      <x:c r="G40" s="41" t="str"/>
      <x:c r="H40" s="41" t="str"/>
      <x:c r="I40" s="41" t="str">
        <x:v>Results!C10</x:v>
      </x:c>
      <x:c r="J40" s="41" t="str">
        <x:v>density</x:v>
      </x:c>
      <x:c r="K40" s="41" t="str">
        <x:v>number</x:v>
      </x:c>
      <x:c r="L40" s="44" t="b">
        <x:v>0</x:v>
      </x:c>
      <x:c r="M40" s="44" t="b">
        <x:v>0</x:v>
      </x:c>
      <x:c r="N40" s="35"/>
    </x:row>
    <x:row r="41">
      <x:c r="A41" s="41" t="str">
        <x:v>/analyses/hydraulics/results/flowPathStatus</x:v>
      </x:c>
      <x:c r="B41" s="41" t="str">
        <x:v>Output</x:v>
      </x:c>
      <x:c r="C41" s="41" t="str">
        <x:v>Results</x:v>
      </x:c>
      <x:c r="D41" s="41" t="str">
        <x:v>E6</x:v>
      </x:c>
      <x:c r="E41" s="41" t="str">
        <x:v>Scalar</x:v>
      </x:c>
      <x:c r="F41" s="41" t="str"/>
      <x:c r="G41" s="41" t="str"/>
      <x:c r="H41" s="41" t="str"/>
      <x:c r="I41" s="41" t="str">
        <x:v>text</x:v>
      </x:c>
      <x:c r="J41" s="41" t="str">
        <x:v>status</x:v>
      </x:c>
      <x:c r="K41" s="41" t="str">
        <x:v>status</x:v>
      </x:c>
      <x:c r="L41" s="44" t="b">
        <x:v>0</x:v>
      </x:c>
      <x:c r="M41" s="44" t="b">
        <x:v>0</x:v>
      </x:c>
      <x:c r="N41" s="35"/>
    </x:row>
    <x:row r="42">
      <x:c r="A42" s="41" t="str">
        <x:v>/analyses/hydraulics/results/nozzleStatus</x:v>
      </x:c>
      <x:c r="B42" s="41" t="str">
        <x:v>Output</x:v>
      </x:c>
      <x:c r="C42" s="41" t="str">
        <x:v>Results</x:v>
      </x:c>
      <x:c r="D42" s="41" t="str">
        <x:v>E7</x:v>
      </x:c>
      <x:c r="E42" s="41" t="str">
        <x:v>Scalar</x:v>
      </x:c>
      <x:c r="F42" s="41" t="str"/>
      <x:c r="G42" s="41" t="str"/>
      <x:c r="H42" s="41" t="str"/>
      <x:c r="I42" s="41" t="str">
        <x:v>text</x:v>
      </x:c>
      <x:c r="J42" s="41" t="str">
        <x:v>status</x:v>
      </x:c>
      <x:c r="K42" s="41" t="str">
        <x:v>status</x:v>
      </x:c>
      <x:c r="L42" s="44" t="b">
        <x:v>0</x:v>
      </x:c>
      <x:c r="M42" s="44" t="b">
        <x:v>0</x:v>
      </x:c>
      <x:c r="N42" s="35"/>
    </x:row>
    <x:row r="43">
      <x:c r="A43" s="41" t="str">
        <x:v>/analyses/hydraulics/summary/surfacePressureStatus</x:v>
      </x:c>
      <x:c r="B43" s="41" t="str">
        <x:v>Output</x:v>
      </x:c>
      <x:c r="C43" s="41" t="str">
        <x:v>Results</x:v>
      </x:c>
      <x:c r="D43" s="41" t="str">
        <x:v>E8</x:v>
      </x:c>
      <x:c r="E43" s="41" t="str">
        <x:v>Scalar</x:v>
      </x:c>
      <x:c r="F43" s="41" t="str"/>
      <x:c r="G43" s="41" t="str"/>
      <x:c r="H43" s="41" t="str"/>
      <x:c r="I43" s="41" t="str">
        <x:v>text</x:v>
      </x:c>
      <x:c r="J43" s="41" t="str">
        <x:v>status</x:v>
      </x:c>
      <x:c r="K43" s="41" t="str">
        <x:v>status</x:v>
      </x:c>
      <x:c r="L43" s="44" t="b">
        <x:v>0</x:v>
      </x:c>
      <x:c r="M43" s="44" t="b">
        <x:v>0</x:v>
      </x:c>
      <x:c r="N43" s="35"/>
    </x:row>
    <x:row r="44">
      <x:c r="A44" s="41" t="str">
        <x:v>/analyses/hydraulics/results/nozzleVelocityStatus</x:v>
      </x:c>
      <x:c r="B44" s="41" t="str">
        <x:v>Output</x:v>
      </x:c>
      <x:c r="C44" s="41" t="str">
        <x:v>Results</x:v>
      </x:c>
      <x:c r="D44" s="41" t="str">
        <x:v>E9</x:v>
      </x:c>
      <x:c r="E44" s="41" t="str">
        <x:v>Scalar</x:v>
      </x:c>
      <x:c r="F44" s="41" t="str"/>
      <x:c r="G44" s="41" t="str"/>
      <x:c r="H44" s="41" t="str"/>
      <x:c r="I44" s="41" t="str">
        <x:v>text</x:v>
      </x:c>
      <x:c r="J44" s="41" t="str">
        <x:v>status</x:v>
      </x:c>
      <x:c r="K44" s="41" t="str">
        <x:v>status</x:v>
      </x:c>
      <x:c r="L44" s="44" t="b">
        <x:v>0</x:v>
      </x:c>
      <x:c r="M44" s="44" t="b">
        <x:v>0</x:v>
      </x:c>
      <x:c r="N44" s="35"/>
    </x:row>
    <x:row r="45">
      <x:c r="A45" s="41" t="str">
        <x:v>/analyses/hydraulics/results/ecdStatus</x:v>
      </x:c>
      <x:c r="B45" s="41" t="str">
        <x:v>Output</x:v>
      </x:c>
      <x:c r="C45" s="41" t="str">
        <x:v>Results</x:v>
      </x:c>
      <x:c r="D45" s="41" t="str">
        <x:v>E10</x:v>
      </x:c>
      <x:c r="E45" s="41" t="str">
        <x:v>Scalar</x:v>
      </x:c>
      <x:c r="F45" s="41" t="str"/>
      <x:c r="G45" s="41" t="str"/>
      <x:c r="H45" s="41" t="str"/>
      <x:c r="I45" s="41" t="str">
        <x:v>text</x:v>
      </x:c>
      <x:c r="J45" s="41" t="str">
        <x:v>status</x:v>
      </x:c>
      <x:c r="K45" s="41" t="str">
        <x:v>status</x:v>
      </x:c>
      <x:c r="L45" s="44" t="b">
        <x:v>0</x:v>
      </x:c>
      <x:c r="M45" s="44" t="b">
        <x:v>0</x:v>
      </x:c>
      <x:c r="N45" s="35"/>
    </x:row>
  </x:sheetData>
  <x:sheetProtection sheet="1" objects="1" scenarios="1"/>
  <x:protectedRanges>
    <x:protectedRange name="ExchangeMapDocumentation" sqref="A3:M3"/>
  </x:protectedRanges>
  <x:mergeCells>
    <x:mergeCell ref="A1:N1"/>
    <x:mergeCell ref="A3:M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Exchange State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Round-trip unit preservation state — managed by WellForge exchange automation</x:v>
      </x:c>
      <x:c r="B3" s="38" t="str">
        <x:v>Round-trip unit preservation state — managed by WellForge exchange automation</x:v>
      </x:c>
      <x:c r="C3" s="38" t="str">
        <x:v>Round-trip unit preservation state — managed by WellForge exchange automation</x:v>
      </x:c>
      <x:c r="D3" s="38" t="str">
        <x:v>Round-trip unit preservation state — managed by WellForge exchange automation</x:v>
      </x:c>
      <x:c r="E3" s="38" t="str">
        <x:v>Round-trip unit preservation state — managed by WellForge exchange automation</x:v>
      </x:c>
      <x:c r="F3" s="38" t="str">
        <x:v>Round-trip unit preservation state — managed by WellForge exchange automation</x:v>
      </x:c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43" t="str">
        <x:v>Pointer</x:v>
      </x:c>
      <x:c r="B5" s="43" t="str">
        <x:v>Original value</x:v>
      </x:c>
      <x:c r="C5" s="43" t="str">
        <x:v>Original unit</x:v>
      </x:c>
      <x:c r="D5" s="43" t="str">
        <x:v>Canonical value</x:v>
      </x:c>
      <x:c r="E5" s="43" t="str">
        <x:v>Destination</x:v>
      </x:c>
      <x:c r="F5" s="43" t="str">
        <x:v>Imported at</x:v>
      </x:c>
      <x:c r="G5" s="35"/>
      <x:c r="H5" s="35"/>
      <x:c r="I5" s="35"/>
      <x:c r="J5" s="35"/>
      <x:c r="K5" s="35"/>
      <x:c r="L5" s="35"/>
      <x:c r="M5" s="35"/>
      <x:c r="N5" s="35"/>
    </x:row>
  </x:sheetData>
  <x:sheetProtection sheet="1" objects="1" scenarios="1"/>
  <x:mergeCells>
    <x:mergeCell ref="A1:N1"/>
    <x:mergeCell ref="A3:F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4" t="str">
        <x:v>WellForge | Exchange Buffer | Formula-driven planning and review workbook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8" t="str">
        <x:v>Office Script and desktop JSON exchange buffer</x:v>
      </x:c>
      <x:c r="B3" s="38" t="str">
        <x:v>Office Script and desktop JSON exchange buffer</x:v>
      </x:c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 ht="96" customHeight="1">
      <x:c r="A5" s="43" t="str">
        <x:v>Payload</x:v>
      </x:c>
      <x:c r="B5" s="45" t="str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43" t="str">
        <x:v>Action</x:v>
      </x:c>
      <x:c r="B6" s="46" t="str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43" t="str">
        <x:v>Status</x:v>
      </x:c>
      <x:c r="B7" s="47" t="str">
        <x:v>Ready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43" t="str">
        <x:v>Diagnostics</x:v>
      </x:c>
      <x:c r="B8" s="48" t="str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</x:sheetData>
  <x:mergeCells>
    <x:mergeCell ref="A1:N1"/>
    <x:mergeCell ref="A3:B3"/>
  </x:mergeCells>
  <x:pageMargins left="0.7" right="0.7" top="0.75" bottom="0.75" header="0.3" footer="0.3"/>
</x:worksheet>
</file>