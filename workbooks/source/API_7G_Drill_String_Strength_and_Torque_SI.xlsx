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Id5"/>
    <x:sheet xmlns:r="http://schemas.openxmlformats.org/officeDocument/2006/relationships" name="Inputs" sheetId="2" r:id="rId13"/>
    <x:sheet xmlns:r="http://schemas.openxmlformats.org/officeDocument/2006/relationships" name="Survey" sheetId="3" r:id="rId14"/>
    <x:sheet xmlns:r="http://schemas.openxmlformats.org/officeDocument/2006/relationships" name="Results" sheetId="4" r:id="rId15"/>
    <x:sheet xmlns:r="http://schemas.openxmlformats.org/officeDocument/2006/relationships" name="Graphs" sheetId="5" r:id="rId16"/>
    <x:sheet xmlns:r="http://schemas.openxmlformats.org/officeDocument/2006/relationships" name="Tubular Catalog" sheetId="6" r:id="rId17"/>
    <x:sheet xmlns:r="http://schemas.openxmlformats.org/officeDocument/2006/relationships" name="Load Cases" sheetId="7" r:id="rId18"/>
    <x:sheet xmlns:r="http://schemas.openxmlformats.org/officeDocument/2006/relationships" name="Section Detail" sheetId="8" r:id="rId19"/>
    <x:sheet xmlns:r="http://schemas.openxmlformats.org/officeDocument/2006/relationships" name="Strength Charts" sheetId="9" r:id="rId20"/>
    <x:sheet xmlns:r="http://schemas.openxmlformats.org/officeDocument/2006/relationships" name="Chart Settings" sheetId="10" r:id="rId6"/>
    <x:sheet xmlns:r="http://schemas.openxmlformats.org/officeDocument/2006/relationships" name="Unit Map" sheetId="11" r:id="rId7"/>
    <x:sheet xmlns:r="http://schemas.openxmlformats.org/officeDocument/2006/relationships" name="Checks" sheetId="12" r:id="rId8"/>
    <x:sheet xmlns:r="http://schemas.openxmlformats.org/officeDocument/2006/relationships" name="Calc" sheetId="13" r:id="rId9" state="hidden"/>
    <x:sheet xmlns:r="http://schemas.openxmlformats.org/officeDocument/2006/relationships" name="Exchange Map" sheetId="14" r:id="rId10"/>
    <x:sheet xmlns:r="http://schemas.openxmlformats.org/officeDocument/2006/relationships" name="Exchange State" sheetId="15" r:id="rId11" state="hidden"/>
    <x:sheet xmlns:r="http://schemas.openxmlformats.org/officeDocument/2006/relationships" name="Exchange Buffer" sheetId="16" r:id="rId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.00;[Red]-#,##0.00"/>
    <x:numFmt numFmtId="202" formatCode="0.00%"/>
  </x:numFmts>
  <x:fonts count="4">
    <x:font>
      <x:sz val="11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i/>
      <x:sz val="11"/>
      <x:color rgb="FF1F293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3"/>
      </x:patternFill>
    </x:fill>
    <x:fill>
      <x:patternFill patternType="solid">
        <x:fgColor rgb="FFCCFBF1"/>
      </x:patternFill>
    </x:fill>
    <x:fill>
      <x:patternFill patternType="solid">
        <x:fgColor rgb="FFDBEAFE"/>
      </x:patternFill>
    </x:fill>
    <x:fill>
      <x:patternFill patternType="solid">
        <x:fgColor rgb="FFF3F4F6"/>
      </x:patternFill>
    </x:fill>
  </x:fills>
  <x:borders count="5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2" borderId="1" xfId="0" applyNumberFormat="1" applyFont="1" applyFill="1" applyBorder="1"/>
    <x:xf numFmtId="20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4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201" fontId="1" fillId="2" borderId="0" xfId="0" applyNumberFormat="1" applyFont="1" applyFill="1" applyBorder="1" applyAlignment="1">
      <x:alignment horizontal="left" vertical="center"/>
    </x:xf>
    <x:xf numFmtId="201" fontId="0" fillId="0" borderId="0" xfId="0" applyNumberFormat="1" applyFont="1" applyFill="1" applyBorder="1"/>
    <x:xf numFmtId="201" fontId="2" fillId="2" borderId="0" xfId="0" applyNumberFormat="1" applyFont="1" applyFill="1" applyBorder="1" applyAlignment="1">
      <x:alignment horizontal="left" vertical="center"/>
    </x:xf>
    <x:xf numFmtId="201" fontId="2" fillId="2" borderId="1" xfId="0" applyNumberFormat="1" applyFont="1" applyFill="1" applyBorder="1"/>
    <x:xf numFmtId="201" fontId="0" fillId="5" borderId="1" xfId="0" applyNumberFormat="1" applyFont="1" applyFill="1" applyBorder="1"/>
    <x:xf numFmtId="201" fontId="0" fillId="4" borderId="1" xfId="0" applyNumberFormat="1" applyFont="1" applyFill="1" applyBorder="1"/>
    <x:xf numFmtId="201" fontId="3" fillId="3" borderId="0" xfId="0" applyNumberFormat="1" applyFont="1" applyFill="1" applyBorder="1"/>
    <x:xf numFmtId="201" fontId="0" fillId="0" borderId="1" xfId="0" applyNumberFormat="1" applyFont="1" applyFill="1" applyBorder="1"/>
    <x:xf numFmtId="201" fontId="2" fillId="2" borderId="0" xfId="0" applyNumberFormat="1" applyFont="1" applyFill="1" applyBorder="1" applyAlignment="1">
      <x:alignment horizontal="left" vertical="center" wrapText="1"/>
    </x:xf>
    <x:xf numFmtId="201" fontId="2" fillId="2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4" borderId="2" xfId="0" applyNumberFormat="1" applyFont="1" applyFill="1" applyBorder="1" applyAlignment="1">
      <x:alignment wrapText="1"/>
    </x:xf>
    <x:xf numFmtId="201" fontId="0" fillId="4" borderId="4" xfId="0" applyNumberFormat="1" applyFont="1" applyFill="1" applyBorder="1" applyAlignment="1">
      <x:alignment wrapText="1"/>
    </x:xf>
    <x:xf numFmtId="201" fontId="0" fillId="5" borderId="2" xfId="0" applyNumberFormat="1" applyFont="1" applyFill="1" applyBorder="1" applyAlignment="1">
      <x:alignment wrapText="1"/>
    </x:xf>
    <x:xf numFmtId="201" fontId="0" fillId="5" borderId="4" xfId="0" applyNumberFormat="1" applyFont="1" applyFill="1" applyBorder="1" applyAlignment="1">
      <x:alignment wrapText="1"/>
    </x:xf>
    <x:xf numFmtId="202" fontId="0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microsoft.com/office/2022/11/relationships/FeaturePropertyBag" Target="/xl/featurePropertyBag/featurePropertyBag.xml" Id="rId1" /><Relationship Type="http://schemas.openxmlformats.org/officeDocument/2006/relationships/sharedStrings" Target="/xl/sharedStrings.xml" Id="rId2" /><Relationship Type="http://schemas.openxmlformats.org/officeDocument/2006/relationships/styles" Target="/xl/styles.xml" Id="rId3" /><Relationship Type="http://schemas.openxmlformats.org/officeDocument/2006/relationships/theme" Target="/xl/theme/theme1.xml" Id="rId4" /><Relationship Type="http://schemas.openxmlformats.org/officeDocument/2006/relationships/worksheet" Target="/xl/worksheets/sheet1.xml" Id="rId5" /><Relationship Type="http://schemas.openxmlformats.org/officeDocument/2006/relationships/worksheet" Target="/xl/worksheets/sheet10.xml" Id="rId6" /><Relationship Type="http://schemas.openxmlformats.org/officeDocument/2006/relationships/worksheet" Target="/xl/worksheets/sheet11.xml" Id="rId7" /><Relationship Type="http://schemas.openxmlformats.org/officeDocument/2006/relationships/worksheet" Target="/xl/worksheets/sheet12.xml" Id="rId8" /><Relationship Type="http://schemas.openxmlformats.org/officeDocument/2006/relationships/worksheet" Target="/xl/worksheets/sheet13.xml" Id="rId9" /><Relationship Type="http://schemas.openxmlformats.org/officeDocument/2006/relationships/worksheet" Target="/xl/worksheets/sheet14.xml" Id="rId10" /><Relationship Type="http://schemas.openxmlformats.org/officeDocument/2006/relationships/worksheet" Target="/xl/worksheets/sheet15.xml" Id="rId11" /><Relationship Type="http://schemas.openxmlformats.org/officeDocument/2006/relationships/worksheet" Target="/xl/worksheets/sheet16.xml" Id="rId12" /><Relationship Type="http://schemas.openxmlformats.org/officeDocument/2006/relationships/worksheet" Target="/xl/worksheets/sheet2.xml" Id="rId13" /><Relationship Type="http://schemas.openxmlformats.org/officeDocument/2006/relationships/worksheet" Target="/xl/worksheets/sheet3.xml" Id="rId14" /><Relationship Type="http://schemas.openxmlformats.org/officeDocument/2006/relationships/worksheet" Target="/xl/worksheets/sheet4.xml" Id="rId15" /><Relationship Type="http://schemas.openxmlformats.org/officeDocument/2006/relationships/worksheet" Target="/xl/worksheets/sheet5.xml" Id="rId16" /><Relationship Type="http://schemas.openxmlformats.org/officeDocument/2006/relationships/worksheet" Target="/xl/worksheets/sheet6.xml" Id="rId17" /><Relationship Type="http://schemas.openxmlformats.org/officeDocument/2006/relationships/worksheet" Target="/xl/worksheets/sheet7.xml" Id="rId18" /><Relationship Type="http://schemas.openxmlformats.org/officeDocument/2006/relationships/worksheet" Target="/xl/worksheets/sheet8.xml" Id="rId19" /><Relationship Type="http://schemas.openxmlformats.org/officeDocument/2006/relationships/worksheet" Target="/xl/worksheets/sheet9.xml" Id="rId2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Id1" /><Relationship Type="http://schemas.openxmlformats.org/officeDocument/2006/relationships/chart" Target="/xl/drawings/charts/chart2.xml" Id="rId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Id1" /><Relationship Type="http://schemas.openxmlformats.org/officeDocument/2006/relationships/chart" Target="/xl/drawings/charts/chart4.xml" Id="rId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Section utilisation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Tension utilisation</c:v>
          </c:tx>
          <c:marker>
            <c:symbol val="none"/>
          </c:marker>
          <c:cat>
            <c:strRef>
              <c:f>'Graphs'!$A$4:$A$9</c:f>
              <c:strCache>
                <c:ptCount val="0"/>
              </c:strCache>
            </c:strRef>
          </c:cat>
          <c:val>
            <c:numRef>
              <c:f>'Graphs'!$B$4:$B$9</c:f>
              <c:numCache>
                <c:formatCode>0.00%</c:formatCode>
                <c:ptCount val="0"/>
              </c:numCache>
            </c:numRef>
          </c:val>
          <c:smooth val="0"/>
        </c:ser>
        <c:ser>
          <c:idx val="1"/>
          <c:order val="1"/>
          <c:tx>
            <c:v>Torque utilisation</c:v>
          </c:tx>
          <c:marker>
            <c:symbol val="none"/>
          </c:marker>
          <c:cat>
            <c:strRef>
              <c:f>'Graphs'!$A$4:$A$9</c:f>
              <c:strCache>
                <c:ptCount val="0"/>
              </c:strCache>
            </c:strRef>
          </c:cat>
          <c:val>
            <c:numRef>
              <c:f>'Graphs'!$C$4:$C$9</c:f>
              <c:numCache>
                <c:formatCode>0.00%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0;[Red]-#,##0.00" sourceLinked="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Tension versus torque utilisation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Tension utilisation</c:v>
          </c:tx>
          <c:cat>
            <c:strRef>
              <c:f>'Graphs'!$A$23:$A$28</c:f>
              <c:strCache>
                <c:ptCount val="0"/>
              </c:strCache>
            </c:strRef>
          </c:cat>
          <c:val>
            <c:numRef>
              <c:f>'Graphs'!$B$23:$B$28</c:f>
              <c:numCache>
                <c:formatCode>#,##0.00;[Red]-#,##0.00</c:formatCode>
                <c:ptCount val="0"/>
              </c:numCache>
            </c:numRef>
          </c:val>
        </c:ser>
        <c:ser>
          <c:idx val="1"/>
          <c:order val="1"/>
          <c:tx>
            <c:v>Torque utilisation</c:v>
          </c:tx>
          <c:cat>
            <c:strRef>
              <c:f>'Graphs'!$A$23:$A$28</c:f>
              <c:strCache>
                <c:ptCount val="0"/>
              </c:strCache>
            </c:strRef>
          </c:cat>
          <c:val>
            <c:numRef>
              <c:f>'Graphs'!$C$23:$C$28</c:f>
              <c:numCache>
                <c:formatCode>#,##0.00;[Red]-#,##0.00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0;[Red]-#,##0.00" sourceLinked="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0;[Red]-#,##0.0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Combined utilisation by operation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Static</c:v>
          </c:tx>
          <c:marker>
            <c:symbol val="none"/>
          </c:marker>
          <c:cat>
            <c:strRef>
              <c:f>'Strength Charts'!$A$6:$A$11</c:f>
              <c:strCache>
                <c:ptCount val="0"/>
              </c:strCache>
            </c:strRef>
          </c:cat>
          <c:val>
            <c:numRef>
              <c:f>'Strength Charts'!$B$6:$B$11</c:f>
              <c:numCache>
                <c:formatCode>#,##0.00;[Red]-#,##0.00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Rotate</c:v>
          </c:tx>
          <c:marker>
            <c:symbol val="none"/>
          </c:marker>
          <c:cat>
            <c:strRef>
              <c:f>'Strength Charts'!$A$6:$A$11</c:f>
              <c:strCache>
                <c:ptCount val="0"/>
              </c:strCache>
            </c:strRef>
          </c:cat>
          <c:val>
            <c:numRef>
              <c:f>'Strength Charts'!$C$6:$C$11</c:f>
              <c:numCache>
                <c:formatCode>#,##0.00;[Red]-#,##0.00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Backream</c:v>
          </c:tx>
          <c:marker>
            <c:symbol val="none"/>
          </c:marker>
          <c:cat>
            <c:strRef>
              <c:f>'Strength Charts'!$A$6:$A$11</c:f>
              <c:strCache>
                <c:ptCount val="0"/>
              </c:strCache>
            </c:strRef>
          </c:cat>
          <c:val>
            <c:numRef>
              <c:f>'Strength Charts'!$D$6:$D$11</c:f>
              <c:numCache>
                <c:formatCode>#,##0.00;[Red]-#,##0.00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0;[Red]-#,##0.00" sourceLinked="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0;[Red]-#,##0.0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Operation envelope versus design limit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Peak utilisation</c:v>
          </c:tx>
          <c:cat>
            <c:strRef>
              <c:f>'Strength Charts'!$A$26:$A$31</c:f>
              <c:strCache>
                <c:ptCount val="0"/>
              </c:strCache>
            </c:strRef>
          </c:cat>
          <c:val>
            <c:numRef>
              <c:f>'Strength Charts'!$B$26:$B$31</c:f>
              <c:numCache>
                <c:formatCode>#,##0.00;[Red]-#,##0.00</c:formatCode>
                <c:ptCount val="0"/>
              </c:numCache>
            </c:numRef>
          </c:val>
        </c:ser>
        <c:ser>
          <c:idx val="1"/>
          <c:order val="1"/>
          <c:tx>
            <c:v>Design limit</c:v>
          </c:tx>
          <c:cat>
            <c:strRef>
              <c:f>'Strength Charts'!$A$26:$A$31</c:f>
              <c:strCache>
                <c:ptCount val="0"/>
              </c:strCache>
            </c:strRef>
          </c:cat>
          <c:val>
            <c:numRef>
              <c:f>'Strength Charts'!$C$26:$C$31</c:f>
              <c:numCache>
                <c:formatCode>#,##0.00;[Red]-#,##0.00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0;[Red]-#,##0.00" sourceLinked="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0;[Red]-#,##0.0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  <xdr:twoCellAnchor>
    <xdr:from>
      <xdr:col>4</xdr:col>
      <xdr:colOff>0</xdr:colOff>
      <xdr:row>20</xdr:row>
      <xdr:rowOff>0</xdr:rowOff>
    </xdr:from>
    <xdr:to>
      <xdr:col>14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14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2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1" t="str">
        <x:v>WellForge | API 7G Drill String Strength and Torque — SI | Formula-driven planning and review workbook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</x:row>
    <x:row r="3">
      <x:c r="A3" s="33" t="str">
        <x:v>Decision summary</x:v>
      </x:c>
      <x:c r="B3" s="33" t="str">
        <x:v>Decision summary</x:v>
      </x:c>
      <x:c r="C3" s="33" t="str">
        <x:v>Decision summary</x:v>
      </x:c>
      <x:c r="D3" s="33" t="str">
        <x:v>Decision summary</x:v>
      </x:c>
      <x:c r="E3" s="33" t="str">
        <x:v>Decision summary</x:v>
      </x:c>
      <x:c r="F3" s="33" t="str">
        <x:v>Decision summary</x:v>
      </x:c>
      <x:c r="G3" s="32"/>
      <x:c r="H3" s="32"/>
      <x:c r="I3" s="32"/>
      <x:c r="J3" s="32"/>
      <x:c r="K3" s="32"/>
      <x:c r="L3" s="32"/>
      <x:c r="M3" s="32"/>
      <x:c r="N3" s="32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</x:row>
    <x:row r="5">
      <x:c r="A5" s="34" t="str">
        <x:v>Metric</x:v>
      </x:c>
      <x:c r="B5" s="34" t="str">
        <x:v>Result</x:v>
      </x:c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</x:row>
    <x:row r="6">
      <x:c r="A6" s="35" t="str">
        <x:v>Governing section</x:v>
      </x:c>
      <x:c r="B6" s="35" t="str">
        <x:f>INDEX(Results!A6:A11,MATCH(MAX(Results!E6:E11),Results!E6:E11,0))</x:f>
        <x:v>Drill Pipe</x:v>
      </x:c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</x:row>
    <x:row r="7">
      <x:c r="A7" s="35" t="str">
        <x:v>Maximum combined utilisation</x:v>
      </x:c>
      <x:c r="B7" s="46" t="n">
        <x:f>MAX(Results!E6:E11)</x:f>
        <x:v>0.962491568242621</x:v>
      </x:c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</x:row>
    <x:row r="8">
      <x:c r="A8" s="35" t="str">
        <x:v>Status</x:v>
      </x:c>
      <x:c r="B8" s="35" t="str">
        <x:f>IF(B7&lt;=Inputs!K8,"WITHIN SCREENING LIMIT","ENGINEERING REVIEW")</x:f>
        <x:v>ENGINEERING REVIEW</x:v>
      </x:c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</x:row>
  </x:sheetData>
  <x:mergeCells>
    <x:mergeCell ref="A1:N1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1" t="str">
        <x:v>WellForge | Inputs | Formula-driven planning and review workbook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</x:row>
    <x:row r="3">
      <x:c r="A3" s="33" t="str">
        <x:v>SI drill-string inputs — values are stored in SI; display labels are linked to Unit Map</x:v>
      </x:c>
      <x:c r="B3" s="33" t="str">
        <x:v>SI drill-string inputs — values are stored in SI; display labels are linked to Unit Map</x:v>
      </x:c>
      <x:c r="C3" s="33" t="str">
        <x:v>SI drill-string inputs — values are stored in SI; display labels are linked to Unit Map</x:v>
      </x:c>
      <x:c r="D3" s="33" t="str">
        <x:v>SI drill-string inputs — values are stored in SI; display labels are linked to Unit Map</x:v>
      </x:c>
      <x:c r="E3" s="33" t="str">
        <x:v>SI drill-string inputs — values are stored in SI; display labels are linked to Unit Map</x:v>
      </x:c>
      <x:c r="F3" s="33" t="str">
        <x:v>SI drill-string inputs — values are stored in SI; display labels are linked to Unit Map</x:v>
      </x:c>
      <x:c r="G3" s="33" t="str">
        <x:v>SI drill-string inputs — values are stored in SI; display labels are linked to Unit Map</x:v>
      </x:c>
      <x:c r="H3" s="33" t="str">
        <x:v>SI drill-string inputs — values are stored in SI; display labels are linked to Unit Map</x:v>
      </x:c>
      <x:c r="I3" s="32"/>
      <x:c r="J3" s="32"/>
      <x:c r="K3" s="32"/>
      <x:c r="L3" s="32"/>
      <x:c r="M3" s="32"/>
      <x:c r="N3" s="32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</x:row>
    <x:row r="5">
      <x:c r="A5" s="34" t="str">
        <x:v>Section</x:v>
      </x:c>
      <x:c r="B5" s="34" t="str">
        <x:v>Length m</x:v>
      </x:c>
      <x:c r="C5" s="34" t="str">
        <x:v>Fluid kg/m3</x:v>
      </x:c>
      <x:c r="D5" s="34" t="str">
        <x:v>OD m</x:v>
      </x:c>
      <x:c r="E5" s="34" t="str">
        <x:v>ID m</x:v>
      </x:c>
      <x:c r="F5" s="34" t="str">
        <x:v>Axial load N</x:v>
      </x:c>
      <x:c r="G5" s="34" t="str">
        <x:v>Tension limit N</x:v>
      </x:c>
      <x:c r="H5" s="34" t="str">
        <x:v>Operating torque N-m</x:v>
      </x:c>
      <x:c r="I5" s="32" t="str">
        <x:v>Exchange record ID</x:v>
      </x:c>
      <x:c r="J5" s="34" t="str">
        <x:v>Control</x:v>
      </x:c>
      <x:c r="K5" s="34" t="str">
        <x:v>SI value</x:v>
      </x:c>
      <x:c r="L5" s="32"/>
      <x:c r="M5" s="32"/>
      <x:c r="N5" s="32"/>
    </x:row>
    <x:row r="6">
      <x:c r="A6" s="32" t="str">
        <x:v>Drill Pipe</x:v>
      </x:c>
      <x:c r="B6" s="36" t="n">
        <x:v>2100</x:v>
      </x:c>
      <x:c r="C6" s="36" t="n">
        <x:v>1200</x:v>
      </x:c>
      <x:c r="D6" s="36" t="n">
        <x:v>0.127</x:v>
      </x:c>
      <x:c r="E6" s="36" t="n">
        <x:v>0.1086</x:v>
      </x:c>
      <x:c r="F6" s="36" t="n">
        <x:v>850000</x:v>
      </x:c>
      <x:c r="G6" s="36" t="n">
        <x:v>1800000</x:v>
      </x:c>
      <x:c r="H6" s="36" t="n">
        <x:v>22000</x:v>
      </x:c>
      <x:c r="I6" s="32" t="str">
        <x:v>api7g-dp-01</x:v>
      </x:c>
      <x:c r="J6" s="32" t="str">
        <x:v>Surface torque N-m</x:v>
      </x:c>
      <x:c r="K6" s="36" t="n">
        <x:v>26000</x:v>
      </x:c>
      <x:c r="L6" s="32"/>
      <x:c r="M6" s="32"/>
      <x:c r="N6" s="32"/>
    </x:row>
    <x:row r="7">
      <x:c r="A7" s="32" t="str">
        <x:v>HWDP</x:v>
      </x:c>
      <x:c r="B7" s="36" t="n">
        <x:v>300</x:v>
      </x:c>
      <x:c r="C7" s="36" t="n">
        <x:v>1200</x:v>
      </x:c>
      <x:c r="D7" s="36" t="n">
        <x:v>0.14</x:v>
      </x:c>
      <x:c r="E7" s="36" t="n">
        <x:v>0.076</x:v>
      </x:c>
      <x:c r="F7" s="36" t="n">
        <x:v>920000</x:v>
      </x:c>
      <x:c r="G7" s="36" t="n">
        <x:v>2300000</x:v>
      </x:c>
      <x:c r="H7" s="36" t="n">
        <x:v>30000</x:v>
      </x:c>
      <x:c r="I7" s="32" t="str">
        <x:v>api7g-hwdp-01</x:v>
      </x:c>
      <x:c r="J7" s="32" t="str">
        <x:v>Hookload N</x:v>
      </x:c>
      <x:c r="K7" s="36" t="n">
        <x:v>1050000</x:v>
      </x:c>
      <x:c r="L7" s="32"/>
      <x:c r="M7" s="32"/>
      <x:c r="N7" s="32"/>
    </x:row>
    <x:row r="8">
      <x:c r="A8" s="32" t="str">
        <x:v>Drill Collar</x:v>
      </x:c>
      <x:c r="B8" s="36" t="n">
        <x:v>210</x:v>
      </x:c>
      <x:c r="C8" s="36" t="n">
        <x:v>1200</x:v>
      </x:c>
      <x:c r="D8" s="36" t="n">
        <x:v>0.171</x:v>
      </x:c>
      <x:c r="E8" s="36" t="n">
        <x:v>0.071</x:v>
      </x:c>
      <x:c r="F8" s="36" t="n">
        <x:v>980000</x:v>
      </x:c>
      <x:c r="G8" s="36" t="n">
        <x:v>3000000</x:v>
      </x:c>
      <x:c r="H8" s="36" t="n">
        <x:v>45000</x:v>
      </x:c>
      <x:c r="I8" s="32" t="str">
        <x:v>api7g-dc-01</x:v>
      </x:c>
      <x:c r="J8" s="32" t="str">
        <x:v>Design utilisation limit</x:v>
      </x:c>
      <x:c r="K8" s="36" t="n">
        <x:v>0.9</x:v>
      </x:c>
      <x:c r="L8" s="32"/>
      <x:c r="M8" s="32"/>
      <x:c r="N8" s="32"/>
    </x:row>
    <x:row r="9">
      <x:c r="A9" s="32" t="str">
        <x:v>MWD / LWD</x:v>
      </x:c>
      <x:c r="B9" s="36" t="n">
        <x:v>30</x:v>
      </x:c>
      <x:c r="C9" s="36" t="n">
        <x:v>1200</x:v>
      </x:c>
      <x:c r="D9" s="36" t="n">
        <x:v>0.171</x:v>
      </x:c>
      <x:c r="E9" s="36" t="n">
        <x:v>0.057</x:v>
      </x:c>
      <x:c r="F9" s="36" t="n">
        <x:v>1000000</x:v>
      </x:c>
      <x:c r="G9" s="36" t="n">
        <x:v>2200000</x:v>
      </x:c>
      <x:c r="H9" s="36" t="n">
        <x:v>35000</x:v>
      </x:c>
      <x:c r="I9" s="32" t="str">
        <x:v>api7g-mwd-lwd-01</x:v>
      </x:c>
      <x:c r="J9" s="32"/>
      <x:c r="K9" s="32"/>
      <x:c r="L9" s="32"/>
      <x:c r="M9" s="32"/>
      <x:c r="N9" s="32"/>
    </x:row>
    <x:row r="10">
      <x:c r="A10" s="32" t="str">
        <x:v>Motor / RSS</x:v>
      </x:c>
      <x:c r="B10" s="36" t="n">
        <x:v>20</x:v>
      </x:c>
      <x:c r="C10" s="36" t="n">
        <x:v>1200</x:v>
      </x:c>
      <x:c r="D10" s="36" t="n">
        <x:v>0.171</x:v>
      </x:c>
      <x:c r="E10" s="36" t="n">
        <x:v>0.057</x:v>
      </x:c>
      <x:c r="F10" s="36" t="n">
        <x:v>1020000</x:v>
      </x:c>
      <x:c r="G10" s="36" t="n">
        <x:v>2200000</x:v>
      </x:c>
      <x:c r="H10" s="36" t="n">
        <x:v>35000</x:v>
      </x:c>
      <x:c r="I10" s="32" t="str">
        <x:v>api7g-motor-rss-01</x:v>
      </x:c>
      <x:c r="J10" s="32"/>
      <x:c r="K10" s="32"/>
      <x:c r="L10" s="32"/>
      <x:c r="M10" s="32"/>
      <x:c r="N10" s="32"/>
    </x:row>
    <x:row r="11">
      <x:c r="A11" s="32" t="str">
        <x:v>Bit / Sub</x:v>
      </x:c>
      <x:c r="B11" s="36" t="n">
        <x:v>10</x:v>
      </x:c>
      <x:c r="C11" s="36" t="n">
        <x:v>1200</x:v>
      </x:c>
      <x:c r="D11" s="36" t="n">
        <x:v>0.171</x:v>
      </x:c>
      <x:c r="E11" s="36" t="n">
        <x:v>0.051</x:v>
      </x:c>
      <x:c r="F11" s="36" t="n">
        <x:v>1050000</x:v>
      </x:c>
      <x:c r="G11" s="36" t="n">
        <x:v>1600000</x:v>
      </x:c>
      <x:c r="H11" s="36" t="n">
        <x:v>30000</x:v>
      </x:c>
      <x:c r="I11" s="32" t="str">
        <x:v>api7g-bit-sub-01</x:v>
      </x:c>
      <x:c r="J11" s="32"/>
      <x:c r="K11" s="32"/>
      <x:c r="L11" s="32"/>
      <x:c r="M11" s="32"/>
      <x:c r="N11" s="32"/>
    </x:row>
  </x:sheetData>
  <x:mergeCells>
    <x:mergeCell ref="A1:N1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1" t="str">
        <x:v>WellForge | Survey | Formula-driven planning and review workbook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</x:sheetData>
  <x:mergeCells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1" t="str">
        <x:v>WellForge | Results | Formula-driven planning and review workbook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</x:row>
    <x:row r="3">
      <x:c r="A3" s="33" t="str">
        <x:v>Strength and torque screening results</x:v>
      </x:c>
      <x:c r="B3" s="33" t="str">
        <x:v>Strength and torque screening results</x:v>
      </x:c>
      <x:c r="C3" s="33" t="str">
        <x:v>Strength and torque screening results</x:v>
      </x:c>
      <x:c r="D3" s="33" t="str">
        <x:v>Strength and torque screening results</x:v>
      </x:c>
      <x:c r="E3" s="33" t="str">
        <x:v>Strength and torque screening results</x:v>
      </x:c>
      <x:c r="F3" s="33" t="str">
        <x:v>Strength and torque screening results</x:v>
      </x:c>
      <x:c r="G3" s="33" t="str">
        <x:v>Strength and torque screening results</x:v>
      </x:c>
      <x:c r="H3" s="33" t="str">
        <x:v>Strength and torque screening results</x:v>
      </x:c>
      <x:c r="I3" s="32"/>
      <x:c r="J3" s="32"/>
      <x:c r="K3" s="32"/>
      <x:c r="L3" s="32"/>
      <x:c r="M3" s="32"/>
      <x:c r="N3" s="32"/>
    </x:row>
    <x:row r="4">
      <x:c r="A4" s="32"/>
      <x:c r="B4" s="32" t="str">
        <x:f>'Unit Map'!$H$14</x:f>
        <x:v>N</x:v>
      </x:c>
      <x:c r="C4" s="32" t="str">
        <x:v>fraction</x:v>
      </x:c>
      <x:c r="D4" s="32" t="str">
        <x:v>fraction</x:v>
      </x:c>
      <x:c r="E4" s="32" t="str">
        <x:v>fraction</x:v>
      </x:c>
      <x:c r="F4" s="32"/>
      <x:c r="G4" s="32"/>
      <x:c r="H4" s="32"/>
      <x:c r="I4" s="32"/>
      <x:c r="J4" s="32"/>
      <x:c r="K4" s="32"/>
      <x:c r="L4" s="32"/>
      <x:c r="M4" s="32"/>
      <x:c r="N4" s="32"/>
    </x:row>
    <x:row r="5">
      <x:c r="A5" s="34" t="str">
        <x:v>Section</x:v>
      </x:c>
      <x:c r="B5" s="34" t="str">
        <x:v>Buoyed load N</x:v>
      </x:c>
      <x:c r="C5" s="34" t="str">
        <x:v>Tension utilisation</x:v>
      </x:c>
      <x:c r="D5" s="34" t="str">
        <x:v>Torque utilisation</x:v>
      </x:c>
      <x:c r="E5" s="34" t="str">
        <x:v>Combined utilisation</x:v>
      </x:c>
      <x:c r="F5" s="34" t="str">
        <x:v>Tension status</x:v>
      </x:c>
      <x:c r="G5" s="34" t="str">
        <x:v>Torque status</x:v>
      </x:c>
      <x:c r="H5" s="34" t="str">
        <x:v>Governing</x:v>
      </x:c>
      <x:c r="I5" s="32" t="str">
        <x:v>Exchange record ID</x:v>
      </x:c>
      <x:c r="J5" s="32"/>
      <x:c r="K5" s="32"/>
      <x:c r="L5" s="32"/>
      <x:c r="M5" s="32"/>
      <x:c r="N5" s="32"/>
    </x:row>
    <x:row r="6">
      <x:c r="A6" s="35" t="str">
        <x:f>Calc!A6</x:f>
        <x:v>Drill Pipe</x:v>
      </x:c>
      <x:c r="B6" s="35" t="n">
        <x:f>Calc!D6*'Unit Map'!$I$14</x:f>
        <x:v>720063.6942675159</x:v>
      </x:c>
      <x:c r="C6" s="46" t="n">
        <x:f>Calc!F6</x:f>
        <x:v>0.4000353857041755</x:v>
      </x:c>
      <x:c r="D6" s="46" t="n">
        <x:f>Calc!H6</x:f>
        <x:v>0.8754208754208753</x:v>
      </x:c>
      <x:c r="E6" s="46" t="n">
        <x:f>Calc!I6</x:f>
        <x:v>0.962491568242621</x:v>
      </x:c>
      <x:c r="F6" s="35" t="str">
        <x:f>IF(C6&lt;=Inputs!K$8,"PASS","REVIEW")</x:f>
        <x:v>PASS</x:v>
      </x:c>
      <x:c r="G6" s="35" t="str">
        <x:f>IF(D6&lt;=Inputs!K$8,"PASS","REVIEW")</x:f>
        <x:v>PASS</x:v>
      </x:c>
      <x:c r="H6" s="35" t="str">
        <x:f>IF(E6=MAX($E$6:$E$11),"GOVERNING","")</x:f>
        <x:v>GOVERNING</x:v>
      </x:c>
      <x:c r="I6" s="32" t="str">
        <x:f>Inputs!I6</x:f>
        <x:v>api7g-dp-01</x:v>
      </x:c>
      <x:c r="J6" s="32"/>
      <x:c r="K6" s="32"/>
      <x:c r="L6" s="32"/>
      <x:c r="M6" s="32"/>
      <x:c r="N6" s="32"/>
    </x:row>
    <x:row r="7">
      <x:c r="A7" s="35" t="str">
        <x:f>Calc!A7</x:f>
        <x:v>HWDP</x:v>
      </x:c>
      <x:c r="B7" s="35" t="n">
        <x:f>Calc!D7*'Unit Map'!$I$14</x:f>
        <x:v>779363.0573248408</x:v>
      </x:c>
      <x:c r="C7" s="46" t="n">
        <x:f>Calc!F7</x:f>
        <x:v>0.3388535031847134</x:v>
      </x:c>
      <x:c r="D7" s="46" t="n">
        <x:f>Calc!H7</x:f>
        <x:v>0.6419753086419753</x:v>
      </x:c>
      <x:c r="E7" s="46" t="n">
        <x:f>Calc!I7</x:f>
        <x:v>0.7259159686399742</x:v>
      </x:c>
      <x:c r="F7" s="35" t="str">
        <x:f>IF(C7&lt;=Inputs!K$8,"PASS","REVIEW")</x:f>
        <x:v>PASS</x:v>
      </x:c>
      <x:c r="G7" s="35" t="str">
        <x:f>IF(D7&lt;=Inputs!K$8,"PASS","REVIEW")</x:f>
        <x:v>PASS</x:v>
      </x:c>
      <x:c r="H7" s="35" t="str">
        <x:f>IF(E7=MAX($E$6:$E$11),"GOVERNING","")</x:f>
      </x:c>
      <x:c r="I7" s="32" t="str">
        <x:f>Inputs!I7</x:f>
        <x:v>api7g-hwdp-01</x:v>
      </x:c>
      <x:c r="J7" s="32"/>
      <x:c r="K7" s="32"/>
      <x:c r="L7" s="32"/>
      <x:c r="M7" s="32"/>
      <x:c r="N7" s="32"/>
    </x:row>
    <x:row r="8">
      <x:c r="A8" s="35" t="str">
        <x:f>Calc!A8</x:f>
        <x:v>Drill Collar</x:v>
      </x:c>
      <x:c r="B8" s="35" t="n">
        <x:f>Calc!D8*'Unit Map'!$I$14</x:f>
        <x:v>830191.0828025478</x:v>
      </x:c>
      <x:c r="C8" s="46" t="n">
        <x:f>Calc!F8</x:f>
        <x:v>0.27673036093418263</x:v>
      </x:c>
      <x:c r="D8" s="46" t="n">
        <x:f>Calc!H8</x:f>
        <x:v>0.42798353909465014</x:v>
      </x:c>
      <x:c r="E8" s="46" t="n">
        <x:f>Calc!I8</x:f>
        <x:v>0.509656357165046</x:v>
      </x:c>
      <x:c r="F8" s="35" t="str">
        <x:f>IF(C8&lt;=Inputs!K$8,"PASS","REVIEW")</x:f>
        <x:v>PASS</x:v>
      </x:c>
      <x:c r="G8" s="35" t="str">
        <x:f>IF(D8&lt;=Inputs!K$8,"PASS","REVIEW")</x:f>
        <x:v>PASS</x:v>
      </x:c>
      <x:c r="H8" s="35" t="str">
        <x:f>IF(E8=MAX($E$6:$E$11),"GOVERNING","")</x:f>
      </x:c>
      <x:c r="I8" s="32" t="str">
        <x:f>Inputs!I8</x:f>
        <x:v>api7g-dc-01</x:v>
      </x:c>
      <x:c r="J8" s="32"/>
      <x:c r="K8" s="32"/>
      <x:c r="L8" s="32"/>
      <x:c r="M8" s="32"/>
      <x:c r="N8" s="32"/>
    </x:row>
    <x:row r="9">
      <x:c r="A9" s="35" t="str">
        <x:f>Calc!A9</x:f>
        <x:v>MWD / LWD</x:v>
      </x:c>
      <x:c r="B9" s="35" t="n">
        <x:f>Calc!D9*'Unit Map'!$I$14</x:f>
        <x:v>847133.7579617834</x:v>
      </x:c>
      <x:c r="C9" s="46" t="n">
        <x:f>Calc!F9</x:f>
        <x:v>0.3850607990735379</x:v>
      </x:c>
      <x:c r="D9" s="46" t="n">
        <x:f>Calc!H9</x:f>
        <x:v>0.5502645502645502</x:v>
      </x:c>
      <x:c r="E9" s="46" t="n">
        <x:f>Calc!I9</x:f>
        <x:v>0.6716121605964258</x:v>
      </x:c>
      <x:c r="F9" s="35" t="str">
        <x:f>IF(C9&lt;=Inputs!K$8,"PASS","REVIEW")</x:f>
        <x:v>PASS</x:v>
      </x:c>
      <x:c r="G9" s="35" t="str">
        <x:f>IF(D9&lt;=Inputs!K$8,"PASS","REVIEW")</x:f>
        <x:v>PASS</x:v>
      </x:c>
      <x:c r="H9" s="35" t="str">
        <x:f>IF(E9=MAX($E$6:$E$11),"GOVERNING","")</x:f>
      </x:c>
      <x:c r="I9" s="32" t="str">
        <x:f>Inputs!I9</x:f>
        <x:v>api7g-mwd-lwd-01</x:v>
      </x:c>
      <x:c r="J9" s="32"/>
      <x:c r="K9" s="32"/>
      <x:c r="L9" s="32"/>
      <x:c r="M9" s="32"/>
      <x:c r="N9" s="32"/>
    </x:row>
    <x:row r="10">
      <x:c r="A10" s="35" t="str">
        <x:f>Calc!A10</x:f>
        <x:v>Motor / RSS</x:v>
      </x:c>
      <x:c r="B10" s="35" t="n">
        <x:f>Calc!D10*'Unit Map'!$I$14</x:f>
        <x:v>864076.4331210192</x:v>
      </x:c>
      <x:c r="C10" s="46" t="n">
        <x:f>Calc!F10</x:f>
        <x:v>0.3927620150550087</x:v>
      </x:c>
      <x:c r="D10" s="46" t="n">
        <x:f>Calc!H10</x:f>
        <x:v>0.5502645502645502</x:v>
      </x:c>
      <x:c r="E10" s="46" t="n">
        <x:f>Calc!I10</x:f>
        <x:v>0.6760570062856524</x:v>
      </x:c>
      <x:c r="F10" s="35" t="str">
        <x:f>IF(C10&lt;=Inputs!K$8,"PASS","REVIEW")</x:f>
        <x:v>PASS</x:v>
      </x:c>
      <x:c r="G10" s="35" t="str">
        <x:f>IF(D10&lt;=Inputs!K$8,"PASS","REVIEW")</x:f>
        <x:v>PASS</x:v>
      </x:c>
      <x:c r="H10" s="35" t="str">
        <x:f>IF(E10=MAX($E$6:$E$11),"GOVERNING","")</x:f>
      </x:c>
      <x:c r="I10" s="32" t="str">
        <x:f>Inputs!I10</x:f>
        <x:v>api7g-motor-rss-01</x:v>
      </x:c>
      <x:c r="J10" s="32"/>
      <x:c r="K10" s="32"/>
      <x:c r="L10" s="32"/>
      <x:c r="M10" s="32"/>
      <x:c r="N10" s="32"/>
    </x:row>
    <x:row r="11">
      <x:c r="A11" s="35" t="str">
        <x:f>Calc!A11</x:f>
        <x:v>Bit / Sub</x:v>
      </x:c>
      <x:c r="B11" s="35" t="n">
        <x:f>Calc!D11*'Unit Map'!$I$14</x:f>
        <x:v>889490.4458598726</x:v>
      </x:c>
      <x:c r="C11" s="46" t="n">
        <x:f>Calc!F11</x:f>
        <x:v>0.5559315286624203</x:v>
      </x:c>
      <x:c r="D11" s="46" t="n">
        <x:f>Calc!H11</x:f>
        <x:v>0.6419753086419753</x:v>
      </x:c>
      <x:c r="E11" s="46" t="n">
        <x:f>Calc!I11</x:f>
        <x:v>0.8492303347542968</x:v>
      </x:c>
      <x:c r="F11" s="35" t="str">
        <x:f>IF(C11&lt;=Inputs!K$8,"PASS","REVIEW")</x:f>
        <x:v>PASS</x:v>
      </x:c>
      <x:c r="G11" s="35" t="str">
        <x:f>IF(D11&lt;=Inputs!K$8,"PASS","REVIEW")</x:f>
        <x:v>PASS</x:v>
      </x:c>
      <x:c r="H11" s="35" t="str">
        <x:f>IF(E11=MAX($E$6:$E$11),"GOVERNING","")</x:f>
      </x:c>
      <x:c r="I11" s="32" t="str">
        <x:f>Inputs!I11</x:f>
        <x:v>api7g-bit-sub-01</x:v>
      </x:c>
      <x:c r="J11" s="32"/>
      <x:c r="K11" s="32"/>
      <x:c r="L11" s="32"/>
      <x:c r="M11" s="32"/>
      <x:c r="N11" s="32"/>
    </x:row>
  </x:sheetData>
  <x:mergeCells>
    <x:mergeCell ref="A1:N1"/>
    <x:mergeCell ref="A3:H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1" t="str">
        <x:v>WellForge | Graphs | Formula-driven planning and review workbook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</x:row>
    <x:row r="3">
      <x:c r="A3" s="32" t="str">
        <x:v>Section</x:v>
      </x:c>
      <x:c r="B3" s="32" t="str">
        <x:v>Tension utilisation</x:v>
      </x:c>
      <x:c r="C3" s="32" t="str">
        <x:v>Torque utilisation</x:v>
      </x:c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</x:row>
    <x:row r="4">
      <x:c r="A4" s="32" t="str">
        <x:f>Results!A6</x:f>
        <x:v>Drill Pipe</x:v>
      </x:c>
      <x:c r="B4" s="32" t="n">
        <x:f>Results!C6</x:f>
        <x:v>0.4000353857041755</x:v>
      </x:c>
      <x:c r="C4" s="32" t="n">
        <x:f>Results!D6</x:f>
        <x:v>0.8754208754208753</x:v>
      </x:c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</x:row>
    <x:row r="5">
      <x:c r="A5" s="32" t="str">
        <x:f>Results!A7</x:f>
        <x:v>HWDP</x:v>
      </x:c>
      <x:c r="B5" s="32" t="n">
        <x:f>Results!C7</x:f>
        <x:v>0.3388535031847134</x:v>
      </x:c>
      <x:c r="C5" s="32" t="n">
        <x:f>Results!D7</x:f>
        <x:v>0.6419753086419753</x:v>
      </x:c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</x:row>
    <x:row r="6">
      <x:c r="A6" s="32" t="str">
        <x:f>Results!A8</x:f>
        <x:v>Drill Collar</x:v>
      </x:c>
      <x:c r="B6" s="32" t="n">
        <x:f>Results!C8</x:f>
        <x:v>0.27673036093418263</x:v>
      </x:c>
      <x:c r="C6" s="32" t="n">
        <x:f>Results!D8</x:f>
        <x:v>0.42798353909465014</x:v>
      </x:c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</x:row>
    <x:row r="7">
      <x:c r="A7" s="32" t="str">
        <x:f>Results!A9</x:f>
        <x:v>MWD / LWD</x:v>
      </x:c>
      <x:c r="B7" s="32" t="n">
        <x:f>Results!C9</x:f>
        <x:v>0.3850607990735379</x:v>
      </x:c>
      <x:c r="C7" s="32" t="n">
        <x:f>Results!D9</x:f>
        <x:v>0.5502645502645502</x:v>
      </x:c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</x:row>
    <x:row r="8">
      <x:c r="A8" s="32" t="str">
        <x:f>Results!A10</x:f>
        <x:v>Motor / RSS</x:v>
      </x:c>
      <x:c r="B8" s="32" t="n">
        <x:f>Results!C10</x:f>
        <x:v>0.3927620150550087</x:v>
      </x:c>
      <x:c r="C8" s="32" t="n">
        <x:f>Results!D10</x:f>
        <x:v>0.5502645502645502</x:v>
      </x:c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</x:row>
    <x:row r="9">
      <x:c r="A9" s="32" t="str">
        <x:f>Results!A11</x:f>
        <x:v>Bit / Sub</x:v>
      </x:c>
      <x:c r="B9" s="32" t="n">
        <x:f>Results!C11</x:f>
        <x:v>0.5559315286624203</x:v>
      </x:c>
      <x:c r="C9" s="32" t="n">
        <x:f>Results!D11</x:f>
        <x:v>0.6419753086419753</x:v>
      </x:c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</x:row>
    <x:row r="22">
      <x:c r="A22" s="32" t="str">
        <x:v>Section</x:v>
      </x:c>
      <x:c r="B22" s="32" t="str">
        <x:v>Tension utilisation</x:v>
      </x:c>
      <x:c r="C22" s="32" t="str">
        <x:v>Torque utilisation</x:v>
      </x:c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</x:row>
    <x:row r="23">
      <x:c r="A23" s="32" t="str">
        <x:f>Results!A6</x:f>
        <x:v>Drill Pipe</x:v>
      </x:c>
      <x:c r="B23" s="32" t="n">
        <x:f>Results!C6</x:f>
        <x:v>0.4000353857041755</x:v>
      </x:c>
      <x:c r="C23" s="32" t="n">
        <x:f>Results!D6</x:f>
        <x:v>0.8754208754208753</x:v>
      </x:c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</x:row>
    <x:row r="24">
      <x:c r="A24" s="32" t="str">
        <x:f>Results!A7</x:f>
        <x:v>HWDP</x:v>
      </x:c>
      <x:c r="B24" s="32" t="n">
        <x:f>Results!C7</x:f>
        <x:v>0.3388535031847134</x:v>
      </x:c>
      <x:c r="C24" s="32" t="n">
        <x:f>Results!D7</x:f>
        <x:v>0.6419753086419753</x:v>
      </x:c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</x:row>
    <x:row r="25">
      <x:c r="A25" s="32" t="str">
        <x:f>Results!A8</x:f>
        <x:v>Drill Collar</x:v>
      </x:c>
      <x:c r="B25" s="32" t="n">
        <x:f>Results!C8</x:f>
        <x:v>0.27673036093418263</x:v>
      </x:c>
      <x:c r="C25" s="32" t="n">
        <x:f>Results!D8</x:f>
        <x:v>0.42798353909465014</x:v>
      </x:c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</x:row>
    <x:row r="26">
      <x:c r="A26" s="32" t="str">
        <x:f>Results!A9</x:f>
        <x:v>MWD / LWD</x:v>
      </x:c>
      <x:c r="B26" s="32" t="n">
        <x:f>Results!C9</x:f>
        <x:v>0.3850607990735379</x:v>
      </x:c>
      <x:c r="C26" s="32" t="n">
        <x:f>Results!D9</x:f>
        <x:v>0.5502645502645502</x:v>
      </x:c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</x:row>
    <x:row r="27">
      <x:c r="A27" s="32" t="str">
        <x:f>Results!A10</x:f>
        <x:v>Motor / RSS</x:v>
      </x:c>
      <x:c r="B27" s="32" t="n">
        <x:f>Results!C10</x:f>
        <x:v>0.3927620150550087</x:v>
      </x:c>
      <x:c r="C27" s="32" t="n">
        <x:f>Results!D10</x:f>
        <x:v>0.5502645502645502</x:v>
      </x:c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</x:row>
    <x:row r="28">
      <x:c r="A28" s="32" t="str">
        <x:f>Results!A11</x:f>
        <x:v>Bit / Sub</x:v>
      </x:c>
      <x:c r="B28" s="32" t="n">
        <x:f>Results!C11</x:f>
        <x:v>0.5559315286624203</x:v>
      </x:c>
      <x:c r="C28" s="32" t="n">
        <x:f>Results!D11</x:f>
        <x:v>0.6419753086419753</x:v>
      </x:c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</x:row>
  </x:sheetData>
  <x:mergeCells>
    <x:mergeCell ref="A1:N1"/>
  </x:mergeCells>
  <x:conditionalFormatting sqref="B23:C28">
    <x:cfRule type="colorScale" priority="1">
      <x:colorScale>
        <x:cfvo type="min"/>
        <x:cfvo type="percentile" val="50"/>
        <x:cfvo type="max"/>
        <x:color rgb="FFCCFBF1"/>
        <x:color rgb="FFFEF3C7"/>
        <x:color rgb="FFFEE2E2"/>
      </x:colorScale>
    </x:cfRule>
  </x:conditionalFormatting>
  <x:pageMargins left="0.7" right="0.7" top="0.75" bottom="0.75" header="0.3" footer="0.3"/>
  <x:drawing xmlns:r="http://schemas.openxmlformats.org/officeDocument/2006/relationships" r:id="rId1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1" t="str">
        <x:v>WellForge | Tubular Catalog | Formula-driven planning and review workbook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</x:row>
    <x:row r="3">
      <x:c r="A3" s="33" t="str">
        <x:v>Tubular and component catalog — editable engineering inputs</x:v>
      </x:c>
      <x:c r="B3" s="33" t="str">
        <x:v>Tubular and component catalog — editable engineering inputs</x:v>
      </x:c>
      <x:c r="C3" s="33" t="str">
        <x:v>Tubular and component catalog — editable engineering inputs</x:v>
      </x:c>
      <x:c r="D3" s="33" t="str">
        <x:v>Tubular and component catalog — editable engineering inputs</x:v>
      </x:c>
      <x:c r="E3" s="33" t="str">
        <x:v>Tubular and component catalog — editable engineering inputs</x:v>
      </x:c>
      <x:c r="F3" s="33" t="str">
        <x:v>Tubular and component catalog — editable engineering inputs</x:v>
      </x:c>
      <x:c r="G3" s="33" t="str">
        <x:v>Tubular and component catalog — editable engineering inputs</x:v>
      </x:c>
      <x:c r="H3" s="33" t="str">
        <x:v>Tubular and component catalog — editable engineering inputs</x:v>
      </x:c>
      <x:c r="I3" s="33" t="str">
        <x:v>Tubular and component catalog — editable engineering inputs</x:v>
      </x:c>
      <x:c r="J3" s="33" t="str">
        <x:v>Tubular and component catalog — editable engineering inputs</x:v>
      </x:c>
      <x:c r="K3" s="32"/>
      <x:c r="L3" s="32"/>
      <x:c r="M3" s="32"/>
      <x:c r="N3" s="32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</x:row>
    <x:row r="5">
      <x:c r="A5" s="34" t="str">
        <x:v>Record ID</x:v>
      </x:c>
      <x:c r="B5" s="34" t="str">
        <x:v>Component</x:v>
      </x:c>
      <x:c r="C5" s="34" t="str">
        <x:v>Length m</x:v>
      </x:c>
      <x:c r="D5" s="34" t="str">
        <x:v>OD m</x:v>
      </x:c>
      <x:c r="E5" s="34" t="str">
        <x:v>ID m</x:v>
      </x:c>
      <x:c r="F5" s="34" t="str">
        <x:v>Metal area m2</x:v>
      </x:c>
      <x:c r="G5" s="34" t="str">
        <x:v>Polar moment m4</x:v>
      </x:c>
      <x:c r="H5" s="34" t="str">
        <x:v>Tension limit N</x:v>
      </x:c>
      <x:c r="I5" s="34" t="str">
        <x:v>Operating torque N-m</x:v>
      </x:c>
      <x:c r="J5" s="34" t="str">
        <x:v>Material</x:v>
      </x:c>
      <x:c r="K5" s="32"/>
      <x:c r="L5" s="32"/>
      <x:c r="M5" s="32"/>
      <x:c r="N5" s="32"/>
    </x:row>
    <x:row r="6">
      <x:c r="A6" s="32" t="str">
        <x:v>api7g-dp-01</x:v>
      </x:c>
      <x:c r="B6" s="32" t="str">
        <x:v>Drill Pipe</x:v>
      </x:c>
      <x:c r="C6" s="36" t="n">
        <x:v>2100</x:v>
      </x:c>
      <x:c r="D6" s="36" t="n">
        <x:v>0.127</x:v>
      </x:c>
      <x:c r="E6" s="36" t="n">
        <x:v>0.1086</x:v>
      </x:c>
      <x:c r="F6" s="35" t="n">
        <x:f>PI()/4*(D6^2-E6^2)</x:f>
        <x:v>0.003404732454254474</x:v>
      </x:c>
      <x:c r="G6" s="35" t="n">
        <x:f>PI()/32*(D6^4-E6^4)</x:f>
        <x:v>0.000011883776016356188</x:v>
      </x:c>
      <x:c r="H6" s="35" t="n">
        <x:v>1800000</x:v>
      </x:c>
      <x:c r="I6" s="35" t="n">
        <x:v>22000</x:v>
      </x:c>
      <x:c r="J6" s="35" t="str">
        <x:v>Steel</x:v>
      </x:c>
      <x:c r="K6" s="32"/>
      <x:c r="L6" s="32"/>
      <x:c r="M6" s="32"/>
      <x:c r="N6" s="32"/>
    </x:row>
    <x:row r="7">
      <x:c r="A7" s="32" t="str">
        <x:v>api7g-hwdp-01</x:v>
      </x:c>
      <x:c r="B7" s="32" t="str">
        <x:v>HWDP</x:v>
      </x:c>
      <x:c r="C7" s="36" t="n">
        <x:v>300</x:v>
      </x:c>
      <x:c r="D7" s="36" t="n">
        <x:v>0.14</x:v>
      </x:c>
      <x:c r="E7" s="36" t="n">
        <x:v>0.076</x:v>
      </x:c>
      <x:c r="F7" s="35" t="n">
        <x:f>PI()/4*(D7^2-E7^2)</x:f>
        <x:v>0.010857344210806327</x:v>
      </x:c>
      <x:c r="G7" s="35" t="n">
        <x:f>PI()/32*(D7^4-E7^4)</x:f>
        <x:v>0.00003443949583667768</x:v>
      </x:c>
      <x:c r="H7" s="35" t="n">
        <x:v>2300000</x:v>
      </x:c>
      <x:c r="I7" s="35" t="n">
        <x:v>30000</x:v>
      </x:c>
      <x:c r="J7" s="35" t="str">
        <x:v>Steel</x:v>
      </x:c>
      <x:c r="K7" s="32"/>
      <x:c r="L7" s="32"/>
      <x:c r="M7" s="32"/>
      <x:c r="N7" s="32"/>
    </x:row>
    <x:row r="8">
      <x:c r="A8" s="32" t="str">
        <x:v>api7g-dc-01</x:v>
      </x:c>
      <x:c r="B8" s="32" t="str">
        <x:v>Drill Collar</x:v>
      </x:c>
      <x:c r="C8" s="36" t="n">
        <x:v>210</x:v>
      </x:c>
      <x:c r="D8" s="36" t="n">
        <x:v>0.171</x:v>
      </x:c>
      <x:c r="E8" s="36" t="n">
        <x:v>0.071</x:v>
      </x:c>
      <x:c r="F8" s="35" t="n">
        <x:f>PI()/4*(D8^2-E8^2)</x:f>
        <x:v>0.019006635554218252</x:v>
      </x:c>
      <x:c r="G8" s="35" t="n">
        <x:f>PI()/32*(D8^4-E8^4)</x:f>
        <x:v>0.00008144818500871376</x:v>
      </x:c>
      <x:c r="H8" s="35" t="n">
        <x:v>3000000</x:v>
      </x:c>
      <x:c r="I8" s="35" t="n">
        <x:v>45000</x:v>
      </x:c>
      <x:c r="J8" s="35" t="str">
        <x:v>Steel</x:v>
      </x:c>
      <x:c r="K8" s="32"/>
      <x:c r="L8" s="32"/>
      <x:c r="M8" s="32"/>
      <x:c r="N8" s="32"/>
    </x:row>
    <x:row r="9">
      <x:c r="A9" s="32" t="str">
        <x:v>api7g-mwd-lwd-01</x:v>
      </x:c>
      <x:c r="B9" s="32" t="str">
        <x:v>MWD / LWD</x:v>
      </x:c>
      <x:c r="C9" s="36" t="n">
        <x:v>30</x:v>
      </x:c>
      <x:c r="D9" s="36" t="n">
        <x:v>0.171</x:v>
      </x:c>
      <x:c r="E9" s="36" t="n">
        <x:v>0.057</x:v>
      </x:c>
      <x:c r="F9" s="35" t="n">
        <x:f>PI()/4*(D9^2-E9^2)</x:f>
        <x:v>0.020414069063026476</x:v>
      </x:c>
      <x:c r="G9" s="35" t="n">
        <x:f>PI()/32*(D9^4-E9^4)</x:f>
        <x:v>0.0000829066379822163</x:v>
      </x:c>
      <x:c r="H9" s="35" t="n">
        <x:v>2200000</x:v>
      </x:c>
      <x:c r="I9" s="35" t="n">
        <x:v>35000</x:v>
      </x:c>
      <x:c r="J9" s="35" t="str">
        <x:v>Steel</x:v>
      </x:c>
      <x:c r="K9" s="32"/>
      <x:c r="L9" s="32"/>
      <x:c r="M9" s="32"/>
      <x:c r="N9" s="32"/>
    </x:row>
    <x:row r="10">
      <x:c r="A10" s="32" t="str">
        <x:v>api7g-motor-rss-01</x:v>
      </x:c>
      <x:c r="B10" s="32" t="str">
        <x:v>Motor / RSS</x:v>
      </x:c>
      <x:c r="C10" s="36" t="n">
        <x:v>20</x:v>
      </x:c>
      <x:c r="D10" s="36" t="n">
        <x:v>0.171</x:v>
      </x:c>
      <x:c r="E10" s="36" t="n">
        <x:v>0.057</x:v>
      </x:c>
      <x:c r="F10" s="35" t="n">
        <x:f>PI()/4*(D10^2-E10^2)</x:f>
        <x:v>0.020414069063026476</x:v>
      </x:c>
      <x:c r="G10" s="35" t="n">
        <x:f>PI()/32*(D10^4-E10^4)</x:f>
        <x:v>0.0000829066379822163</x:v>
      </x:c>
      <x:c r="H10" s="35" t="n">
        <x:v>2200000</x:v>
      </x:c>
      <x:c r="I10" s="35" t="n">
        <x:v>35000</x:v>
      </x:c>
      <x:c r="J10" s="35" t="str">
        <x:v>Steel</x:v>
      </x:c>
      <x:c r="K10" s="32"/>
      <x:c r="L10" s="32"/>
      <x:c r="M10" s="32"/>
      <x:c r="N10" s="32"/>
    </x:row>
    <x:row r="11">
      <x:c r="A11" s="32" t="str">
        <x:v>api7g-bit-sub-01</x:v>
      </x:c>
      <x:c r="B11" s="32" t="str">
        <x:v>Bit / Sub</x:v>
      </x:c>
      <x:c r="C11" s="36" t="n">
        <x:v>10</x:v>
      </x:c>
      <x:c r="D11" s="36" t="n">
        <x:v>0.171</x:v>
      </x:c>
      <x:c r="E11" s="36" t="n">
        <x:v>0.051</x:v>
      </x:c>
      <x:c r="F11" s="35" t="n">
        <x:f>PI()/4*(D11^2-E11^2)</x:f>
        <x:v>0.020923007072908024</x:v>
      </x:c>
      <x:c r="G11" s="35" t="n">
        <x:f>PI()/32*(D11^4-E11^4)</x:f>
        <x:v>0.00008327879890194217</x:v>
      </x:c>
      <x:c r="H11" s="35" t="n">
        <x:v>1600000</x:v>
      </x:c>
      <x:c r="I11" s="35" t="n">
        <x:v>30000</x:v>
      </x:c>
      <x:c r="J11" s="35" t="str">
        <x:v>Steel</x:v>
      </x:c>
      <x:c r="K11" s="32"/>
      <x:c r="L11" s="32"/>
      <x:c r="M11" s="32"/>
      <x:c r="N11" s="32"/>
    </x:row>
  </x:sheetData>
  <x:mergeCells>
    <x:mergeCell ref="A1:N1"/>
    <x:mergeCell ref="A3:J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1" t="str">
        <x:v>WellForge | Load Cases | Formula-driven planning and review workbook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</x:row>
    <x:row r="3">
      <x:c r="A3" s="33" t="str">
        <x:v>Operation load cases — editable multipliers and design limits</x:v>
      </x:c>
      <x:c r="B3" s="33" t="str">
        <x:v>Operation load cases — editable multipliers and design limits</x:v>
      </x:c>
      <x:c r="C3" s="33" t="str">
        <x:v>Operation load cases — editable multipliers and design limits</x:v>
      </x:c>
      <x:c r="D3" s="33" t="str">
        <x:v>Operation load cases — editable multipliers and design limits</x:v>
      </x:c>
      <x:c r="E3" s="33" t="str">
        <x:v>Operation load cases — editable multipliers and design limits</x:v>
      </x:c>
      <x:c r="F3" s="33" t="str">
        <x:v>Operation load cases — editable multipliers and design limits</x:v>
      </x:c>
      <x:c r="G3" s="33" t="str">
        <x:v>Operation load cases — editable multipliers and design limits</x:v>
      </x:c>
      <x:c r="H3" s="33" t="str">
        <x:v>Operation load cases — editable multipliers and design limits</x:v>
      </x:c>
      <x:c r="I3" s="32"/>
      <x:c r="J3" s="32"/>
      <x:c r="K3" s="32"/>
      <x:c r="L3" s="32"/>
      <x:c r="M3" s="32"/>
      <x:c r="N3" s="32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</x:row>
    <x:row r="5">
      <x:c r="A5" s="34" t="str">
        <x:v>Operation</x:v>
      </x:c>
      <x:c r="B5" s="34" t="str">
        <x:v>Axial multiplier</x:v>
      </x:c>
      <x:c r="C5" s="34" t="str">
        <x:v>Torque multiplier</x:v>
      </x:c>
      <x:c r="D5" s="34" t="str">
        <x:v>Dynamic factor</x:v>
      </x:c>
      <x:c r="E5" s="34" t="str">
        <x:v>Combined factor</x:v>
      </x:c>
      <x:c r="F5" s="34" t="str">
        <x:v>Design limit</x:v>
      </x:c>
      <x:c r="G5" s="34" t="str">
        <x:v>Enabled</x:v>
      </x:c>
      <x:c r="H5" s="34" t="str">
        <x:v>Purpose</x:v>
      </x:c>
      <x:c r="I5" s="32"/>
      <x:c r="J5" s="32"/>
      <x:c r="K5" s="32"/>
      <x:c r="L5" s="32"/>
      <x:c r="M5" s="32"/>
      <x:c r="N5" s="32"/>
    </x:row>
    <x:row r="6">
      <x:c r="A6" s="32" t="str">
        <x:v>Static</x:v>
      </x:c>
      <x:c r="B6" s="36" t="n">
        <x:v>1</x:v>
      </x:c>
      <x:c r="C6" s="36" t="n">
        <x:v>1</x:v>
      </x:c>
      <x:c r="D6" s="36" t="n">
        <x:v>1</x:v>
      </x:c>
      <x:c r="E6" s="36" t="n">
        <x:v>1</x:v>
      </x:c>
      <x:c r="F6" s="36" t="n">
        <x:v>0.9</x:v>
      </x:c>
      <x:c r="G6" s="36" t="str">
        <x:v>Yes</x:v>
      </x:c>
      <x:c r="H6" s="32" t="str">
        <x:v>Baseline</x:v>
      </x:c>
      <x:c r="I6" s="32"/>
      <x:c r="J6" s="32"/>
      <x:c r="K6" s="32"/>
      <x:c r="L6" s="32"/>
      <x:c r="M6" s="32"/>
      <x:c r="N6" s="32"/>
    </x:row>
    <x:row r="7">
      <x:c r="A7" s="32" t="str">
        <x:v>POOH</x:v>
      </x:c>
      <x:c r="B7" s="36" t="n">
        <x:v>1.12</x:v>
      </x:c>
      <x:c r="C7" s="36" t="n">
        <x:v>0.8</x:v>
      </x:c>
      <x:c r="D7" s="36" t="n">
        <x:v>1.05</x:v>
      </x:c>
      <x:c r="E7" s="36" t="n">
        <x:v>1.05</x:v>
      </x:c>
      <x:c r="F7" s="36" t="n">
        <x:v>0.9</x:v>
      </x:c>
      <x:c r="G7" s="36" t="str">
        <x:v>Yes</x:v>
      </x:c>
      <x:c r="H7" s="32" t="str">
        <x:v>Trip out</x:v>
      </x:c>
      <x:c r="I7" s="32"/>
      <x:c r="J7" s="32"/>
      <x:c r="K7" s="32"/>
      <x:c r="L7" s="32"/>
      <x:c r="M7" s="32"/>
      <x:c r="N7" s="32"/>
    </x:row>
    <x:row r="8">
      <x:c r="A8" s="32" t="str">
        <x:v>RIH</x:v>
      </x:c>
      <x:c r="B8" s="36" t="n">
        <x:v>0.88</x:v>
      </x:c>
      <x:c r="C8" s="36" t="n">
        <x:v>0.65</x:v>
      </x:c>
      <x:c r="D8" s="36" t="n">
        <x:v>1.05</x:v>
      </x:c>
      <x:c r="E8" s="36" t="n">
        <x:v>1.05</x:v>
      </x:c>
      <x:c r="F8" s="36" t="n">
        <x:v>0.9</x:v>
      </x:c>
      <x:c r="G8" s="36" t="str">
        <x:v>Yes</x:v>
      </x:c>
      <x:c r="H8" s="32" t="str">
        <x:v>Trip in</x:v>
      </x:c>
      <x:c r="I8" s="32"/>
      <x:c r="J8" s="32"/>
      <x:c r="K8" s="32"/>
      <x:c r="L8" s="32"/>
      <x:c r="M8" s="32"/>
      <x:c r="N8" s="32"/>
    </x:row>
    <x:row r="9">
      <x:c r="A9" s="32" t="str">
        <x:v>Rotate</x:v>
      </x:c>
      <x:c r="B9" s="36" t="n">
        <x:v>1</x:v>
      </x:c>
      <x:c r="C9" s="36" t="n">
        <x:v>1.1</x:v>
      </x:c>
      <x:c r="D9" s="36" t="n">
        <x:v>1.1</x:v>
      </x:c>
      <x:c r="E9" s="36" t="n">
        <x:v>1.1</x:v>
      </x:c>
      <x:c r="F9" s="36" t="n">
        <x:v>0.9</x:v>
      </x:c>
      <x:c r="G9" s="36" t="str">
        <x:v>Yes</x:v>
      </x:c>
      <x:c r="H9" s="32" t="str">
        <x:v>Rotary drilling</x:v>
      </x:c>
      <x:c r="I9" s="32"/>
      <x:c r="J9" s="32"/>
      <x:c r="K9" s="32"/>
      <x:c r="L9" s="32"/>
      <x:c r="M9" s="32"/>
      <x:c r="N9" s="32"/>
    </x:row>
    <x:row r="10">
      <x:c r="A10" s="32" t="str">
        <x:v>Backream</x:v>
      </x:c>
      <x:c r="B10" s="36" t="n">
        <x:v>1.15</x:v>
      </x:c>
      <x:c r="C10" s="36" t="n">
        <x:v>1.25</x:v>
      </x:c>
      <x:c r="D10" s="36" t="n">
        <x:v>1.15</x:v>
      </x:c>
      <x:c r="E10" s="36" t="n">
        <x:v>1.15</x:v>
      </x:c>
      <x:c r="F10" s="36" t="n">
        <x:v>0.9</x:v>
      </x:c>
      <x:c r="G10" s="36" t="str">
        <x:v>Yes</x:v>
      </x:c>
      <x:c r="H10" s="32" t="str">
        <x:v>Backreaming</x:v>
      </x:c>
      <x:c r="I10" s="32"/>
      <x:c r="J10" s="32"/>
      <x:c r="K10" s="32"/>
      <x:c r="L10" s="32"/>
      <x:c r="M10" s="32"/>
      <x:c r="N10" s="32"/>
    </x:row>
    <x:row r="11">
      <x:c r="A11" s="32" t="str">
        <x:v>Overpull</x:v>
      </x:c>
      <x:c r="B11" s="36" t="n">
        <x:v>1.3</x:v>
      </x:c>
      <x:c r="C11" s="36" t="n">
        <x:v>0.5</x:v>
      </x:c>
      <x:c r="D11" s="36" t="n">
        <x:v>1.2</x:v>
      </x:c>
      <x:c r="E11" s="36" t="n">
        <x:v>1.2</x:v>
      </x:c>
      <x:c r="F11" s="36" t="n">
        <x:v>0.9</x:v>
      </x:c>
      <x:c r="G11" s="36" t="str">
        <x:v>Yes</x:v>
      </x:c>
      <x:c r="H11" s="32" t="str">
        <x:v>Contingency</x:v>
      </x:c>
      <x:c r="I11" s="32"/>
      <x:c r="J11" s="32"/>
      <x:c r="K11" s="32"/>
      <x:c r="L11" s="32"/>
      <x:c r="M11" s="32"/>
      <x:c r="N11" s="32"/>
    </x:row>
  </x:sheetData>
  <x:mergeCells>
    <x:mergeCell ref="A1:N1"/>
    <x:mergeCell ref="A3:H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1" t="str">
        <x:v>WellForge | Section Detail | Formula-driven planning and review workbook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</x:row>
    <x:row r="3">
      <x:c r="A3" s="33" t="str">
        <x:v>Section-by-section operation envelope</x:v>
      </x:c>
      <x:c r="B3" s="33" t="str">
        <x:v>Section-by-section operation envelope</x:v>
      </x:c>
      <x:c r="C3" s="33" t="str">
        <x:v>Section-by-section operation envelope</x:v>
      </x:c>
      <x:c r="D3" s="33" t="str">
        <x:v>Section-by-section operation envelope</x:v>
      </x:c>
      <x:c r="E3" s="33" t="str">
        <x:v>Section-by-section operation envelope</x:v>
      </x:c>
      <x:c r="F3" s="33" t="str">
        <x:v>Section-by-section operation envelope</x:v>
      </x:c>
      <x:c r="G3" s="33" t="str">
        <x:v>Section-by-section operation envelope</x:v>
      </x:c>
      <x:c r="H3" s="33" t="str">
        <x:v>Section-by-section operation envelope</x:v>
      </x:c>
      <x:c r="I3" s="33" t="str">
        <x:v>Section-by-section operation envelope</x:v>
      </x:c>
      <x:c r="J3" s="33" t="str">
        <x:v>Section-by-section operation envelope</x:v>
      </x:c>
      <x:c r="K3" s="33" t="str">
        <x:v>Section-by-section operation envelope</x:v>
      </x:c>
      <x:c r="L3" s="33" t="str">
        <x:v>Section-by-section operation envelope</x:v>
      </x:c>
      <x:c r="M3" s="32"/>
      <x:c r="N3" s="32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</x:row>
    <x:row r="5">
      <x:c r="A5" s="34" t="str">
        <x:v>Operation</x:v>
      </x:c>
      <x:c r="B5" s="34" t="str">
        <x:v>Section</x:v>
      </x:c>
      <x:c r="C5" s="34" t="str">
        <x:f>"Axial load "&amp;'Unit Map'!$H$14</x:f>
        <x:v>Axial load N</x:v>
      </x:c>
      <x:c r="D5" s="34" t="str">
        <x:f>"Torque "&amp;'Unit Map'!$H$16</x:f>
        <x:v>Torque N-m</x:v>
      </x:c>
      <x:c r="E5" s="34" t="str">
        <x:f>"Tension capacity "&amp;'Unit Map'!$H$14</x:f>
        <x:v>Tension capacity N</x:v>
      </x:c>
      <x:c r="F5" s="34" t="str">
        <x:f>"Torque capacity "&amp;'Unit Map'!$H$16</x:f>
        <x:v>Torque capacity N-m</x:v>
      </x:c>
      <x:c r="G5" s="34" t="str">
        <x:v>Tension util.</x:v>
      </x:c>
      <x:c r="H5" s="34" t="str">
        <x:v>Torque util.</x:v>
      </x:c>
      <x:c r="I5" s="34" t="str">
        <x:v>Combined util.</x:v>
      </x:c>
      <x:c r="J5" s="34" t="str">
        <x:v>Design limit</x:v>
      </x:c>
      <x:c r="K5" s="34" t="str">
        <x:v>Status</x:v>
      </x:c>
      <x:c r="L5" s="34" t="str">
        <x:v>Record ID</x:v>
      </x:c>
      <x:c r="M5" s="32"/>
      <x:c r="N5" s="32"/>
    </x:row>
    <x:row r="6">
      <x:c r="A6" s="35" t="str">
        <x:f>'Load Cases'!A6</x:f>
        <x:v>Static</x:v>
      </x:c>
      <x:c r="B6" s="35" t="str">
        <x:f>'Inputs'!A6</x:f>
        <x:v>Drill Pipe</x:v>
      </x:c>
      <x:c r="C6" s="35" t="n">
        <x:f>'Inputs'!F6*'Load Cases'!B6*'Load Cases'!D6*'Unit Map'!$I$14</x:f>
        <x:v>850000</x:v>
      </x:c>
      <x:c r="D6" s="35" t="n">
        <x:f>'Inputs'!$K$6*'Load Cases'!C6*'Load Cases'!D6*'Unit Map'!$I$16</x:f>
        <x:v>26000</x:v>
      </x:c>
      <x:c r="E6" s="35" t="n">
        <x:f>'Inputs'!G6*'Unit Map'!$I$14</x:f>
        <x:v>1800000</x:v>
      </x:c>
      <x:c r="F6" s="35" t="n">
        <x:f>'Calc'!G6*'Unit Map'!$I$16</x:f>
        <x:v>29700.000000000004</x:v>
      </x:c>
      <x:c r="G6" s="35" t="n">
        <x:f>C6/E6</x:f>
        <x:v>0.4722222222222222</x:v>
      </x:c>
      <x:c r="H6" s="35" t="n">
        <x:f>D6/F6</x:f>
        <x:v>0.8754208754208753</x:v>
      </x:c>
      <x:c r="I6" s="35" t="n">
        <x:f>SQRT(G6^2+H6^2)*'Load Cases'!E6</x:f>
        <x:v>0.9946635291811726</x:v>
      </x:c>
      <x:c r="J6" s="35" t="n">
        <x:f>'Load Cases'!F6</x:f>
        <x:v>0.9</x:v>
      </x:c>
      <x:c r="K6" s="35" t="str">
        <x:f>IF(I6&lt;=J6,"PASS","REVIEW")</x:f>
        <x:v>REVIEW</x:v>
      </x:c>
      <x:c r="L6" s="35" t="str">
        <x:f>'Inputs'!I6</x:f>
        <x:v>api7g-dp-01</x:v>
      </x:c>
      <x:c r="M6" s="32"/>
      <x:c r="N6" s="32"/>
    </x:row>
    <x:row r="7">
      <x:c r="A7" s="35" t="str">
        <x:f>'Load Cases'!A6</x:f>
        <x:v>Static</x:v>
      </x:c>
      <x:c r="B7" s="35" t="str">
        <x:f>'Inputs'!A7</x:f>
        <x:v>HWDP</x:v>
      </x:c>
      <x:c r="C7" s="35" t="n">
        <x:f>'Inputs'!F7*'Load Cases'!B6*'Load Cases'!D6*'Unit Map'!$I$14</x:f>
        <x:v>920000</x:v>
      </x:c>
      <x:c r="D7" s="35" t="n">
        <x:f>'Inputs'!$K$6*'Load Cases'!C6*'Load Cases'!D6*'Unit Map'!$I$16</x:f>
        <x:v>26000</x:v>
      </x:c>
      <x:c r="E7" s="35" t="n">
        <x:f>'Inputs'!G7*'Unit Map'!$I$14</x:f>
        <x:v>2300000</x:v>
      </x:c>
      <x:c r="F7" s="35" t="n">
        <x:f>'Calc'!G7*'Unit Map'!$I$16</x:f>
        <x:v>40500</x:v>
      </x:c>
      <x:c r="G7" s="35" t="n">
        <x:f>C7/E7</x:f>
        <x:v>0.4</x:v>
      </x:c>
      <x:c r="H7" s="35" t="n">
        <x:f>D7/F7</x:f>
        <x:v>0.6419753086419753</x:v>
      </x:c>
      <x:c r="I7" s="35" t="n">
        <x:f>SQRT(G7^2+H7^2)*'Load Cases'!E6</x:f>
        <x:v>0.7563942734486819</x:v>
      </x:c>
      <x:c r="J7" s="35" t="n">
        <x:f>'Load Cases'!F6</x:f>
        <x:v>0.9</x:v>
      </x:c>
      <x:c r="K7" s="35" t="str">
        <x:f>IF(I7&lt;=J7,"PASS","REVIEW")</x:f>
        <x:v>PASS</x:v>
      </x:c>
      <x:c r="L7" s="35" t="str">
        <x:f>'Inputs'!I7</x:f>
        <x:v>api7g-hwdp-01</x:v>
      </x:c>
      <x:c r="M7" s="32"/>
      <x:c r="N7" s="32"/>
    </x:row>
    <x:row r="8">
      <x:c r="A8" s="35" t="str">
        <x:f>'Load Cases'!A6</x:f>
        <x:v>Static</x:v>
      </x:c>
      <x:c r="B8" s="35" t="str">
        <x:f>'Inputs'!A8</x:f>
        <x:v>Drill Collar</x:v>
      </x:c>
      <x:c r="C8" s="35" t="n">
        <x:f>'Inputs'!F8*'Load Cases'!B6*'Load Cases'!D6*'Unit Map'!$I$14</x:f>
        <x:v>980000</x:v>
      </x:c>
      <x:c r="D8" s="35" t="n">
        <x:f>'Inputs'!$K$6*'Load Cases'!C6*'Load Cases'!D6*'Unit Map'!$I$16</x:f>
        <x:v>26000</x:v>
      </x:c>
      <x:c r="E8" s="35" t="n">
        <x:f>'Inputs'!G8*'Unit Map'!$I$14</x:f>
        <x:v>3000000</x:v>
      </x:c>
      <x:c r="F8" s="35" t="n">
        <x:f>'Calc'!G8*'Unit Map'!$I$16</x:f>
        <x:v>60750.00000000001</x:v>
      </x:c>
      <x:c r="G8" s="35" t="n">
        <x:f>C8/E8</x:f>
        <x:v>0.32666666666666666</x:v>
      </x:c>
      <x:c r="H8" s="35" t="n">
        <x:f>D8/F8</x:f>
        <x:v>0.42798353909465014</x:v>
      </x:c>
      <x:c r="I8" s="35" t="n">
        <x:f>SQRT(G8^2+H8^2)*'Load Cases'!E6</x:f>
        <x:v>0.5384060000103017</x:v>
      </x:c>
      <x:c r="J8" s="35" t="n">
        <x:f>'Load Cases'!F6</x:f>
        <x:v>0.9</x:v>
      </x:c>
      <x:c r="K8" s="35" t="str">
        <x:f>IF(I8&lt;=J8,"PASS","REVIEW")</x:f>
        <x:v>PASS</x:v>
      </x:c>
      <x:c r="L8" s="35" t="str">
        <x:f>'Inputs'!I8</x:f>
        <x:v>api7g-dc-01</x:v>
      </x:c>
      <x:c r="M8" s="32"/>
      <x:c r="N8" s="32"/>
    </x:row>
    <x:row r="9">
      <x:c r="A9" s="35" t="str">
        <x:f>'Load Cases'!A6</x:f>
        <x:v>Static</x:v>
      </x:c>
      <x:c r="B9" s="35" t="str">
        <x:f>'Inputs'!A9</x:f>
        <x:v>MWD / LWD</x:v>
      </x:c>
      <x:c r="C9" s="35" t="n">
        <x:f>'Inputs'!F9*'Load Cases'!B6*'Load Cases'!D6*'Unit Map'!$I$14</x:f>
        <x:v>1000000</x:v>
      </x:c>
      <x:c r="D9" s="35" t="n">
        <x:f>'Inputs'!$K$6*'Load Cases'!C6*'Load Cases'!D6*'Unit Map'!$I$16</x:f>
        <x:v>26000</x:v>
      </x:c>
      <x:c r="E9" s="35" t="n">
        <x:f>'Inputs'!G9*'Unit Map'!$I$14</x:f>
        <x:v>2200000</x:v>
      </x:c>
      <x:c r="F9" s="35" t="n">
        <x:f>'Calc'!G9*'Unit Map'!$I$16</x:f>
        <x:v>47250</x:v>
      </x:c>
      <x:c r="G9" s="35" t="n">
        <x:f>C9/E9</x:f>
        <x:v>0.45454545454545453</x:v>
      </x:c>
      <x:c r="H9" s="35" t="n">
        <x:f>D9/F9</x:f>
        <x:v>0.5502645502645502</x:v>
      </x:c>
      <x:c r="I9" s="35" t="n">
        <x:f>SQRT(G9^2+H9^2)*'Load Cases'!E6</x:f>
        <x:v>0.7137244885288592</x:v>
      </x:c>
      <x:c r="J9" s="35" t="n">
        <x:f>'Load Cases'!F6</x:f>
        <x:v>0.9</x:v>
      </x:c>
      <x:c r="K9" s="35" t="str">
        <x:f>IF(I9&lt;=J9,"PASS","REVIEW")</x:f>
        <x:v>PASS</x:v>
      </x:c>
      <x:c r="L9" s="35" t="str">
        <x:f>'Inputs'!I9</x:f>
        <x:v>api7g-mwd-lwd-01</x:v>
      </x:c>
      <x:c r="M9" s="32"/>
      <x:c r="N9" s="32"/>
    </x:row>
    <x:row r="10">
      <x:c r="A10" s="35" t="str">
        <x:f>'Load Cases'!A6</x:f>
        <x:v>Static</x:v>
      </x:c>
      <x:c r="B10" s="35" t="str">
        <x:f>'Inputs'!A10</x:f>
        <x:v>Motor / RSS</x:v>
      </x:c>
      <x:c r="C10" s="35" t="n">
        <x:f>'Inputs'!F10*'Load Cases'!B6*'Load Cases'!D6*'Unit Map'!$I$14</x:f>
        <x:v>1020000</x:v>
      </x:c>
      <x:c r="D10" s="35" t="n">
        <x:f>'Inputs'!$K$6*'Load Cases'!C6*'Load Cases'!D6*'Unit Map'!$I$16</x:f>
        <x:v>26000</x:v>
      </x:c>
      <x:c r="E10" s="35" t="n">
        <x:f>'Inputs'!G10*'Unit Map'!$I$14</x:f>
        <x:v>2200000</x:v>
      </x:c>
      <x:c r="F10" s="35" t="n">
        <x:f>'Calc'!G10*'Unit Map'!$I$16</x:f>
        <x:v>47250</x:v>
      </x:c>
      <x:c r="G10" s="35" t="n">
        <x:f>C10/E10</x:f>
        <x:v>0.4636363636363636</x:v>
      </x:c>
      <x:c r="H10" s="35" t="n">
        <x:f>D10/F10</x:f>
        <x:v>0.5502645502645502</x:v>
      </x:c>
      <x:c r="I10" s="35" t="n">
        <x:f>SQRT(G10^2+H10^2)*'Load Cases'!E6</x:f>
        <x:v>0.7195482978673482</x:v>
      </x:c>
      <x:c r="J10" s="35" t="n">
        <x:f>'Load Cases'!F6</x:f>
        <x:v>0.9</x:v>
      </x:c>
      <x:c r="K10" s="35" t="str">
        <x:f>IF(I10&lt;=J10,"PASS","REVIEW")</x:f>
        <x:v>PASS</x:v>
      </x:c>
      <x:c r="L10" s="35" t="str">
        <x:f>'Inputs'!I10</x:f>
        <x:v>api7g-motor-rss-01</x:v>
      </x:c>
      <x:c r="M10" s="32"/>
      <x:c r="N10" s="32"/>
    </x:row>
    <x:row r="11">
      <x:c r="A11" s="35" t="str">
        <x:f>'Load Cases'!A6</x:f>
        <x:v>Static</x:v>
      </x:c>
      <x:c r="B11" s="35" t="str">
        <x:f>'Inputs'!A11</x:f>
        <x:v>Bit / Sub</x:v>
      </x:c>
      <x:c r="C11" s="35" t="n">
        <x:f>'Inputs'!F11*'Load Cases'!B6*'Load Cases'!D6*'Unit Map'!$I$14</x:f>
        <x:v>1050000</x:v>
      </x:c>
      <x:c r="D11" s="35" t="n">
        <x:f>'Inputs'!$K$6*'Load Cases'!C6*'Load Cases'!D6*'Unit Map'!$I$16</x:f>
        <x:v>26000</x:v>
      </x:c>
      <x:c r="E11" s="35" t="n">
        <x:f>'Inputs'!G11*'Unit Map'!$I$14</x:f>
        <x:v>1600000</x:v>
      </x:c>
      <x:c r="F11" s="35" t="n">
        <x:f>'Calc'!G11*'Unit Map'!$I$16</x:f>
        <x:v>40500</x:v>
      </x:c>
      <x:c r="G11" s="35" t="n">
        <x:f>C11/E11</x:f>
        <x:v>0.65625</x:v>
      </x:c>
      <x:c r="H11" s="35" t="n">
        <x:f>D11/F11</x:f>
        <x:v>0.6419753086419753</x:v>
      </x:c>
      <x:c r="I11" s="35" t="n">
        <x:f>SQRT(G11^2+H11^2)*'Load Cases'!E6</x:f>
        <x:v>0.9180394105951876</x:v>
      </x:c>
      <x:c r="J11" s="35" t="n">
        <x:f>'Load Cases'!F6</x:f>
        <x:v>0.9</x:v>
      </x:c>
      <x:c r="K11" s="35" t="str">
        <x:f>IF(I11&lt;=J11,"PASS","REVIEW")</x:f>
        <x:v>REVIEW</x:v>
      </x:c>
      <x:c r="L11" s="35" t="str">
        <x:f>'Inputs'!I11</x:f>
        <x:v>api7g-bit-sub-01</x:v>
      </x:c>
      <x:c r="M11" s="32"/>
      <x:c r="N11" s="32"/>
    </x:row>
    <x:row r="12">
      <x:c r="A12" s="35" t="str">
        <x:f>'Load Cases'!A7</x:f>
        <x:v>POOH</x:v>
      </x:c>
      <x:c r="B12" s="35" t="str">
        <x:f>'Inputs'!A6</x:f>
        <x:v>Drill Pipe</x:v>
      </x:c>
      <x:c r="C12" s="35" t="n">
        <x:f>'Inputs'!F6*'Load Cases'!B7*'Load Cases'!D7*'Unit Map'!$I$14</x:f>
        <x:v>999600.0000000001</x:v>
      </x:c>
      <x:c r="D12" s="35" t="n">
        <x:f>'Inputs'!$K$6*'Load Cases'!C7*'Load Cases'!D7*'Unit Map'!$I$16</x:f>
        <x:v>21840</x:v>
      </x:c>
      <x:c r="E12" s="35" t="n">
        <x:f>'Inputs'!G6*'Unit Map'!$I$14</x:f>
        <x:v>1800000</x:v>
      </x:c>
      <x:c r="F12" s="35" t="n">
        <x:f>'Calc'!G6*'Unit Map'!$I$16</x:f>
        <x:v>29700.000000000004</x:v>
      </x:c>
      <x:c r="G12" s="35" t="n">
        <x:f>C12/E12</x:f>
        <x:v>0.5553333333333333</x:v>
      </x:c>
      <x:c r="H12" s="35" t="n">
        <x:f>D12/F12</x:f>
        <x:v>0.7353535353535353</x:v>
      </x:c>
      <x:c r="I12" s="35" t="n">
        <x:f>SQRT(G12^2+H12^2)*'Load Cases'!E7</x:f>
        <x:v>0.9675622854408547</x:v>
      </x:c>
      <x:c r="J12" s="35" t="n">
        <x:f>'Load Cases'!F7</x:f>
        <x:v>0.9</x:v>
      </x:c>
      <x:c r="K12" s="35" t="str">
        <x:f>IF(I12&lt;=J12,"PASS","REVIEW")</x:f>
        <x:v>REVIEW</x:v>
      </x:c>
      <x:c r="L12" s="35" t="str">
        <x:f>'Inputs'!I6</x:f>
        <x:v>api7g-dp-01</x:v>
      </x:c>
      <x:c r="M12" s="32"/>
      <x:c r="N12" s="32"/>
    </x:row>
    <x:row r="13">
      <x:c r="A13" s="35" t="str">
        <x:f>'Load Cases'!A7</x:f>
        <x:v>POOH</x:v>
      </x:c>
      <x:c r="B13" s="35" t="str">
        <x:f>'Inputs'!A7</x:f>
        <x:v>HWDP</x:v>
      </x:c>
      <x:c r="C13" s="35" t="n">
        <x:f>'Inputs'!F7*'Load Cases'!B7*'Load Cases'!D7*'Unit Map'!$I$14</x:f>
        <x:v>1081920.0000000002</x:v>
      </x:c>
      <x:c r="D13" s="35" t="n">
        <x:f>'Inputs'!$K$6*'Load Cases'!C7*'Load Cases'!D7*'Unit Map'!$I$16</x:f>
        <x:v>21840</x:v>
      </x:c>
      <x:c r="E13" s="35" t="n">
        <x:f>'Inputs'!G7*'Unit Map'!$I$14</x:f>
        <x:v>2300000</x:v>
      </x:c>
      <x:c r="F13" s="35" t="n">
        <x:f>'Calc'!G7*'Unit Map'!$I$16</x:f>
        <x:v>40500</x:v>
      </x:c>
      <x:c r="G13" s="35" t="n">
        <x:f>C13/E13</x:f>
        <x:v>0.4704000000000001</x:v>
      </x:c>
      <x:c r="H13" s="35" t="n">
        <x:f>D13/F13</x:f>
        <x:v>0.5392592592592592</x:v>
      </x:c>
      <x:c r="I13" s="35" t="n">
        <x:f>SQRT(G13^2+H13^2)*'Load Cases'!E7</x:f>
        <x:v>0.7513751202550373</x:v>
      </x:c>
      <x:c r="J13" s="35" t="n">
        <x:f>'Load Cases'!F7</x:f>
        <x:v>0.9</x:v>
      </x:c>
      <x:c r="K13" s="35" t="str">
        <x:f>IF(I13&lt;=J13,"PASS","REVIEW")</x:f>
        <x:v>PASS</x:v>
      </x:c>
      <x:c r="L13" s="35" t="str">
        <x:f>'Inputs'!I7</x:f>
        <x:v>api7g-hwdp-01</x:v>
      </x:c>
      <x:c r="M13" s="32"/>
      <x:c r="N13" s="32"/>
    </x:row>
    <x:row r="14">
      <x:c r="A14" s="35" t="str">
        <x:f>'Load Cases'!A7</x:f>
        <x:v>POOH</x:v>
      </x:c>
      <x:c r="B14" s="35" t="str">
        <x:f>'Inputs'!A8</x:f>
        <x:v>Drill Collar</x:v>
      </x:c>
      <x:c r="C14" s="35" t="n">
        <x:f>'Inputs'!F8*'Load Cases'!B7*'Load Cases'!D7*'Unit Map'!$I$14</x:f>
        <x:v>1152480</x:v>
      </x:c>
      <x:c r="D14" s="35" t="n">
        <x:f>'Inputs'!$K$6*'Load Cases'!C7*'Load Cases'!D7*'Unit Map'!$I$16</x:f>
        <x:v>21840</x:v>
      </x:c>
      <x:c r="E14" s="35" t="n">
        <x:f>'Inputs'!G8*'Unit Map'!$I$14</x:f>
        <x:v>3000000</x:v>
      </x:c>
      <x:c r="F14" s="35" t="n">
        <x:f>'Calc'!G8*'Unit Map'!$I$16</x:f>
        <x:v>60750.00000000001</x:v>
      </x:c>
      <x:c r="G14" s="35" t="n">
        <x:f>C14/E14</x:f>
        <x:v>0.38416</x:v>
      </x:c>
      <x:c r="H14" s="35" t="n">
        <x:f>D14/F14</x:f>
        <x:v>0.35950617283950614</x:v>
      </x:c>
      <x:c r="I14" s="35" t="n">
        <x:f>SQRT(G14^2+H14^2)*'Load Cases'!E7</x:f>
        <x:v>0.5524472936719431</x:v>
      </x:c>
      <x:c r="J14" s="35" t="n">
        <x:f>'Load Cases'!F7</x:f>
        <x:v>0.9</x:v>
      </x:c>
      <x:c r="K14" s="35" t="str">
        <x:f>IF(I14&lt;=J14,"PASS","REVIEW")</x:f>
        <x:v>PASS</x:v>
      </x:c>
      <x:c r="L14" s="35" t="str">
        <x:f>'Inputs'!I8</x:f>
        <x:v>api7g-dc-01</x:v>
      </x:c>
      <x:c r="M14" s="32"/>
      <x:c r="N14" s="32"/>
    </x:row>
    <x:row r="15">
      <x:c r="A15" s="35" t="str">
        <x:f>'Load Cases'!A7</x:f>
        <x:v>POOH</x:v>
      </x:c>
      <x:c r="B15" s="35" t="str">
        <x:f>'Inputs'!A9</x:f>
        <x:v>MWD / LWD</x:v>
      </x:c>
      <x:c r="C15" s="35" t="n">
        <x:f>'Inputs'!F9*'Load Cases'!B7*'Load Cases'!D7*'Unit Map'!$I$14</x:f>
        <x:v>1176000</x:v>
      </x:c>
      <x:c r="D15" s="35" t="n">
        <x:f>'Inputs'!$K$6*'Load Cases'!C7*'Load Cases'!D7*'Unit Map'!$I$16</x:f>
        <x:v>21840</x:v>
      </x:c>
      <x:c r="E15" s="35" t="n">
        <x:f>'Inputs'!G9*'Unit Map'!$I$14</x:f>
        <x:v>2200000</x:v>
      </x:c>
      <x:c r="F15" s="35" t="n">
        <x:f>'Calc'!G9*'Unit Map'!$I$16</x:f>
        <x:v>47250</x:v>
      </x:c>
      <x:c r="G15" s="35" t="n">
        <x:f>C15/E15</x:f>
        <x:v>0.5345454545454545</x:v>
      </x:c>
      <x:c r="H15" s="35" t="n">
        <x:f>D15/F15</x:f>
        <x:v>0.4622222222222222</x:v>
      </x:c>
      <x:c r="I15" s="35" t="n">
        <x:f>SQRT(G15^2+H15^2)*'Load Cases'!E7</x:f>
        <x:v>0.742007761970594</x:v>
      </x:c>
      <x:c r="J15" s="35" t="n">
        <x:f>'Load Cases'!F7</x:f>
        <x:v>0.9</x:v>
      </x:c>
      <x:c r="K15" s="35" t="str">
        <x:f>IF(I15&lt;=J15,"PASS","REVIEW")</x:f>
        <x:v>PASS</x:v>
      </x:c>
      <x:c r="L15" s="35" t="str">
        <x:f>'Inputs'!I9</x:f>
        <x:v>api7g-mwd-lwd-01</x:v>
      </x:c>
      <x:c r="M15" s="32"/>
      <x:c r="N15" s="32"/>
    </x:row>
    <x:row r="16">
      <x:c r="A16" s="35" t="str">
        <x:f>'Load Cases'!A7</x:f>
        <x:v>POOH</x:v>
      </x:c>
      <x:c r="B16" s="35" t="str">
        <x:f>'Inputs'!A10</x:f>
        <x:v>Motor / RSS</x:v>
      </x:c>
      <x:c r="C16" s="35" t="n">
        <x:f>'Inputs'!F10*'Load Cases'!B7*'Load Cases'!D7*'Unit Map'!$I$14</x:f>
        <x:v>1199520</x:v>
      </x:c>
      <x:c r="D16" s="35" t="n">
        <x:f>'Inputs'!$K$6*'Load Cases'!C7*'Load Cases'!D7*'Unit Map'!$I$16</x:f>
        <x:v>21840</x:v>
      </x:c>
      <x:c r="E16" s="35" t="n">
        <x:f>'Inputs'!G10*'Unit Map'!$I$14</x:f>
        <x:v>2200000</x:v>
      </x:c>
      <x:c r="F16" s="35" t="n">
        <x:f>'Calc'!G10*'Unit Map'!$I$16</x:f>
        <x:v>47250</x:v>
      </x:c>
      <x:c r="G16" s="35" t="n">
        <x:f>C16/E16</x:f>
        <x:v>0.5452363636363636</x:v>
      </x:c>
      <x:c r="H16" s="35" t="n">
        <x:f>D16/F16</x:f>
        <x:v>0.4622222222222222</x:v>
      </x:c>
      <x:c r="I16" s="35" t="n">
        <x:f>SQRT(G16^2+H16^2)*'Load Cases'!E7</x:f>
        <x:v>0.7505348843521987</x:v>
      </x:c>
      <x:c r="J16" s="35" t="n">
        <x:f>'Load Cases'!F7</x:f>
        <x:v>0.9</x:v>
      </x:c>
      <x:c r="K16" s="35" t="str">
        <x:f>IF(I16&lt;=J16,"PASS","REVIEW")</x:f>
        <x:v>PASS</x:v>
      </x:c>
      <x:c r="L16" s="35" t="str">
        <x:f>'Inputs'!I10</x:f>
        <x:v>api7g-motor-rss-01</x:v>
      </x:c>
      <x:c r="M16" s="32"/>
      <x:c r="N16" s="32"/>
    </x:row>
    <x:row r="17">
      <x:c r="A17" s="35" t="str">
        <x:f>'Load Cases'!A7</x:f>
        <x:v>POOH</x:v>
      </x:c>
      <x:c r="B17" s="35" t="str">
        <x:f>'Inputs'!A11</x:f>
        <x:v>Bit / Sub</x:v>
      </x:c>
      <x:c r="C17" s="35" t="n">
        <x:f>'Inputs'!F11*'Load Cases'!B7*'Load Cases'!D7*'Unit Map'!$I$14</x:f>
        <x:v>1234800</x:v>
      </x:c>
      <x:c r="D17" s="35" t="n">
        <x:f>'Inputs'!$K$6*'Load Cases'!C7*'Load Cases'!D7*'Unit Map'!$I$16</x:f>
        <x:v>21840</x:v>
      </x:c>
      <x:c r="E17" s="35" t="n">
        <x:f>'Inputs'!G11*'Unit Map'!$I$14</x:f>
        <x:v>1600000</x:v>
      </x:c>
      <x:c r="F17" s="35" t="n">
        <x:f>'Calc'!G11*'Unit Map'!$I$16</x:f>
        <x:v>40500</x:v>
      </x:c>
      <x:c r="G17" s="35" t="n">
        <x:f>C17/E17</x:f>
        <x:v>0.77175</x:v>
      </x:c>
      <x:c r="H17" s="35" t="n">
        <x:f>D17/F17</x:f>
        <x:v>0.5392592592592592</x:v>
      </x:c>
      <x:c r="I17" s="35" t="n">
        <x:f>SQRT(G17^2+H17^2)*'Load Cases'!E7</x:f>
        <x:v>0.9885618184233709</x:v>
      </x:c>
      <x:c r="J17" s="35" t="n">
        <x:f>'Load Cases'!F7</x:f>
        <x:v>0.9</x:v>
      </x:c>
      <x:c r="K17" s="35" t="str">
        <x:f>IF(I17&lt;=J17,"PASS","REVIEW")</x:f>
        <x:v>REVIEW</x:v>
      </x:c>
      <x:c r="L17" s="35" t="str">
        <x:f>'Inputs'!I11</x:f>
        <x:v>api7g-bit-sub-01</x:v>
      </x:c>
      <x:c r="M17" s="32"/>
      <x:c r="N17" s="32"/>
    </x:row>
    <x:row r="18">
      <x:c r="A18" s="35" t="str">
        <x:f>'Load Cases'!A8</x:f>
        <x:v>RIH</x:v>
      </x:c>
      <x:c r="B18" s="35" t="str">
        <x:f>'Inputs'!A6</x:f>
        <x:v>Drill Pipe</x:v>
      </x:c>
      <x:c r="C18" s="35" t="n">
        <x:f>'Inputs'!F6*'Load Cases'!B8*'Load Cases'!D8*'Unit Map'!$I$14</x:f>
        <x:v>785400</x:v>
      </x:c>
      <x:c r="D18" s="35" t="n">
        <x:f>'Inputs'!$K$6*'Load Cases'!C8*'Load Cases'!D8*'Unit Map'!$I$16</x:f>
        <x:v>17745</x:v>
      </x:c>
      <x:c r="E18" s="35" t="n">
        <x:f>'Inputs'!G6*'Unit Map'!$I$14</x:f>
        <x:v>1800000</x:v>
      </x:c>
      <x:c r="F18" s="35" t="n">
        <x:f>'Calc'!G6*'Unit Map'!$I$16</x:f>
        <x:v>29700.000000000004</x:v>
      </x:c>
      <x:c r="G18" s="35" t="n">
        <x:f>C18/E18</x:f>
        <x:v>0.43633333333333335</x:v>
      </x:c>
      <x:c r="H18" s="35" t="n">
        <x:f>D18/F18</x:f>
        <x:v>0.5974747474747474</x:v>
      </x:c>
      <x:c r="I18" s="35" t="n">
        <x:f>SQRT(G18^2+H18^2)*'Load Cases'!E8</x:f>
        <x:v>0.7768317346386472</x:v>
      </x:c>
      <x:c r="J18" s="35" t="n">
        <x:f>'Load Cases'!F8</x:f>
        <x:v>0.9</x:v>
      </x:c>
      <x:c r="K18" s="35" t="str">
        <x:f>IF(I18&lt;=J18,"PASS","REVIEW")</x:f>
        <x:v>PASS</x:v>
      </x:c>
      <x:c r="L18" s="35" t="str">
        <x:f>'Inputs'!I6</x:f>
        <x:v>api7g-dp-01</x:v>
      </x:c>
      <x:c r="M18" s="32"/>
      <x:c r="N18" s="32"/>
    </x:row>
    <x:row r="19">
      <x:c r="A19" s="35" t="str">
        <x:f>'Load Cases'!A8</x:f>
        <x:v>RIH</x:v>
      </x:c>
      <x:c r="B19" s="35" t="str">
        <x:f>'Inputs'!A7</x:f>
        <x:v>HWDP</x:v>
      </x:c>
      <x:c r="C19" s="35" t="n">
        <x:f>'Inputs'!F7*'Load Cases'!B8*'Load Cases'!D8*'Unit Map'!$I$14</x:f>
        <x:v>850080</x:v>
      </x:c>
      <x:c r="D19" s="35" t="n">
        <x:f>'Inputs'!$K$6*'Load Cases'!C8*'Load Cases'!D8*'Unit Map'!$I$16</x:f>
        <x:v>17745</x:v>
      </x:c>
      <x:c r="E19" s="35" t="n">
        <x:f>'Inputs'!G7*'Unit Map'!$I$14</x:f>
        <x:v>2300000</x:v>
      </x:c>
      <x:c r="F19" s="35" t="n">
        <x:f>'Calc'!G7*'Unit Map'!$I$16</x:f>
        <x:v>40500</x:v>
      </x:c>
      <x:c r="G19" s="35" t="n">
        <x:f>C19/E19</x:f>
        <x:v>0.3696</x:v>
      </x:c>
      <x:c r="H19" s="35" t="n">
        <x:f>D19/F19</x:f>
        <x:v>0.4381481481481482</x:v>
      </x:c>
      <x:c r="I19" s="35" t="n">
        <x:f>SQRT(G19^2+H19^2)*'Load Cases'!E8</x:f>
        <x:v>0.6018780612362697</x:v>
      </x:c>
      <x:c r="J19" s="35" t="n">
        <x:f>'Load Cases'!F8</x:f>
        <x:v>0.9</x:v>
      </x:c>
      <x:c r="K19" s="35" t="str">
        <x:f>IF(I19&lt;=J19,"PASS","REVIEW")</x:f>
        <x:v>PASS</x:v>
      </x:c>
      <x:c r="L19" s="35" t="str">
        <x:f>'Inputs'!I7</x:f>
        <x:v>api7g-hwdp-01</x:v>
      </x:c>
      <x:c r="M19" s="32"/>
      <x:c r="N19" s="32"/>
    </x:row>
    <x:row r="20">
      <x:c r="A20" s="35" t="str">
        <x:f>'Load Cases'!A8</x:f>
        <x:v>RIH</x:v>
      </x:c>
      <x:c r="B20" s="35" t="str">
        <x:f>'Inputs'!A8</x:f>
        <x:v>Drill Collar</x:v>
      </x:c>
      <x:c r="C20" s="35" t="n">
        <x:f>'Inputs'!F8*'Load Cases'!B8*'Load Cases'!D8*'Unit Map'!$I$14</x:f>
        <x:v>905520</x:v>
      </x:c>
      <x:c r="D20" s="35" t="n">
        <x:f>'Inputs'!$K$6*'Load Cases'!C8*'Load Cases'!D8*'Unit Map'!$I$16</x:f>
        <x:v>17745</x:v>
      </x:c>
      <x:c r="E20" s="35" t="n">
        <x:f>'Inputs'!G8*'Unit Map'!$I$14</x:f>
        <x:v>3000000</x:v>
      </x:c>
      <x:c r="F20" s="35" t="n">
        <x:f>'Calc'!G8*'Unit Map'!$I$16</x:f>
        <x:v>60750.00000000001</x:v>
      </x:c>
      <x:c r="G20" s="35" t="n">
        <x:f>C20/E20</x:f>
        <x:v>0.30184</x:v>
      </x:c>
      <x:c r="H20" s="35" t="n">
        <x:f>D20/F20</x:f>
        <x:v>0.29209876543209873</x:v>
      </x:c>
      <x:c r="I20" s="35" t="n">
        <x:f>SQRT(G20^2+H20^2)*'Load Cases'!E8</x:f>
        <x:v>0.441036341461301</x:v>
      </x:c>
      <x:c r="J20" s="35" t="n">
        <x:f>'Load Cases'!F8</x:f>
        <x:v>0.9</x:v>
      </x:c>
      <x:c r="K20" s="35" t="str">
        <x:f>IF(I20&lt;=J20,"PASS","REVIEW")</x:f>
        <x:v>PASS</x:v>
      </x:c>
      <x:c r="L20" s="35" t="str">
        <x:f>'Inputs'!I8</x:f>
        <x:v>api7g-dc-01</x:v>
      </x:c>
      <x:c r="M20" s="32"/>
      <x:c r="N20" s="32"/>
    </x:row>
    <x:row r="21">
      <x:c r="A21" s="35" t="str">
        <x:f>'Load Cases'!A8</x:f>
        <x:v>RIH</x:v>
      </x:c>
      <x:c r="B21" s="35" t="str">
        <x:f>'Inputs'!A9</x:f>
        <x:v>MWD / LWD</x:v>
      </x:c>
      <x:c r="C21" s="35" t="n">
        <x:f>'Inputs'!F9*'Load Cases'!B8*'Load Cases'!D8*'Unit Map'!$I$14</x:f>
        <x:v>924000</x:v>
      </x:c>
      <x:c r="D21" s="35" t="n">
        <x:f>'Inputs'!$K$6*'Load Cases'!C8*'Load Cases'!D8*'Unit Map'!$I$16</x:f>
        <x:v>17745</x:v>
      </x:c>
      <x:c r="E21" s="35" t="n">
        <x:f>'Inputs'!G9*'Unit Map'!$I$14</x:f>
        <x:v>2200000</x:v>
      </x:c>
      <x:c r="F21" s="35" t="n">
        <x:f>'Calc'!G9*'Unit Map'!$I$16</x:f>
        <x:v>47250</x:v>
      </x:c>
      <x:c r="G21" s="35" t="n">
        <x:f>C21/E21</x:f>
        <x:v>0.42</x:v>
      </x:c>
      <x:c r="H21" s="35" t="n">
        <x:f>D21/F21</x:f>
        <x:v>0.37555555555555553</x:v>
      </x:c>
      <x:c r="I21" s="35" t="n">
        <x:f>SQRT(G21^2+H21^2)*'Load Cases'!E8</x:f>
        <x:v>0.5915908871659348</x:v>
      </x:c>
      <x:c r="J21" s="35" t="n">
        <x:f>'Load Cases'!F8</x:f>
        <x:v>0.9</x:v>
      </x:c>
      <x:c r="K21" s="35" t="str">
        <x:f>IF(I21&lt;=J21,"PASS","REVIEW")</x:f>
        <x:v>PASS</x:v>
      </x:c>
      <x:c r="L21" s="35" t="str">
        <x:f>'Inputs'!I9</x:f>
        <x:v>api7g-mwd-lwd-01</x:v>
      </x:c>
      <x:c r="M21" s="32"/>
      <x:c r="N21" s="32"/>
    </x:row>
    <x:row r="22">
      <x:c r="A22" s="35" t="str">
        <x:f>'Load Cases'!A8</x:f>
        <x:v>RIH</x:v>
      </x:c>
      <x:c r="B22" s="35" t="str">
        <x:f>'Inputs'!A10</x:f>
        <x:v>Motor / RSS</x:v>
      </x:c>
      <x:c r="C22" s="35" t="n">
        <x:f>'Inputs'!F10*'Load Cases'!B8*'Load Cases'!D8*'Unit Map'!$I$14</x:f>
        <x:v>942480</x:v>
      </x:c>
      <x:c r="D22" s="35" t="n">
        <x:f>'Inputs'!$K$6*'Load Cases'!C8*'Load Cases'!D8*'Unit Map'!$I$16</x:f>
        <x:v>17745</x:v>
      </x:c>
      <x:c r="E22" s="35" t="n">
        <x:f>'Inputs'!G10*'Unit Map'!$I$14</x:f>
        <x:v>2200000</x:v>
      </x:c>
      <x:c r="F22" s="35" t="n">
        <x:f>'Calc'!G10*'Unit Map'!$I$16</x:f>
        <x:v>47250</x:v>
      </x:c>
      <x:c r="G22" s="35" t="n">
        <x:f>C22/E22</x:f>
        <x:v>0.4284</x:v>
      </x:c>
      <x:c r="H22" s="35" t="n">
        <x:f>D22/F22</x:f>
        <x:v>0.37555555555555553</x:v>
      </x:c>
      <x:c r="I22" s="35" t="n">
        <x:f>SQRT(G22^2+H22^2)*'Load Cases'!E8</x:f>
        <x:v>0.5981946256677485</x:v>
      </x:c>
      <x:c r="J22" s="35" t="n">
        <x:f>'Load Cases'!F8</x:f>
        <x:v>0.9</x:v>
      </x:c>
      <x:c r="K22" s="35" t="str">
        <x:f>IF(I22&lt;=J22,"PASS","REVIEW")</x:f>
        <x:v>PASS</x:v>
      </x:c>
      <x:c r="L22" s="35" t="str">
        <x:f>'Inputs'!I10</x:f>
        <x:v>api7g-motor-rss-01</x:v>
      </x:c>
      <x:c r="M22" s="32"/>
      <x:c r="N22" s="32"/>
    </x:row>
    <x:row r="23">
      <x:c r="A23" s="35" t="str">
        <x:f>'Load Cases'!A8</x:f>
        <x:v>RIH</x:v>
      </x:c>
      <x:c r="B23" s="35" t="str">
        <x:f>'Inputs'!A11</x:f>
        <x:v>Bit / Sub</x:v>
      </x:c>
      <x:c r="C23" s="35" t="n">
        <x:f>'Inputs'!F11*'Load Cases'!B8*'Load Cases'!D8*'Unit Map'!$I$14</x:f>
        <x:v>970200</x:v>
      </x:c>
      <x:c r="D23" s="35" t="n">
        <x:f>'Inputs'!$K$6*'Load Cases'!C8*'Load Cases'!D8*'Unit Map'!$I$16</x:f>
        <x:v>17745</x:v>
      </x:c>
      <x:c r="E23" s="35" t="n">
        <x:f>'Inputs'!G11*'Unit Map'!$I$14</x:f>
        <x:v>1600000</x:v>
      </x:c>
      <x:c r="F23" s="35" t="n">
        <x:f>'Calc'!G11*'Unit Map'!$I$16</x:f>
        <x:v>40500</x:v>
      </x:c>
      <x:c r="G23" s="35" t="n">
        <x:f>C23/E23</x:f>
        <x:v>0.606375</x:v>
      </x:c>
      <x:c r="H23" s="35" t="n">
        <x:f>D23/F23</x:f>
        <x:v>0.4381481481481482</x:v>
      </x:c>
      <x:c r="I23" s="35" t="n">
        <x:f>SQRT(G23^2+H23^2)*'Load Cases'!E8</x:f>
        <x:v>0.7855126004632857</x:v>
      </x:c>
      <x:c r="J23" s="35" t="n">
        <x:f>'Load Cases'!F8</x:f>
        <x:v>0.9</x:v>
      </x:c>
      <x:c r="K23" s="35" t="str">
        <x:f>IF(I23&lt;=J23,"PASS","REVIEW")</x:f>
        <x:v>PASS</x:v>
      </x:c>
      <x:c r="L23" s="35" t="str">
        <x:f>'Inputs'!I11</x:f>
        <x:v>api7g-bit-sub-01</x:v>
      </x:c>
      <x:c r="M23" s="32"/>
      <x:c r="N23" s="32"/>
    </x:row>
    <x:row r="24">
      <x:c r="A24" s="35" t="str">
        <x:f>'Load Cases'!A9</x:f>
        <x:v>Rotate</x:v>
      </x:c>
      <x:c r="B24" s="35" t="str">
        <x:f>'Inputs'!A6</x:f>
        <x:v>Drill Pipe</x:v>
      </x:c>
      <x:c r="C24" s="35" t="n">
        <x:f>'Inputs'!F6*'Load Cases'!B9*'Load Cases'!D9*'Unit Map'!$I$14</x:f>
        <x:v>935000.0000000001</x:v>
      </x:c>
      <x:c r="D24" s="35" t="n">
        <x:f>'Inputs'!$K$6*'Load Cases'!C9*'Load Cases'!D9*'Unit Map'!$I$16</x:f>
        <x:v>31460.000000000007</x:v>
      </x:c>
      <x:c r="E24" s="35" t="n">
        <x:f>'Inputs'!G6*'Unit Map'!$I$14</x:f>
        <x:v>1800000</x:v>
      </x:c>
      <x:c r="F24" s="35" t="n">
        <x:f>'Calc'!G6*'Unit Map'!$I$16</x:f>
        <x:v>29700.000000000004</x:v>
      </x:c>
      <x:c r="G24" s="35" t="n">
        <x:f>C24/E24</x:f>
        <x:v>0.5194444444444445</x:v>
      </x:c>
      <x:c r="H24" s="35" t="n">
        <x:f>D24/F24</x:f>
        <x:v>1.0592592592592593</x:v>
      </x:c>
      <x:c r="I24" s="35" t="n">
        <x:f>SQRT(G24^2+H24^2)*'Load Cases'!E9</x:f>
        <x:v>1.2977448817547745</x:v>
      </x:c>
      <x:c r="J24" s="35" t="n">
        <x:f>'Load Cases'!F9</x:f>
        <x:v>0.9</x:v>
      </x:c>
      <x:c r="K24" s="35" t="str">
        <x:f>IF(I24&lt;=J24,"PASS","REVIEW")</x:f>
        <x:v>REVIEW</x:v>
      </x:c>
      <x:c r="L24" s="35" t="str">
        <x:f>'Inputs'!I6</x:f>
        <x:v>api7g-dp-01</x:v>
      </x:c>
      <x:c r="M24" s="32"/>
      <x:c r="N24" s="32"/>
    </x:row>
    <x:row r="25">
      <x:c r="A25" s="35" t="str">
        <x:f>'Load Cases'!A9</x:f>
        <x:v>Rotate</x:v>
      </x:c>
      <x:c r="B25" s="35" t="str">
        <x:f>'Inputs'!A7</x:f>
        <x:v>HWDP</x:v>
      </x:c>
      <x:c r="C25" s="35" t="n">
        <x:f>'Inputs'!F7*'Load Cases'!B9*'Load Cases'!D9*'Unit Map'!$I$14</x:f>
        <x:v>1012000.0000000001</x:v>
      </x:c>
      <x:c r="D25" s="35" t="n">
        <x:f>'Inputs'!$K$6*'Load Cases'!C9*'Load Cases'!D9*'Unit Map'!$I$16</x:f>
        <x:v>31460.000000000007</x:v>
      </x:c>
      <x:c r="E25" s="35" t="n">
        <x:f>'Inputs'!G7*'Unit Map'!$I$14</x:f>
        <x:v>2300000</x:v>
      </x:c>
      <x:c r="F25" s="35" t="n">
        <x:f>'Calc'!G7*'Unit Map'!$I$16</x:f>
        <x:v>40500</x:v>
      </x:c>
      <x:c r="G25" s="35" t="n">
        <x:f>C25/E25</x:f>
        <x:v>0.44000000000000006</x:v>
      </x:c>
      <x:c r="H25" s="35" t="n">
        <x:f>D25/F25</x:f>
        <x:v>0.7767901234567903</x:v>
      </x:c>
      <x:c r="I25" s="35" t="n">
        <x:f>SQRT(G25^2+H25^2)*'Load Cases'!E9</x:f>
        <x:v>0.9820252053990361</x:v>
      </x:c>
      <x:c r="J25" s="35" t="n">
        <x:f>'Load Cases'!F9</x:f>
        <x:v>0.9</x:v>
      </x:c>
      <x:c r="K25" s="35" t="str">
        <x:f>IF(I25&lt;=J25,"PASS","REVIEW")</x:f>
        <x:v>REVIEW</x:v>
      </x:c>
      <x:c r="L25" s="35" t="str">
        <x:f>'Inputs'!I7</x:f>
        <x:v>api7g-hwdp-01</x:v>
      </x:c>
      <x:c r="M25" s="32"/>
      <x:c r="N25" s="32"/>
    </x:row>
    <x:row r="26">
      <x:c r="A26" s="35" t="str">
        <x:f>'Load Cases'!A9</x:f>
        <x:v>Rotate</x:v>
      </x:c>
      <x:c r="B26" s="35" t="str">
        <x:f>'Inputs'!A8</x:f>
        <x:v>Drill Collar</x:v>
      </x:c>
      <x:c r="C26" s="35" t="n">
        <x:f>'Inputs'!F8*'Load Cases'!B9*'Load Cases'!D9*'Unit Map'!$I$14</x:f>
        <x:v>1078000</x:v>
      </x:c>
      <x:c r="D26" s="35" t="n">
        <x:f>'Inputs'!$K$6*'Load Cases'!C9*'Load Cases'!D9*'Unit Map'!$I$16</x:f>
        <x:v>31460.000000000007</x:v>
      </x:c>
      <x:c r="E26" s="35" t="n">
        <x:f>'Inputs'!G8*'Unit Map'!$I$14</x:f>
        <x:v>3000000</x:v>
      </x:c>
      <x:c r="F26" s="35" t="n">
        <x:f>'Calc'!G8*'Unit Map'!$I$16</x:f>
        <x:v>60750.00000000001</x:v>
      </x:c>
      <x:c r="G26" s="35" t="n">
        <x:f>C26/E26</x:f>
        <x:v>0.35933333333333334</x:v>
      </x:c>
      <x:c r="H26" s="35" t="n">
        <x:f>D26/F26</x:f>
        <x:v>0.5178600823045268</x:v>
      </x:c>
      <x:c r="I26" s="35" t="n">
        <x:f>SQRT(G26^2+H26^2)*'Load Cases'!E9</x:f>
        <x:v>0.6933486902270487</x:v>
      </x:c>
      <x:c r="J26" s="35" t="n">
        <x:f>'Load Cases'!F9</x:f>
        <x:v>0.9</x:v>
      </x:c>
      <x:c r="K26" s="35" t="str">
        <x:f>IF(I26&lt;=J26,"PASS","REVIEW")</x:f>
        <x:v>PASS</x:v>
      </x:c>
      <x:c r="L26" s="35" t="str">
        <x:f>'Inputs'!I8</x:f>
        <x:v>api7g-dc-01</x:v>
      </x:c>
      <x:c r="M26" s="32"/>
      <x:c r="N26" s="32"/>
    </x:row>
    <x:row r="27">
      <x:c r="A27" s="35" t="str">
        <x:f>'Load Cases'!A9</x:f>
        <x:v>Rotate</x:v>
      </x:c>
      <x:c r="B27" s="35" t="str">
        <x:f>'Inputs'!A9</x:f>
        <x:v>MWD / LWD</x:v>
      </x:c>
      <x:c r="C27" s="35" t="n">
        <x:f>'Inputs'!F9*'Load Cases'!B9*'Load Cases'!D9*'Unit Map'!$I$14</x:f>
        <x:v>1100000</x:v>
      </x:c>
      <x:c r="D27" s="35" t="n">
        <x:f>'Inputs'!$K$6*'Load Cases'!C9*'Load Cases'!D9*'Unit Map'!$I$16</x:f>
        <x:v>31460.000000000007</x:v>
      </x:c>
      <x:c r="E27" s="35" t="n">
        <x:f>'Inputs'!G9*'Unit Map'!$I$14</x:f>
        <x:v>2200000</x:v>
      </x:c>
      <x:c r="F27" s="35" t="n">
        <x:f>'Calc'!G9*'Unit Map'!$I$16</x:f>
        <x:v>47250</x:v>
      </x:c>
      <x:c r="G27" s="35" t="n">
        <x:f>C27/E27</x:f>
        <x:v>0.5</x:v>
      </x:c>
      <x:c r="H27" s="35" t="n">
        <x:f>D27/F27</x:f>
        <x:v>0.665820105820106</x:v>
      </x:c>
      <x:c r="I27" s="35" t="n">
        <x:f>SQRT(G27^2+H27^2)*'Load Cases'!E9</x:f>
        <x:v>0.9159218635398434</x:v>
      </x:c>
      <x:c r="J27" s="35" t="n">
        <x:f>'Load Cases'!F9</x:f>
        <x:v>0.9</x:v>
      </x:c>
      <x:c r="K27" s="35" t="str">
        <x:f>IF(I27&lt;=J27,"PASS","REVIEW")</x:f>
        <x:v>REVIEW</x:v>
      </x:c>
      <x:c r="L27" s="35" t="str">
        <x:f>'Inputs'!I9</x:f>
        <x:v>api7g-mwd-lwd-01</x:v>
      </x:c>
      <x:c r="M27" s="32"/>
      <x:c r="N27" s="32"/>
    </x:row>
    <x:row r="28">
      <x:c r="A28" s="35" t="str">
        <x:f>'Load Cases'!A9</x:f>
        <x:v>Rotate</x:v>
      </x:c>
      <x:c r="B28" s="35" t="str">
        <x:f>'Inputs'!A10</x:f>
        <x:v>Motor / RSS</x:v>
      </x:c>
      <x:c r="C28" s="35" t="n">
        <x:f>'Inputs'!F10*'Load Cases'!B9*'Load Cases'!D9*'Unit Map'!$I$14</x:f>
        <x:v>1122000</x:v>
      </x:c>
      <x:c r="D28" s="35" t="n">
        <x:f>'Inputs'!$K$6*'Load Cases'!C9*'Load Cases'!D9*'Unit Map'!$I$16</x:f>
        <x:v>31460.000000000007</x:v>
      </x:c>
      <x:c r="E28" s="35" t="n">
        <x:f>'Inputs'!G10*'Unit Map'!$I$14</x:f>
        <x:v>2200000</x:v>
      </x:c>
      <x:c r="F28" s="35" t="n">
        <x:f>'Calc'!G10*'Unit Map'!$I$16</x:f>
        <x:v>47250</x:v>
      </x:c>
      <x:c r="G28" s="35" t="n">
        <x:f>C28/E28</x:f>
        <x:v>0.51</x:v>
      </x:c>
      <x:c r="H28" s="35" t="n">
        <x:f>D28/F28</x:f>
        <x:v>0.665820105820106</x:v>
      </x:c>
      <x:c r="I28" s="35" t="n">
        <x:f>SQRT(G28^2+H28^2)*'Load Cases'!E9</x:f>
        <x:v>0.9225691627787586</x:v>
      </x:c>
      <x:c r="J28" s="35" t="n">
        <x:f>'Load Cases'!F9</x:f>
        <x:v>0.9</x:v>
      </x:c>
      <x:c r="K28" s="35" t="str">
        <x:f>IF(I28&lt;=J28,"PASS","REVIEW")</x:f>
        <x:v>REVIEW</x:v>
      </x:c>
      <x:c r="L28" s="35" t="str">
        <x:f>'Inputs'!I10</x:f>
        <x:v>api7g-motor-rss-01</x:v>
      </x:c>
      <x:c r="M28" s="32"/>
      <x:c r="N28" s="32"/>
    </x:row>
    <x:row r="29">
      <x:c r="A29" s="35" t="str">
        <x:f>'Load Cases'!A9</x:f>
        <x:v>Rotate</x:v>
      </x:c>
      <x:c r="B29" s="35" t="str">
        <x:f>'Inputs'!A11</x:f>
        <x:v>Bit / Sub</x:v>
      </x:c>
      <x:c r="C29" s="35" t="n">
        <x:f>'Inputs'!F11*'Load Cases'!B9*'Load Cases'!D9*'Unit Map'!$I$14</x:f>
        <x:v>1155000</x:v>
      </x:c>
      <x:c r="D29" s="35" t="n">
        <x:f>'Inputs'!$K$6*'Load Cases'!C9*'Load Cases'!D9*'Unit Map'!$I$16</x:f>
        <x:v>31460.000000000007</x:v>
      </x:c>
      <x:c r="E29" s="35" t="n">
        <x:f>'Inputs'!G11*'Unit Map'!$I$14</x:f>
        <x:v>1600000</x:v>
      </x:c>
      <x:c r="F29" s="35" t="n">
        <x:f>'Calc'!G11*'Unit Map'!$I$16</x:f>
        <x:v>40500</x:v>
      </x:c>
      <x:c r="G29" s="35" t="n">
        <x:f>C29/E29</x:f>
        <x:v>0.721875</x:v>
      </x:c>
      <x:c r="H29" s="35" t="n">
        <x:f>D29/F29</x:f>
        <x:v>0.7767901234567903</x:v>
      </x:c>
      <x:c r="I29" s="35" t="n">
        <x:f>SQRT(G29^2+H29^2)*'Load Cases'!E9</x:f>
        <x:v>1.1664702130552966</x:v>
      </x:c>
      <x:c r="J29" s="35" t="n">
        <x:f>'Load Cases'!F9</x:f>
        <x:v>0.9</x:v>
      </x:c>
      <x:c r="K29" s="35" t="str">
        <x:f>IF(I29&lt;=J29,"PASS","REVIEW")</x:f>
        <x:v>REVIEW</x:v>
      </x:c>
      <x:c r="L29" s="35" t="str">
        <x:f>'Inputs'!I11</x:f>
        <x:v>api7g-bit-sub-01</x:v>
      </x:c>
      <x:c r="M29" s="32"/>
      <x:c r="N29" s="32"/>
    </x:row>
    <x:row r="30">
      <x:c r="A30" s="35" t="str">
        <x:f>'Load Cases'!A10</x:f>
        <x:v>Backream</x:v>
      </x:c>
      <x:c r="B30" s="35" t="str">
        <x:f>'Inputs'!A6</x:f>
        <x:v>Drill Pipe</x:v>
      </x:c>
      <x:c r="C30" s="35" t="n">
        <x:f>'Inputs'!F6*'Load Cases'!B10*'Load Cases'!D10*'Unit Map'!$I$14</x:f>
        <x:v>1124124.9999999998</x:v>
      </x:c>
      <x:c r="D30" s="35" t="n">
        <x:f>'Inputs'!$K$6*'Load Cases'!C10*'Load Cases'!D10*'Unit Map'!$I$16</x:f>
        <x:v>37375</x:v>
      </x:c>
      <x:c r="E30" s="35" t="n">
        <x:f>'Inputs'!G6*'Unit Map'!$I$14</x:f>
        <x:v>1800000</x:v>
      </x:c>
      <x:c r="F30" s="35" t="n">
        <x:f>'Calc'!G6*'Unit Map'!$I$16</x:f>
        <x:v>29700.000000000004</x:v>
      </x:c>
      <x:c r="G30" s="35" t="n">
        <x:f>C30/E30</x:f>
        <x:v>0.6245138888888888</x:v>
      </x:c>
      <x:c r="H30" s="35" t="n">
        <x:f>D30/F30</x:f>
        <x:v>1.2584175084175082</x:v>
      </x:c>
      <x:c r="I30" s="35" t="n">
        <x:f>SQRT(G30^2+H30^2)*'Load Cases'!E10</x:f>
        <x:v>1.6155892469295259</x:v>
      </x:c>
      <x:c r="J30" s="35" t="n">
        <x:f>'Load Cases'!F10</x:f>
        <x:v>0.9</x:v>
      </x:c>
      <x:c r="K30" s="35" t="str">
        <x:f>IF(I30&lt;=J30,"PASS","REVIEW")</x:f>
        <x:v>REVIEW</x:v>
      </x:c>
      <x:c r="L30" s="35" t="str">
        <x:f>'Inputs'!I6</x:f>
        <x:v>api7g-dp-01</x:v>
      </x:c>
      <x:c r="M30" s="32"/>
      <x:c r="N30" s="32"/>
    </x:row>
    <x:row r="31">
      <x:c r="A31" s="35" t="str">
        <x:f>'Load Cases'!A10</x:f>
        <x:v>Backream</x:v>
      </x:c>
      <x:c r="B31" s="35" t="str">
        <x:f>'Inputs'!A7</x:f>
        <x:v>HWDP</x:v>
      </x:c>
      <x:c r="C31" s="35" t="n">
        <x:f>'Inputs'!F7*'Load Cases'!B10*'Load Cases'!D10*'Unit Map'!$I$14</x:f>
        <x:v>1216700</x:v>
      </x:c>
      <x:c r="D31" s="35" t="n">
        <x:f>'Inputs'!$K$6*'Load Cases'!C10*'Load Cases'!D10*'Unit Map'!$I$16</x:f>
        <x:v>37375</x:v>
      </x:c>
      <x:c r="E31" s="35" t="n">
        <x:f>'Inputs'!G7*'Unit Map'!$I$14</x:f>
        <x:v>2300000</x:v>
      </x:c>
      <x:c r="F31" s="35" t="n">
        <x:f>'Calc'!G7*'Unit Map'!$I$16</x:f>
        <x:v>40500</x:v>
      </x:c>
      <x:c r="G31" s="35" t="n">
        <x:f>C31/E31</x:f>
        <x:v>0.529</x:v>
      </x:c>
      <x:c r="H31" s="35" t="n">
        <x:f>D31/F31</x:f>
        <x:v>0.9228395061728395</x:v>
      </x:c>
      <x:c r="I31" s="35" t="n">
        <x:f>SQRT(G31^2+H31^2)*'Load Cases'!E10</x:f>
        <x:v>1.2232636837034683</x:v>
      </x:c>
      <x:c r="J31" s="35" t="n">
        <x:f>'Load Cases'!F10</x:f>
        <x:v>0.9</x:v>
      </x:c>
      <x:c r="K31" s="35" t="str">
        <x:f>IF(I31&lt;=J31,"PASS","REVIEW")</x:f>
        <x:v>REVIEW</x:v>
      </x:c>
      <x:c r="L31" s="35" t="str">
        <x:f>'Inputs'!I7</x:f>
        <x:v>api7g-hwdp-01</x:v>
      </x:c>
      <x:c r="M31" s="32"/>
      <x:c r="N31" s="32"/>
    </x:row>
    <x:row r="32">
      <x:c r="A32" s="35" t="str">
        <x:f>'Load Cases'!A10</x:f>
        <x:v>Backream</x:v>
      </x:c>
      <x:c r="B32" s="35" t="str">
        <x:f>'Inputs'!A8</x:f>
        <x:v>Drill Collar</x:v>
      </x:c>
      <x:c r="C32" s="35" t="n">
        <x:f>'Inputs'!F8*'Load Cases'!B10*'Load Cases'!D10*'Unit Map'!$I$14</x:f>
        <x:v>1296050</x:v>
      </x:c>
      <x:c r="D32" s="35" t="n">
        <x:f>'Inputs'!$K$6*'Load Cases'!C10*'Load Cases'!D10*'Unit Map'!$I$16</x:f>
        <x:v>37375</x:v>
      </x:c>
      <x:c r="E32" s="35" t="n">
        <x:f>'Inputs'!G8*'Unit Map'!$I$14</x:f>
        <x:v>3000000</x:v>
      </x:c>
      <x:c r="F32" s="35" t="n">
        <x:f>'Calc'!G8*'Unit Map'!$I$16</x:f>
        <x:v>60750.00000000001</x:v>
      </x:c>
      <x:c r="G32" s="35" t="n">
        <x:f>C32/E32</x:f>
        <x:v>0.43201666666666666</x:v>
      </x:c>
      <x:c r="H32" s="35" t="n">
        <x:f>D32/F32</x:f>
        <x:v>0.6152263374485596</x:v>
      </x:c>
      <x:c r="I32" s="35" t="n">
        <x:f>SQRT(G32^2+H32^2)*'Load Cases'!E10</x:f>
        <x:v>0.8645230431205254</x:v>
      </x:c>
      <x:c r="J32" s="35" t="n">
        <x:f>'Load Cases'!F10</x:f>
        <x:v>0.9</x:v>
      </x:c>
      <x:c r="K32" s="35" t="str">
        <x:f>IF(I32&lt;=J32,"PASS","REVIEW")</x:f>
        <x:v>PASS</x:v>
      </x:c>
      <x:c r="L32" s="35" t="str">
        <x:f>'Inputs'!I8</x:f>
        <x:v>api7g-dc-01</x:v>
      </x:c>
      <x:c r="M32" s="32"/>
      <x:c r="N32" s="32"/>
    </x:row>
    <x:row r="33">
      <x:c r="A33" s="35" t="str">
        <x:f>'Load Cases'!A10</x:f>
        <x:v>Backream</x:v>
      </x:c>
      <x:c r="B33" s="35" t="str">
        <x:f>'Inputs'!A9</x:f>
        <x:v>MWD / LWD</x:v>
      </x:c>
      <x:c r="C33" s="35" t="n">
        <x:f>'Inputs'!F9*'Load Cases'!B10*'Load Cases'!D10*'Unit Map'!$I$14</x:f>
        <x:v>1322500</x:v>
      </x:c>
      <x:c r="D33" s="35" t="n">
        <x:f>'Inputs'!$K$6*'Load Cases'!C10*'Load Cases'!D10*'Unit Map'!$I$16</x:f>
        <x:v>37375</x:v>
      </x:c>
      <x:c r="E33" s="35" t="n">
        <x:f>'Inputs'!G9*'Unit Map'!$I$14</x:f>
        <x:v>2200000</x:v>
      </x:c>
      <x:c r="F33" s="35" t="n">
        <x:f>'Calc'!G9*'Unit Map'!$I$16</x:f>
        <x:v>47250</x:v>
      </x:c>
      <x:c r="G33" s="35" t="n">
        <x:f>C33/E33</x:f>
        <x:v>0.6011363636363637</x:v>
      </x:c>
      <x:c r="H33" s="35" t="n">
        <x:f>D33/F33</x:f>
        <x:v>0.791005291005291</x:v>
      </x:c>
      <x:c r="I33" s="35" t="n">
        <x:f>SQRT(G33^2+H33^2)*'Load Cases'!E10</x:f>
        <x:v>1.1425319729515262</x:v>
      </x:c>
      <x:c r="J33" s="35" t="n">
        <x:f>'Load Cases'!F10</x:f>
        <x:v>0.9</x:v>
      </x:c>
      <x:c r="K33" s="35" t="str">
        <x:f>IF(I33&lt;=J33,"PASS","REVIEW")</x:f>
        <x:v>REVIEW</x:v>
      </x:c>
      <x:c r="L33" s="35" t="str">
        <x:f>'Inputs'!I9</x:f>
        <x:v>api7g-mwd-lwd-01</x:v>
      </x:c>
      <x:c r="M33" s="32"/>
      <x:c r="N33" s="32"/>
    </x:row>
    <x:row r="34">
      <x:c r="A34" s="35" t="str">
        <x:f>'Load Cases'!A10</x:f>
        <x:v>Backream</x:v>
      </x:c>
      <x:c r="B34" s="35" t="str">
        <x:f>'Inputs'!A10</x:f>
        <x:v>Motor / RSS</x:v>
      </x:c>
      <x:c r="C34" s="35" t="n">
        <x:f>'Inputs'!F10*'Load Cases'!B10*'Load Cases'!D10*'Unit Map'!$I$14</x:f>
        <x:v>1348950</x:v>
      </x:c>
      <x:c r="D34" s="35" t="n">
        <x:f>'Inputs'!$K$6*'Load Cases'!C10*'Load Cases'!D10*'Unit Map'!$I$16</x:f>
        <x:v>37375</x:v>
      </x:c>
      <x:c r="E34" s="35" t="n">
        <x:f>'Inputs'!G10*'Unit Map'!$I$14</x:f>
        <x:v>2200000</x:v>
      </x:c>
      <x:c r="F34" s="35" t="n">
        <x:f>'Calc'!G10*'Unit Map'!$I$16</x:f>
        <x:v>47250</x:v>
      </x:c>
      <x:c r="G34" s="35" t="n">
        <x:f>C34/E34</x:f>
        <x:v>0.6131590909090909</x:v>
      </x:c>
      <x:c r="H34" s="35" t="n">
        <x:f>D34/F34</x:f>
        <x:v>0.791005291005291</x:v>
      </x:c>
      <x:c r="I34" s="35" t="n">
        <x:f>SQRT(G34^2+H34^2)*'Load Cases'!E10</x:f>
        <x:v>1.1509503359997075</x:v>
      </x:c>
      <x:c r="J34" s="35" t="n">
        <x:f>'Load Cases'!F10</x:f>
        <x:v>0.9</x:v>
      </x:c>
      <x:c r="K34" s="35" t="str">
        <x:f>IF(I34&lt;=J34,"PASS","REVIEW")</x:f>
        <x:v>REVIEW</x:v>
      </x:c>
      <x:c r="L34" s="35" t="str">
        <x:f>'Inputs'!I10</x:f>
        <x:v>api7g-motor-rss-01</x:v>
      </x:c>
      <x:c r="M34" s="32"/>
      <x:c r="N34" s="32"/>
    </x:row>
    <x:row r="35">
      <x:c r="A35" s="35" t="str">
        <x:f>'Load Cases'!A10</x:f>
        <x:v>Backream</x:v>
      </x:c>
      <x:c r="B35" s="35" t="str">
        <x:f>'Inputs'!A11</x:f>
        <x:v>Bit / Sub</x:v>
      </x:c>
      <x:c r="C35" s="35" t="n">
        <x:f>'Inputs'!F11*'Load Cases'!B10*'Load Cases'!D10*'Unit Map'!$I$14</x:f>
        <x:v>1388625</x:v>
      </x:c>
      <x:c r="D35" s="35" t="n">
        <x:f>'Inputs'!$K$6*'Load Cases'!C10*'Load Cases'!D10*'Unit Map'!$I$16</x:f>
        <x:v>37375</x:v>
      </x:c>
      <x:c r="E35" s="35" t="n">
        <x:f>'Inputs'!G11*'Unit Map'!$I$14</x:f>
        <x:v>1600000</x:v>
      </x:c>
      <x:c r="F35" s="35" t="n">
        <x:f>'Calc'!G11*'Unit Map'!$I$16</x:f>
        <x:v>40500</x:v>
      </x:c>
      <x:c r="G35" s="35" t="n">
        <x:f>C35/E35</x:f>
        <x:v>0.867890625</x:v>
      </x:c>
      <x:c r="H35" s="35" t="n">
        <x:f>D35/F35</x:f>
        <x:v>0.9228395061728395</x:v>
      </x:c>
      <x:c r="I35" s="35" t="n">
        <x:f>SQRT(G35^2+H35^2)*'Load Cases'!E10</x:f>
        <x:v>1.4568584226002204</x:v>
      </x:c>
      <x:c r="J35" s="35" t="n">
        <x:f>'Load Cases'!F10</x:f>
        <x:v>0.9</x:v>
      </x:c>
      <x:c r="K35" s="35" t="str">
        <x:f>IF(I35&lt;=J35,"PASS","REVIEW")</x:f>
        <x:v>REVIEW</x:v>
      </x:c>
      <x:c r="L35" s="35" t="str">
        <x:f>'Inputs'!I11</x:f>
        <x:v>api7g-bit-sub-01</x:v>
      </x:c>
      <x:c r="M35" s="32"/>
      <x:c r="N35" s="32"/>
    </x:row>
    <x:row r="36">
      <x:c r="A36" s="35" t="str">
        <x:f>'Load Cases'!A11</x:f>
        <x:v>Overpull</x:v>
      </x:c>
      <x:c r="B36" s="35" t="str">
        <x:f>'Inputs'!A6</x:f>
        <x:v>Drill Pipe</x:v>
      </x:c>
      <x:c r="C36" s="35" t="n">
        <x:f>'Inputs'!F6*'Load Cases'!B11*'Load Cases'!D11*'Unit Map'!$I$14</x:f>
        <x:v>1326000</x:v>
      </x:c>
      <x:c r="D36" s="35" t="n">
        <x:f>'Inputs'!$K$6*'Load Cases'!C11*'Load Cases'!D11*'Unit Map'!$I$16</x:f>
        <x:v>15600</x:v>
      </x:c>
      <x:c r="E36" s="35" t="n">
        <x:f>'Inputs'!G6*'Unit Map'!$I$14</x:f>
        <x:v>1800000</x:v>
      </x:c>
      <x:c r="F36" s="35" t="n">
        <x:f>'Calc'!G6*'Unit Map'!$I$16</x:f>
        <x:v>29700.000000000004</x:v>
      </x:c>
      <x:c r="G36" s="35" t="n">
        <x:f>C36/E36</x:f>
        <x:v>0.7366666666666667</x:v>
      </x:c>
      <x:c r="H36" s="35" t="n">
        <x:f>D36/F36</x:f>
        <x:v>0.5252525252525252</x:v>
      </x:c>
      <x:c r="I36" s="35" t="n">
        <x:f>SQRT(G36^2+H36^2)*'Load Cases'!E11</x:f>
        <x:v>1.0856969696969696</x:v>
      </x:c>
      <x:c r="J36" s="35" t="n">
        <x:f>'Load Cases'!F11</x:f>
        <x:v>0.9</x:v>
      </x:c>
      <x:c r="K36" s="35" t="str">
        <x:f>IF(I36&lt;=J36,"PASS","REVIEW")</x:f>
        <x:v>REVIEW</x:v>
      </x:c>
      <x:c r="L36" s="35" t="str">
        <x:f>'Inputs'!I6</x:f>
        <x:v>api7g-dp-01</x:v>
      </x:c>
      <x:c r="M36" s="32"/>
      <x:c r="N36" s="32"/>
    </x:row>
    <x:row r="37">
      <x:c r="A37" s="35" t="str">
        <x:f>'Load Cases'!A11</x:f>
        <x:v>Overpull</x:v>
      </x:c>
      <x:c r="B37" s="35" t="str">
        <x:f>'Inputs'!A7</x:f>
        <x:v>HWDP</x:v>
      </x:c>
      <x:c r="C37" s="35" t="n">
        <x:f>'Inputs'!F7*'Load Cases'!B11*'Load Cases'!D11*'Unit Map'!$I$14</x:f>
        <x:v>1435200</x:v>
      </x:c>
      <x:c r="D37" s="35" t="n">
        <x:f>'Inputs'!$K$6*'Load Cases'!C11*'Load Cases'!D11*'Unit Map'!$I$16</x:f>
        <x:v>15600</x:v>
      </x:c>
      <x:c r="E37" s="35" t="n">
        <x:f>'Inputs'!G7*'Unit Map'!$I$14</x:f>
        <x:v>2300000</x:v>
      </x:c>
      <x:c r="F37" s="35" t="n">
        <x:f>'Calc'!G7*'Unit Map'!$I$16</x:f>
        <x:v>40500</x:v>
      </x:c>
      <x:c r="G37" s="35" t="n">
        <x:f>C37/E37</x:f>
        <x:v>0.624</x:v>
      </x:c>
      <x:c r="H37" s="35" t="n">
        <x:f>D37/F37</x:f>
        <x:v>0.3851851851851852</x:v>
      </x:c>
      <x:c r="I37" s="35" t="n">
        <x:f>SQRT(G37^2+H37^2)*'Load Cases'!E11</x:f>
        <x:v>0.879972057917778</x:v>
      </x:c>
      <x:c r="J37" s="35" t="n">
        <x:f>'Load Cases'!F11</x:f>
        <x:v>0.9</x:v>
      </x:c>
      <x:c r="K37" s="35" t="str">
        <x:f>IF(I37&lt;=J37,"PASS","REVIEW")</x:f>
        <x:v>PASS</x:v>
      </x:c>
      <x:c r="L37" s="35" t="str">
        <x:f>'Inputs'!I7</x:f>
        <x:v>api7g-hwdp-01</x:v>
      </x:c>
      <x:c r="M37" s="32"/>
      <x:c r="N37" s="32"/>
    </x:row>
    <x:row r="38">
      <x:c r="A38" s="35" t="str">
        <x:f>'Load Cases'!A11</x:f>
        <x:v>Overpull</x:v>
      </x:c>
      <x:c r="B38" s="35" t="str">
        <x:f>'Inputs'!A8</x:f>
        <x:v>Drill Collar</x:v>
      </x:c>
      <x:c r="C38" s="35" t="n">
        <x:f>'Inputs'!F8*'Load Cases'!B11*'Load Cases'!D11*'Unit Map'!$I$14</x:f>
        <x:v>1528800</x:v>
      </x:c>
      <x:c r="D38" s="35" t="n">
        <x:f>'Inputs'!$K$6*'Load Cases'!C11*'Load Cases'!D11*'Unit Map'!$I$16</x:f>
        <x:v>15600</x:v>
      </x:c>
      <x:c r="E38" s="35" t="n">
        <x:f>'Inputs'!G8*'Unit Map'!$I$14</x:f>
        <x:v>3000000</x:v>
      </x:c>
      <x:c r="F38" s="35" t="n">
        <x:f>'Calc'!G8*'Unit Map'!$I$16</x:f>
        <x:v>60750.00000000001</x:v>
      </x:c>
      <x:c r="G38" s="35" t="n">
        <x:f>C38/E38</x:f>
        <x:v>0.5096</x:v>
      </x:c>
      <x:c r="H38" s="35" t="n">
        <x:f>D38/F38</x:f>
        <x:v>0.2567901234567901</x:v>
      </x:c>
      <x:c r="I38" s="35" t="n">
        <x:f>SQRT(G38^2+H38^2)*'Load Cases'!E11</x:f>
        <x:v>0.6847714886056027</x:v>
      </x:c>
      <x:c r="J38" s="35" t="n">
        <x:f>'Load Cases'!F11</x:f>
        <x:v>0.9</x:v>
      </x:c>
      <x:c r="K38" s="35" t="str">
        <x:f>IF(I38&lt;=J38,"PASS","REVIEW")</x:f>
        <x:v>PASS</x:v>
      </x:c>
      <x:c r="L38" s="35" t="str">
        <x:f>'Inputs'!I8</x:f>
        <x:v>api7g-dc-01</x:v>
      </x:c>
      <x:c r="M38" s="32"/>
      <x:c r="N38" s="32"/>
    </x:row>
    <x:row r="39">
      <x:c r="A39" s="35" t="str">
        <x:f>'Load Cases'!A11</x:f>
        <x:v>Overpull</x:v>
      </x:c>
      <x:c r="B39" s="35" t="str">
        <x:f>'Inputs'!A9</x:f>
        <x:v>MWD / LWD</x:v>
      </x:c>
      <x:c r="C39" s="35" t="n">
        <x:f>'Inputs'!F9*'Load Cases'!B11*'Load Cases'!D11*'Unit Map'!$I$14</x:f>
        <x:v>1560000</x:v>
      </x:c>
      <x:c r="D39" s="35" t="n">
        <x:f>'Inputs'!$K$6*'Load Cases'!C11*'Load Cases'!D11*'Unit Map'!$I$16</x:f>
        <x:v>15600</x:v>
      </x:c>
      <x:c r="E39" s="35" t="n">
        <x:f>'Inputs'!G9*'Unit Map'!$I$14</x:f>
        <x:v>2200000</x:v>
      </x:c>
      <x:c r="F39" s="35" t="n">
        <x:f>'Calc'!G9*'Unit Map'!$I$16</x:f>
        <x:v>47250</x:v>
      </x:c>
      <x:c r="G39" s="35" t="n">
        <x:f>C39/E39</x:f>
        <x:v>0.7090909090909091</x:v>
      </x:c>
      <x:c r="H39" s="35" t="n">
        <x:f>D39/F39</x:f>
        <x:v>0.33015873015873015</x:v>
      </x:c>
      <x:c r="I39" s="35" t="n">
        <x:f>SQRT(G39^2+H39^2)*'Load Cases'!E11</x:f>
        <x:v>0.9386230203951808</x:v>
      </x:c>
      <x:c r="J39" s="35" t="n">
        <x:f>'Load Cases'!F11</x:f>
        <x:v>0.9</x:v>
      </x:c>
      <x:c r="K39" s="35" t="str">
        <x:f>IF(I39&lt;=J39,"PASS","REVIEW")</x:f>
        <x:v>REVIEW</x:v>
      </x:c>
      <x:c r="L39" s="35" t="str">
        <x:f>'Inputs'!I9</x:f>
        <x:v>api7g-mwd-lwd-01</x:v>
      </x:c>
      <x:c r="M39" s="32"/>
      <x:c r="N39" s="32"/>
    </x:row>
    <x:row r="40">
      <x:c r="A40" s="35" t="str">
        <x:f>'Load Cases'!A11</x:f>
        <x:v>Overpull</x:v>
      </x:c>
      <x:c r="B40" s="35" t="str">
        <x:f>'Inputs'!A10</x:f>
        <x:v>Motor / RSS</x:v>
      </x:c>
      <x:c r="C40" s="35" t="n">
        <x:f>'Inputs'!F10*'Load Cases'!B11*'Load Cases'!D11*'Unit Map'!$I$14</x:f>
        <x:v>1591200</x:v>
      </x:c>
      <x:c r="D40" s="35" t="n">
        <x:f>'Inputs'!$K$6*'Load Cases'!C11*'Load Cases'!D11*'Unit Map'!$I$16</x:f>
        <x:v>15600</x:v>
      </x:c>
      <x:c r="E40" s="35" t="n">
        <x:f>'Inputs'!G10*'Unit Map'!$I$14</x:f>
        <x:v>2200000</x:v>
      </x:c>
      <x:c r="F40" s="35" t="n">
        <x:f>'Calc'!G10*'Unit Map'!$I$16</x:f>
        <x:v>47250</x:v>
      </x:c>
      <x:c r="G40" s="35" t="n">
        <x:f>C40/E40</x:f>
        <x:v>0.7232727272727273</x:v>
      </x:c>
      <x:c r="H40" s="35" t="n">
        <x:f>D40/F40</x:f>
        <x:v>0.33015873015873015</x:v>
      </x:c>
      <x:c r="I40" s="35" t="n">
        <x:f>SQRT(G40^2+H40^2)*'Load Cases'!E11</x:f>
        <x:v>0.9540779025676246</x:v>
      </x:c>
      <x:c r="J40" s="35" t="n">
        <x:f>'Load Cases'!F11</x:f>
        <x:v>0.9</x:v>
      </x:c>
      <x:c r="K40" s="35" t="str">
        <x:f>IF(I40&lt;=J40,"PASS","REVIEW")</x:f>
        <x:v>REVIEW</x:v>
      </x:c>
      <x:c r="L40" s="35" t="str">
        <x:f>'Inputs'!I10</x:f>
        <x:v>api7g-motor-rss-01</x:v>
      </x:c>
      <x:c r="M40" s="32"/>
      <x:c r="N40" s="32"/>
    </x:row>
    <x:row r="41">
      <x:c r="A41" s="35" t="str">
        <x:f>'Load Cases'!A11</x:f>
        <x:v>Overpull</x:v>
      </x:c>
      <x:c r="B41" s="35" t="str">
        <x:f>'Inputs'!A11</x:f>
        <x:v>Bit / Sub</x:v>
      </x:c>
      <x:c r="C41" s="35" t="n">
        <x:f>'Inputs'!F11*'Load Cases'!B11*'Load Cases'!D11*'Unit Map'!$I$14</x:f>
        <x:v>1638000</x:v>
      </x:c>
      <x:c r="D41" s="35" t="n">
        <x:f>'Inputs'!$K$6*'Load Cases'!C11*'Load Cases'!D11*'Unit Map'!$I$16</x:f>
        <x:v>15600</x:v>
      </x:c>
      <x:c r="E41" s="35" t="n">
        <x:f>'Inputs'!G11*'Unit Map'!$I$14</x:f>
        <x:v>1600000</x:v>
      </x:c>
      <x:c r="F41" s="35" t="n">
        <x:f>'Calc'!G11*'Unit Map'!$I$16</x:f>
        <x:v>40500</x:v>
      </x:c>
      <x:c r="G41" s="35" t="n">
        <x:f>C41/E41</x:f>
        <x:v>1.02375</x:v>
      </x:c>
      <x:c r="H41" s="35" t="n">
        <x:f>D41/F41</x:f>
        <x:v>0.3851851851851852</x:v>
      </x:c>
      <x:c r="I41" s="35" t="n">
        <x:f>SQRT(G41^2+H41^2)*'Load Cases'!E11</x:f>
        <x:v>1.3125782387027636</x:v>
      </x:c>
      <x:c r="J41" s="35" t="n">
        <x:f>'Load Cases'!F11</x:f>
        <x:v>0.9</x:v>
      </x:c>
      <x:c r="K41" s="35" t="str">
        <x:f>IF(I41&lt;=J41,"PASS","REVIEW")</x:f>
        <x:v>REVIEW</x:v>
      </x:c>
      <x:c r="L41" s="35" t="str">
        <x:f>'Inputs'!I11</x:f>
        <x:v>api7g-bit-sub-01</x:v>
      </x:c>
      <x:c r="M41" s="32"/>
      <x:c r="N41" s="32"/>
    </x:row>
  </x:sheetData>
  <x:mergeCells>
    <x:mergeCell ref="A1:N1"/>
    <x:mergeCell ref="A3:L3"/>
  </x:mergeCells>
  <x:conditionalFormatting sqref="G6:I41">
    <x:cfRule type="colorScale" priority="1">
      <x:colorScale>
        <x:cfvo type="min"/>
        <x:cfvo type="percentile" val="50"/>
        <x:cfvo type="max"/>
        <x:color rgb="FFCCFBF1"/>
        <x:color rgb="FFFEF3C7"/>
        <x:color rgb="FFFEE2E2"/>
      </x:colorScale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1" t="str">
        <x:v>WellForge | Strength Charts | Formula-driven planning and review workbook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</x:row>
    <x:row r="3">
      <x:c r="A3" s="33" t="str">
        <x:v>Operation-specific strength and utilisation profiles</x:v>
      </x:c>
      <x:c r="B3" s="33" t="str">
        <x:v>Operation-specific strength and utilisation profiles</x:v>
      </x:c>
      <x:c r="C3" s="33" t="str">
        <x:v>Operation-specific strength and utilisation profiles</x:v>
      </x:c>
      <x:c r="D3" s="33" t="str">
        <x:v>Operation-specific strength and utilisation profiles</x:v>
      </x:c>
      <x:c r="E3" s="33" t="str">
        <x:v>Operation-specific strength and utilisation profiles</x:v>
      </x:c>
      <x:c r="F3" s="33" t="str">
        <x:v>Operation-specific strength and utilisation profiles</x:v>
      </x:c>
      <x:c r="G3" s="33" t="str">
        <x:v>Operation-specific strength and utilisation profiles</x:v>
      </x:c>
      <x:c r="H3" s="33" t="str">
        <x:v>Operation-specific strength and utilisation profiles</x:v>
      </x:c>
      <x:c r="I3" s="33" t="str">
        <x:v>Operation-specific strength and utilisation profiles</x:v>
      </x:c>
      <x:c r="J3" s="33" t="str">
        <x:v>Operation-specific strength and utilisation profiles</x:v>
      </x:c>
      <x:c r="K3" s="33" t="str">
        <x:v>Operation-specific strength and utilisation profiles</x:v>
      </x:c>
      <x:c r="L3" s="33" t="str">
        <x:v>Operation-specific strength and utilisation profiles</x:v>
      </x:c>
      <x:c r="M3" s="33" t="str">
        <x:v>Operation-specific strength and utilisation profiles</x:v>
      </x:c>
      <x:c r="N3" s="33" t="str">
        <x:v>Operation-specific strength and utilisation profiles</x:v>
      </x:c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</x:row>
    <x:row r="5">
      <x:c r="A5" s="32" t="str">
        <x:v>Section</x:v>
      </x:c>
      <x:c r="B5" s="32" t="str">
        <x:v>Static</x:v>
      </x:c>
      <x:c r="C5" s="32" t="str">
        <x:v>Rotate</x:v>
      </x:c>
      <x:c r="D5" s="32" t="str">
        <x:v>Backream</x:v>
      </x:c>
      <x:c r="E5" s="32"/>
      <x:c r="F5" s="32"/>
      <x:c r="G5" s="32"/>
      <x:c r="H5" s="32"/>
      <x:c r="I5" s="32"/>
      <x:c r="J5" s="32"/>
      <x:c r="K5" s="32"/>
      <x:c r="L5" s="32"/>
      <x:c r="M5" s="32"/>
      <x:c r="N5" s="32"/>
    </x:row>
    <x:row r="6">
      <x:c r="A6" s="32" t="str">
        <x:f>'Inputs'!A6</x:f>
        <x:v>Drill Pipe</x:v>
      </x:c>
      <x:c r="B6" s="32" t="n">
        <x:f>'Section Detail'!I6</x:f>
        <x:v>0.9946635291811726</x:v>
      </x:c>
      <x:c r="C6" s="32" t="n">
        <x:f>'Section Detail'!I24</x:f>
        <x:v>1.2977448817547745</x:v>
      </x:c>
      <x:c r="D6" s="32" t="n">
        <x:f>'Section Detail'!I30</x:f>
        <x:v>1.6155892469295259</x:v>
      </x:c>
      <x:c r="E6" s="32"/>
      <x:c r="F6" s="32"/>
      <x:c r="G6" s="32"/>
      <x:c r="H6" s="32"/>
      <x:c r="I6" s="32"/>
      <x:c r="J6" s="32"/>
      <x:c r="K6" s="32"/>
      <x:c r="L6" s="32"/>
      <x:c r="M6" s="32"/>
      <x:c r="N6" s="32"/>
    </x:row>
    <x:row r="7">
      <x:c r="A7" s="32" t="str">
        <x:f>'Inputs'!A7</x:f>
        <x:v>HWDP</x:v>
      </x:c>
      <x:c r="B7" s="32" t="n">
        <x:f>'Section Detail'!I7</x:f>
        <x:v>0.7563942734486819</x:v>
      </x:c>
      <x:c r="C7" s="32" t="n">
        <x:f>'Section Detail'!I25</x:f>
        <x:v>0.9820252053990361</x:v>
      </x:c>
      <x:c r="D7" s="32" t="n">
        <x:f>'Section Detail'!I31</x:f>
        <x:v>1.2232636837034683</x:v>
      </x:c>
      <x:c r="E7" s="32"/>
      <x:c r="F7" s="32"/>
      <x:c r="G7" s="32"/>
      <x:c r="H7" s="32"/>
      <x:c r="I7" s="32"/>
      <x:c r="J7" s="32"/>
      <x:c r="K7" s="32"/>
      <x:c r="L7" s="32"/>
      <x:c r="M7" s="32"/>
      <x:c r="N7" s="32"/>
    </x:row>
    <x:row r="8">
      <x:c r="A8" s="32" t="str">
        <x:f>'Inputs'!A8</x:f>
        <x:v>Drill Collar</x:v>
      </x:c>
      <x:c r="B8" s="32" t="n">
        <x:f>'Section Detail'!I8</x:f>
        <x:v>0.5384060000103017</x:v>
      </x:c>
      <x:c r="C8" s="32" t="n">
        <x:f>'Section Detail'!I26</x:f>
        <x:v>0.6933486902270487</x:v>
      </x:c>
      <x:c r="D8" s="32" t="n">
        <x:f>'Section Detail'!I32</x:f>
        <x:v>0.8645230431205254</x:v>
      </x:c>
      <x:c r="E8" s="32"/>
      <x:c r="F8" s="32"/>
      <x:c r="G8" s="32"/>
      <x:c r="H8" s="32"/>
      <x:c r="I8" s="32"/>
      <x:c r="J8" s="32"/>
      <x:c r="K8" s="32"/>
      <x:c r="L8" s="32"/>
      <x:c r="M8" s="32"/>
      <x:c r="N8" s="32"/>
    </x:row>
    <x:row r="9">
      <x:c r="A9" s="32" t="str">
        <x:f>'Inputs'!A9</x:f>
        <x:v>MWD / LWD</x:v>
      </x:c>
      <x:c r="B9" s="32" t="n">
        <x:f>'Section Detail'!I9</x:f>
        <x:v>0.7137244885288592</x:v>
      </x:c>
      <x:c r="C9" s="32" t="n">
        <x:f>'Section Detail'!I27</x:f>
        <x:v>0.9159218635398434</x:v>
      </x:c>
      <x:c r="D9" s="32" t="n">
        <x:f>'Section Detail'!I33</x:f>
        <x:v>1.1425319729515262</x:v>
      </x:c>
      <x:c r="E9" s="32"/>
      <x:c r="F9" s="32"/>
      <x:c r="G9" s="32"/>
      <x:c r="H9" s="32"/>
      <x:c r="I9" s="32"/>
      <x:c r="J9" s="32"/>
      <x:c r="K9" s="32"/>
      <x:c r="L9" s="32"/>
      <x:c r="M9" s="32"/>
      <x:c r="N9" s="32"/>
    </x:row>
    <x:row r="10">
      <x:c r="A10" s="32" t="str">
        <x:f>'Inputs'!A10</x:f>
        <x:v>Motor / RSS</x:v>
      </x:c>
      <x:c r="B10" s="32" t="n">
        <x:f>'Section Detail'!I10</x:f>
        <x:v>0.7195482978673482</x:v>
      </x:c>
      <x:c r="C10" s="32" t="n">
        <x:f>'Section Detail'!I28</x:f>
        <x:v>0.9225691627787586</x:v>
      </x:c>
      <x:c r="D10" s="32" t="n">
        <x:f>'Section Detail'!I34</x:f>
        <x:v>1.1509503359997075</x:v>
      </x:c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</x:row>
    <x:row r="11">
      <x:c r="A11" s="32" t="str">
        <x:f>'Inputs'!A11</x:f>
        <x:v>Bit / Sub</x:v>
      </x:c>
      <x:c r="B11" s="32" t="n">
        <x:f>'Section Detail'!I11</x:f>
        <x:v>0.9180394105951876</x:v>
      </x:c>
      <x:c r="C11" s="32" t="n">
        <x:f>'Section Detail'!I29</x:f>
        <x:v>1.1664702130552966</x:v>
      </x:c>
      <x:c r="D11" s="32" t="n">
        <x:f>'Section Detail'!I35</x:f>
        <x:v>1.4568584226002204</x:v>
      </x:c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</x:row>
    <x:row r="25">
      <x:c r="A25" s="32" t="str">
        <x:v>Operation</x:v>
      </x:c>
      <x:c r="B25" s="32" t="str">
        <x:v>Peak utilisation</x:v>
      </x:c>
      <x:c r="C25" s="32" t="str">
        <x:v>Design limit</x:v>
      </x:c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</x:row>
    <x:row r="26">
      <x:c r="A26" s="32" t="str">
        <x:f>'Load Cases'!A6</x:f>
        <x:v>Static</x:v>
      </x:c>
      <x:c r="B26" s="32" t="n">
        <x:f>MAX('Section Detail'!I6:I11)</x:f>
        <x:v>0.9946635291811726</x:v>
      </x:c>
      <x:c r="C26" s="32" t="n">
        <x:f>'Load Cases'!F6</x:f>
        <x:v>0.9</x:v>
      </x:c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</x:row>
    <x:row r="27">
      <x:c r="A27" s="32" t="str">
        <x:f>'Load Cases'!A7</x:f>
        <x:v>POOH</x:v>
      </x:c>
      <x:c r="B27" s="32" t="n">
        <x:f>MAX('Section Detail'!I12:I17)</x:f>
        <x:v>0.9885618184233709</x:v>
      </x:c>
      <x:c r="C27" s="32" t="n">
        <x:f>'Load Cases'!F7</x:f>
        <x:v>0.9</x:v>
      </x:c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</x:row>
    <x:row r="28">
      <x:c r="A28" s="32" t="str">
        <x:f>'Load Cases'!A8</x:f>
        <x:v>RIH</x:v>
      </x:c>
      <x:c r="B28" s="32" t="n">
        <x:f>MAX('Section Detail'!I18:I23)</x:f>
        <x:v>0.7855126004632857</x:v>
      </x:c>
      <x:c r="C28" s="32" t="n">
        <x:f>'Load Cases'!F8</x:f>
        <x:v>0.9</x:v>
      </x:c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</x:row>
    <x:row r="29">
      <x:c r="A29" s="32" t="str">
        <x:f>'Load Cases'!A9</x:f>
        <x:v>Rotate</x:v>
      </x:c>
      <x:c r="B29" s="32" t="n">
        <x:f>MAX('Section Detail'!I24:I29)</x:f>
        <x:v>1.2977448817547745</x:v>
      </x:c>
      <x:c r="C29" s="32" t="n">
        <x:f>'Load Cases'!F9</x:f>
        <x:v>0.9</x:v>
      </x:c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</x:row>
    <x:row r="30">
      <x:c r="A30" s="32" t="str">
        <x:f>'Load Cases'!A10</x:f>
        <x:v>Backream</x:v>
      </x:c>
      <x:c r="B30" s="32" t="n">
        <x:f>MAX('Section Detail'!I30:I35)</x:f>
        <x:v>1.6155892469295259</x:v>
      </x:c>
      <x:c r="C30" s="32" t="n">
        <x:f>'Load Cases'!F10</x:f>
        <x:v>0.9</x:v>
      </x:c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</x:row>
    <x:row r="31">
      <x:c r="A31" s="32" t="str">
        <x:f>'Load Cases'!A11</x:f>
        <x:v>Overpull</x:v>
      </x:c>
      <x:c r="B31" s="32" t="n">
        <x:f>MAX('Section Detail'!I36:I41)</x:f>
        <x:v>1.3125782387027636</x:v>
      </x:c>
      <x:c r="C31" s="32" t="n">
        <x:f>'Load Cases'!F11</x:f>
        <x:v>0.9</x:v>
      </x:c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</x:row>
  </x:sheetData>
  <x:mergeCells>
    <x:mergeCell ref="A1:N1"/>
    <x:mergeCell ref="A3:N3"/>
  </x:mergeCells>
  <x:pageMargins left="0.7" right="0.7" top="0.75" bottom="0.75" header="0.3" footer="0.3"/>
  <x:drawing xmlns:r="http://schemas.openxmlformats.org/officeDocument/2006/relationships" r:id="rId1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4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1" t="str">
        <x:v>WellForge | Chart Settings | Formula-driven planning and review workbook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</x:row>
    <x:row r="3">
      <x:c r="A3" s="33" t="str">
        <x:v>Persisted engineering-chart configuration</x:v>
      </x:c>
      <x:c r="B3" s="33" t="str">
        <x:v>Persisted engineering-chart configuration</x:v>
      </x:c>
      <x:c r="C3" s="33" t="str">
        <x:v>Persisted engineering-chart configuration</x:v>
      </x:c>
      <x:c r="D3" s="37" t="str">
        <x:v>These settings are saved with the case and reapplied by the VBA engine.</x:v>
      </x:c>
      <x:c r="E3" s="37"/>
      <x:c r="F3" s="37"/>
      <x:c r="G3" s="37"/>
      <x:c r="H3" s="37"/>
      <x:c r="I3" s="37"/>
      <x:c r="J3" s="37"/>
      <x:c r="K3" s="32"/>
      <x:c r="L3" s="32"/>
      <x:c r="M3" s="32"/>
      <x:c r="N3" s="32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</x:row>
    <x:row r="5">
      <x:c r="A5" s="34" t="str">
        <x:v>Setting</x:v>
      </x:c>
      <x:c r="B5" s="34" t="str">
        <x:v>Value</x:v>
      </x:c>
      <x:c r="C5" s="34" t="str">
        <x:v>Purpose</x:v>
      </x:c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</x:row>
    <x:row r="6">
      <x:c r="A6" s="32" t="str">
        <x:v>Selected MD</x:v>
      </x:c>
      <x:c r="B6" s="36" t="n">
        <x:v>0</x:v>
      </x:c>
      <x:c r="C6" s="32" t="str">
        <x:v>Canonical SI depth used by the screen reader</x:v>
      </x:c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</x:row>
    <x:row r="7">
      <x:c r="A7" s="32" t="str">
        <x:v>Observed data visible</x:v>
      </x:c>
      <x:c r="B7" s="36" t="str">
        <x:v>Yes</x:v>
      </x:c>
      <x:c r="C7" s="32" t="str">
        <x:v>Show measured/observed series when supplied</x:v>
      </x:c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</x:row>
    <x:row r="8">
      <x:c r="A8" s="32" t="str">
        <x:v>Low friction multiplier</x:v>
      </x:c>
      <x:c r="B8" s="36" t="n">
        <x:v>0.8</x:v>
      </x:c>
      <x:c r="C8" s="32" t="str">
        <x:v>Low sensitivity family</x:v>
      </x:c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</x:row>
    <x:row r="9">
      <x:c r="A9" s="32" t="str">
        <x:v>Base friction multiplier</x:v>
      </x:c>
      <x:c r="B9" s="36" t="n">
        <x:v>1</x:v>
      </x:c>
      <x:c r="C9" s="32" t="str">
        <x:v>Base model</x:v>
      </x:c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</x:row>
    <x:row r="10">
      <x:c r="A10" s="32" t="str">
        <x:v>High friction multiplier</x:v>
      </x:c>
      <x:c r="B10" s="36" t="n">
        <x:v>1.2</x:v>
      </x:c>
      <x:c r="C10" s="32" t="str">
        <x:v>High sensitivity family</x:v>
      </x:c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</x:row>
    <x:row r="11">
      <x:c r="A11" s="32" t="str">
        <x:v>Show well context</x:v>
      </x:c>
      <x:c r="B11" s="36" t="str">
        <x:v>Yes</x:v>
      </x:c>
      <x:c r="C11" s="32" t="str">
        <x:v>Show section/component boundary context</x:v>
      </x:c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</x:row>
    <x:row r="12">
      <x:c r="A12" s="32" t="str">
        <x:v>Show limits</x:v>
      </x:c>
      <x:c r="B12" s="36" t="str">
        <x:v>Yes</x:v>
      </x:c>
      <x:c r="C12" s="32" t="str">
        <x:v>Show ratings, thresholds, and operating envelopes</x:v>
      </x:c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</x:row>
    <x:row r="13">
      <x:c r="A13" s="32" t="str">
        <x:v>Report composition</x:v>
      </x:c>
      <x:c r="B13" s="36" t="str">
        <x:v>Engineering review</x:v>
      </x:c>
      <x:c r="C13" s="32" t="str">
        <x:v>Saved chart/report selection</x:v>
      </x:c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</x:row>
  </x:sheetData>
  <x:mergeCells>
    <x:mergeCell ref="A1:N1"/>
    <x:mergeCell ref="A3:C3"/>
    <x:mergeCell ref="D3:J3"/>
  </x:mergeCells>
  <x:dataValidations count="2">
    <x:dataValidation type="list" sqref="B7">
      <x:formula1>"Yes,No"</x:formula1>
    </x:dataValidation>
    <x:dataValidation type="list" sqref="B11:B12">
      <x:formula1>"Yes,No"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8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1" t="str">
        <x:v>WellForge | Unit Map | Formula-driven planning and review workbook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</x:row>
    <x:row r="3">
      <x:c r="A3" s="33" t="str">
        <x:v>Display-unit control — calculations and stored inputs remain SI</x:v>
      </x:c>
      <x:c r="B3" s="33" t="str">
        <x:v>Display-unit control — calculations and stored inputs remain SI</x:v>
      </x:c>
      <x:c r="C3" s="33" t="str">
        <x:v>Display-unit control — calculations and stored inputs remain SI</x:v>
      </x:c>
      <x:c r="D3" s="33" t="str">
        <x:v>Display-unit control — calculations and stored inputs remain SI</x:v>
      </x:c>
      <x:c r="E3" s="33" t="str">
        <x:v>Display-unit control — calculations and stored inputs remain SI</x:v>
      </x:c>
      <x:c r="F3" s="33" t="str">
        <x:v>Display-unit control — calculations and stored inputs remain SI</x:v>
      </x:c>
      <x:c r="G3" s="33" t="str">
        <x:v>Display-unit control — calculations and stored inputs remain SI</x:v>
      </x:c>
      <x:c r="H3" s="33" t="str">
        <x:v>Display-unit control — calculations and stored inputs remain SI</x:v>
      </x:c>
      <x:c r="I3" s="33" t="str">
        <x:v>Display-unit control — calculations and stored inputs remain SI</x:v>
      </x:c>
      <x:c r="J3" s="33" t="str">
        <x:v>Display-unit control — calculations and stored inputs remain SI</x:v>
      </x:c>
      <x:c r="K3" s="32"/>
      <x:c r="L3" s="32"/>
      <x:c r="M3" s="32"/>
      <x:c r="N3" s="32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</x:row>
    <x:row r="5">
      <x:c r="A5" s="32" t="str">
        <x:v>Display system</x:v>
      </x:c>
      <x:c r="B5" s="36" t="str">
        <x:v>SI</x:v>
      </x:c>
      <x:c r="C5" s="32"/>
      <x:c r="D5" s="37" t="str">
        <x:v>Choose Custom, then set each domain dropdown in column J.</x:v>
      </x:c>
      <x:c r="E5" s="37"/>
      <x:c r="F5" s="37"/>
      <x:c r="G5" s="37"/>
      <x:c r="H5" s="37"/>
      <x:c r="I5" s="37"/>
      <x:c r="J5" s="37"/>
      <x:c r="K5" s="32"/>
      <x:c r="L5" s="32"/>
      <x:c r="M5" s="32"/>
      <x:c r="N5" s="32"/>
    </x:row>
    <x:row r="6">
      <x:c r="A6" s="32"/>
      <x:c r="B6" s="32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</x:row>
    <x:row r="7">
      <x:c r="A7" s="34" t="str">
        <x:v>Domain</x:v>
      </x:c>
      <x:c r="B7" s="34" t="str">
        <x:v>SI unit</x:v>
      </x:c>
      <x:c r="C7" s="34" t="str">
        <x:v>Imperial</x:v>
      </x:c>
      <x:c r="D7" s="34" t="str">
        <x:v>Mixed</x:v>
      </x:c>
      <x:c r="E7" s="34" t="str">
        <x:v>Imp factor</x:v>
      </x:c>
      <x:c r="F7" s="34" t="str">
        <x:v>Mixed factor</x:v>
      </x:c>
      <x:c r="G7" s="34" t="str">
        <x:v>Offset</x:v>
      </x:c>
      <x:c r="H7" s="34" t="str">
        <x:v>Selected unit</x:v>
      </x:c>
      <x:c r="I7" s="34" t="str">
        <x:v>Selected factor</x:v>
      </x:c>
      <x:c r="J7" s="34" t="str">
        <x:v>Custom selection</x:v>
      </x:c>
      <x:c r="K7" s="32"/>
      <x:c r="L7" s="32"/>
      <x:c r="M7" s="32"/>
      <x:c r="N7" s="32"/>
    </x:row>
    <x:row r="8">
      <x:c r="A8" s="38" t="str">
        <x:v>Length</x:v>
      </x:c>
      <x:c r="B8" s="38" t="str">
        <x:v>m</x:v>
      </x:c>
      <x:c r="C8" s="38" t="str">
        <x:v>ft</x:v>
      </x:c>
      <x:c r="D8" s="38" t="str">
        <x:v>m</x:v>
      </x:c>
      <x:c r="E8" s="18" t="n">
        <x:v>3.280839895</x:v>
      </x:c>
      <x:c r="F8" s="18" t="n">
        <x:v>1</x:v>
      </x:c>
      <x:c r="G8" s="18" t="n">
        <x:v>0</x:v>
      </x:c>
      <x:c r="H8" s="38" t="str">
        <x:f>IF($B$5="SI",B8,IF($B$5="Imperial",C8,IF($B$5="Mixed",D8,IF($B$5="Custom",IF(J8="SI",B8,IF(J8="Imperial",C8,IF(J8="Mixed",D8,"INVALID"))),"INVALID"))))</x:f>
        <x:v>m</x:v>
      </x:c>
      <x:c r="I8" s="18" t="n">
        <x:f>IF($B$5="SI",1,IF($B$5="Imperial",E8,IF($B$5="Mixed",F8,IF($B$5="Custom",IF(J8="SI",1,IF(J8="Imperial",E8,IF(J8="Mixed",F8,NA()))),NA()))))</x:f>
        <x:v>1</x:v>
      </x:c>
      <x:c r="J8" s="36" t="str">
        <x:v>SI</x:v>
      </x:c>
      <x:c r="K8" s="32"/>
      <x:c r="L8" s="32"/>
      <x:c r="M8" s="32"/>
      <x:c r="N8" s="32"/>
    </x:row>
    <x:row r="9">
      <x:c r="A9" s="38" t="str">
        <x:v>Diameter</x:v>
      </x:c>
      <x:c r="B9" s="38" t="str">
        <x:v>m</x:v>
      </x:c>
      <x:c r="C9" s="38" t="str">
        <x:v>in</x:v>
      </x:c>
      <x:c r="D9" s="38" t="str">
        <x:v>mm</x:v>
      </x:c>
      <x:c r="E9" s="18" t="n">
        <x:v>39.37007874</x:v>
      </x:c>
      <x:c r="F9" s="18" t="n">
        <x:v>1000</x:v>
      </x:c>
      <x:c r="G9" s="18" t="n">
        <x:v>0</x:v>
      </x:c>
      <x:c r="H9" s="38" t="str">
        <x:f>IF($B$5="SI",B9,IF($B$5="Imperial",C9,IF($B$5="Mixed",D9,IF($B$5="Custom",IF(J9="SI",B9,IF(J9="Imperial",C9,IF(J9="Mixed",D9,"INVALID"))),"INVALID"))))</x:f>
        <x:v>m</x:v>
      </x:c>
      <x:c r="I9" s="18" t="n">
        <x:f>IF($B$5="SI",1,IF($B$5="Imperial",E9,IF($B$5="Mixed",F9,IF($B$5="Custom",IF(J9="SI",1,IF(J9="Imperial",E9,IF(J9="Mixed",F9,NA()))),NA()))))</x:f>
        <x:v>1</x:v>
      </x:c>
      <x:c r="J9" s="36" t="str">
        <x:v>SI</x:v>
      </x:c>
      <x:c r="K9" s="32"/>
      <x:c r="L9" s="32"/>
      <x:c r="M9" s="32"/>
      <x:c r="N9" s="32"/>
    </x:row>
    <x:row r="10">
      <x:c r="A10" s="38" t="str">
        <x:v>Area</x:v>
      </x:c>
      <x:c r="B10" s="38" t="str">
        <x:v>m2</x:v>
      </x:c>
      <x:c r="C10" s="38" t="str">
        <x:v>in2</x:v>
      </x:c>
      <x:c r="D10" s="38" t="str">
        <x:v>cm2</x:v>
      </x:c>
      <x:c r="E10" s="18" t="n">
        <x:v>1550.0031</x:v>
      </x:c>
      <x:c r="F10" s="18" t="n">
        <x:v>10000</x:v>
      </x:c>
      <x:c r="G10" s="18" t="n">
        <x:v>0</x:v>
      </x:c>
      <x:c r="H10" s="38" t="str">
        <x:f>IF($B$5="SI",B10,IF($B$5="Imperial",C10,IF($B$5="Mixed",D10,IF($B$5="Custom",IF(J10="SI",B10,IF(J10="Imperial",C10,IF(J10="Mixed",D10,"INVALID"))),"INVALID"))))</x:f>
        <x:v>m2</x:v>
      </x:c>
      <x:c r="I10" s="18" t="n">
        <x:f>IF($B$5="SI",1,IF($B$5="Imperial",E10,IF($B$5="Mixed",F10,IF($B$5="Custom",IF(J10="SI",1,IF(J10="Imperial",E10,IF(J10="Mixed",F10,NA()))),NA()))))</x:f>
        <x:v>1</x:v>
      </x:c>
      <x:c r="J10" s="36" t="str">
        <x:v>SI</x:v>
      </x:c>
      <x:c r="K10" s="32"/>
      <x:c r="L10" s="32"/>
      <x:c r="M10" s="32"/>
      <x:c r="N10" s="32"/>
    </x:row>
    <x:row r="11">
      <x:c r="A11" s="38" t="str">
        <x:v>Volume</x:v>
      </x:c>
      <x:c r="B11" s="38" t="str">
        <x:v>m3</x:v>
      </x:c>
      <x:c r="C11" s="38" t="str">
        <x:v>bbl</x:v>
      </x:c>
      <x:c r="D11" s="38" t="str">
        <x:v>L</x:v>
      </x:c>
      <x:c r="E11" s="18" t="n">
        <x:v>6.28981077</x:v>
      </x:c>
      <x:c r="F11" s="18" t="n">
        <x:v>1000</x:v>
      </x:c>
      <x:c r="G11" s="18" t="n">
        <x:v>0</x:v>
      </x:c>
      <x:c r="H11" s="38" t="str">
        <x:f>IF($B$5="SI",B11,IF($B$5="Imperial",C11,IF($B$5="Mixed",D11,IF($B$5="Custom",IF(J11="SI",B11,IF(J11="Imperial",C11,IF(J11="Mixed",D11,"INVALID"))),"INVALID"))))</x:f>
        <x:v>m3</x:v>
      </x:c>
      <x:c r="I11" s="18" t="n">
        <x:f>IF($B$5="SI",1,IF($B$5="Imperial",E11,IF($B$5="Mixed",F11,IF($B$5="Custom",IF(J11="SI",1,IF(J11="Imperial",E11,IF(J11="Mixed",F11,NA()))),NA()))))</x:f>
        <x:v>1</x:v>
      </x:c>
      <x:c r="J11" s="36" t="str">
        <x:v>SI</x:v>
      </x:c>
      <x:c r="K11" s="32"/>
      <x:c r="L11" s="32"/>
      <x:c r="M11" s="32"/>
      <x:c r="N11" s="32"/>
    </x:row>
    <x:row r="12">
      <x:c r="A12" s="38" t="str">
        <x:v>Flow rate</x:v>
      </x:c>
      <x:c r="B12" s="38" t="str">
        <x:v>m3/s</x:v>
      </x:c>
      <x:c r="C12" s="38" t="str">
        <x:v>gpm</x:v>
      </x:c>
      <x:c r="D12" s="38" t="str">
        <x:v>L/min</x:v>
      </x:c>
      <x:c r="E12" s="18" t="n">
        <x:v>15850.32314</x:v>
      </x:c>
      <x:c r="F12" s="18" t="n">
        <x:v>60000</x:v>
      </x:c>
      <x:c r="G12" s="18" t="n">
        <x:v>0</x:v>
      </x:c>
      <x:c r="H12" s="38" t="str">
        <x:f>IF($B$5="SI",B12,IF($B$5="Imperial",C12,IF($B$5="Mixed",D12,IF($B$5="Custom",IF(J12="SI",B12,IF(J12="Imperial",C12,IF(J12="Mixed",D12,"INVALID"))),"INVALID"))))</x:f>
        <x:v>m3/s</x:v>
      </x:c>
      <x:c r="I12" s="18" t="n">
        <x:f>IF($B$5="SI",1,IF($B$5="Imperial",E12,IF($B$5="Mixed",F12,IF($B$5="Custom",IF(J12="SI",1,IF(J12="Imperial",E12,IF(J12="Mixed",F12,NA()))),NA()))))</x:f>
        <x:v>1</x:v>
      </x:c>
      <x:c r="J12" s="36" t="str">
        <x:v>SI</x:v>
      </x:c>
      <x:c r="K12" s="32"/>
      <x:c r="L12" s="32"/>
      <x:c r="M12" s="32"/>
      <x:c r="N12" s="32"/>
    </x:row>
    <x:row r="13">
      <x:c r="A13" s="38" t="str">
        <x:v>Density</x:v>
      </x:c>
      <x:c r="B13" s="38" t="str">
        <x:v>kg/m3</x:v>
      </x:c>
      <x:c r="C13" s="38" t="str">
        <x:v>ppg</x:v>
      </x:c>
      <x:c r="D13" s="38" t="str">
        <x:v>kg/m3</x:v>
      </x:c>
      <x:c r="E13" s="18" t="n">
        <x:v>0.008345404</x:v>
      </x:c>
      <x:c r="F13" s="18" t="n">
        <x:v>1</x:v>
      </x:c>
      <x:c r="G13" s="18" t="n">
        <x:v>0</x:v>
      </x:c>
      <x:c r="H13" s="38" t="str">
        <x:f>IF($B$5="SI",B13,IF($B$5="Imperial",C13,IF($B$5="Mixed",D13,IF($B$5="Custom",IF(J13="SI",B13,IF(J13="Imperial",C13,IF(J13="Mixed",D13,"INVALID"))),"INVALID"))))</x:f>
        <x:v>kg/m3</x:v>
      </x:c>
      <x:c r="I13" s="18" t="n">
        <x:f>IF($B$5="SI",1,IF($B$5="Imperial",E13,IF($B$5="Mixed",F13,IF($B$5="Custom",IF(J13="SI",1,IF(J13="Imperial",E13,IF(J13="Mixed",F13,NA()))),NA()))))</x:f>
        <x:v>1</x:v>
      </x:c>
      <x:c r="J13" s="36" t="str">
        <x:v>SI</x:v>
      </x:c>
      <x:c r="K13" s="32"/>
      <x:c r="L13" s="32"/>
      <x:c r="M13" s="32"/>
      <x:c r="N13" s="32"/>
    </x:row>
    <x:row r="14">
      <x:c r="A14" s="38" t="str">
        <x:v>Force</x:v>
      </x:c>
      <x:c r="B14" s="38" t="str">
        <x:v>N</x:v>
      </x:c>
      <x:c r="C14" s="38" t="str">
        <x:v>lbf</x:v>
      </x:c>
      <x:c r="D14" s="38" t="str">
        <x:v>kN</x:v>
      </x:c>
      <x:c r="E14" s="18" t="n">
        <x:v>0.224808943</x:v>
      </x:c>
      <x:c r="F14" s="18" t="n">
        <x:v>0.001</x:v>
      </x:c>
      <x:c r="G14" s="18" t="n">
        <x:v>0</x:v>
      </x:c>
      <x:c r="H14" s="38" t="str">
        <x:f>IF($B$5="SI",B14,IF($B$5="Imperial",C14,IF($B$5="Mixed",D14,IF($B$5="Custom",IF(J14="SI",B14,IF(J14="Imperial",C14,IF(J14="Mixed",D14,"INVALID"))),"INVALID"))))</x:f>
        <x:v>N</x:v>
      </x:c>
      <x:c r="I14" s="18" t="n">
        <x:f>IF($B$5="SI",1,IF($B$5="Imperial",E14,IF($B$5="Mixed",F14,IF($B$5="Custom",IF(J14="SI",1,IF(J14="Imperial",E14,IF(J14="Mixed",F14,NA()))),NA()))))</x:f>
        <x:v>1</x:v>
      </x:c>
      <x:c r="J14" s="36" t="str">
        <x:v>SI</x:v>
      </x:c>
      <x:c r="K14" s="32"/>
      <x:c r="L14" s="32"/>
      <x:c r="M14" s="32"/>
      <x:c r="N14" s="32"/>
    </x:row>
    <x:row r="15">
      <x:c r="A15" s="38" t="str">
        <x:v>Pressure</x:v>
      </x:c>
      <x:c r="B15" s="38" t="str">
        <x:v>Pa</x:v>
      </x:c>
      <x:c r="C15" s="38" t="str">
        <x:v>psi</x:v>
      </x:c>
      <x:c r="D15" s="38" t="str">
        <x:v>kPa</x:v>
      </x:c>
      <x:c r="E15" s="18" t="n">
        <x:v>0.000145037738</x:v>
      </x:c>
      <x:c r="F15" s="18" t="n">
        <x:v>0.001</x:v>
      </x:c>
      <x:c r="G15" s="18" t="n">
        <x:v>0</x:v>
      </x:c>
      <x:c r="H15" s="38" t="str">
        <x:f>IF($B$5="SI",B15,IF($B$5="Imperial",C15,IF($B$5="Mixed",D15,IF($B$5="Custom",IF(J15="SI",B15,IF(J15="Imperial",C15,IF(J15="Mixed",D15,"INVALID"))),"INVALID"))))</x:f>
        <x:v>Pa</x:v>
      </x:c>
      <x:c r="I15" s="18" t="n">
        <x:f>IF($B$5="SI",1,IF($B$5="Imperial",E15,IF($B$5="Mixed",F15,IF($B$5="Custom",IF(J15="SI",1,IF(J15="Imperial",E15,IF(J15="Mixed",F15,NA()))),NA()))))</x:f>
        <x:v>1</x:v>
      </x:c>
      <x:c r="J15" s="36" t="str">
        <x:v>SI</x:v>
      </x:c>
      <x:c r="K15" s="32"/>
      <x:c r="L15" s="32"/>
      <x:c r="M15" s="32"/>
      <x:c r="N15" s="32"/>
    </x:row>
    <x:row r="16">
      <x:c r="A16" s="38" t="str">
        <x:v>Torque</x:v>
      </x:c>
      <x:c r="B16" s="38" t="str">
        <x:v>N-m</x:v>
      </x:c>
      <x:c r="C16" s="38" t="str">
        <x:v>ft-lbf</x:v>
      </x:c>
      <x:c r="D16" s="38" t="str">
        <x:v>kN-m</x:v>
      </x:c>
      <x:c r="E16" s="18" t="n">
        <x:v>0.737562149</x:v>
      </x:c>
      <x:c r="F16" s="18" t="n">
        <x:v>0.001</x:v>
      </x:c>
      <x:c r="G16" s="18" t="n">
        <x:v>0</x:v>
      </x:c>
      <x:c r="H16" s="38" t="str">
        <x:f>IF($B$5="SI",B16,IF($B$5="Imperial",C16,IF($B$5="Mixed",D16,IF($B$5="Custom",IF(J16="SI",B16,IF(J16="Imperial",C16,IF(J16="Mixed",D16,"INVALID"))),"INVALID"))))</x:f>
        <x:v>N-m</x:v>
      </x:c>
      <x:c r="I16" s="18" t="n">
        <x:f>IF($B$5="SI",1,IF($B$5="Imperial",E16,IF($B$5="Mixed",F16,IF($B$5="Custom",IF(J16="SI",1,IF(J16="Imperial",E16,IF(J16="Mixed",F16,NA()))),NA()))))</x:f>
        <x:v>1</x:v>
      </x:c>
      <x:c r="J16" s="36" t="str">
        <x:v>SI</x:v>
      </x:c>
      <x:c r="K16" s="32"/>
      <x:c r="L16" s="32"/>
      <x:c r="M16" s="32"/>
      <x:c r="N16" s="32"/>
    </x:row>
    <x:row r="17">
      <x:c r="A17" s="38" t="str">
        <x:v>Stress</x:v>
      </x:c>
      <x:c r="B17" s="38" t="str">
        <x:v>Pa</x:v>
      </x:c>
      <x:c r="C17" s="38" t="str">
        <x:v>psi</x:v>
      </x:c>
      <x:c r="D17" s="38" t="str">
        <x:v>MPa</x:v>
      </x:c>
      <x:c r="E17" s="18" t="n">
        <x:v>0.000145037738</x:v>
      </x:c>
      <x:c r="F17" s="18" t="n">
        <x:v>0.000001</x:v>
      </x:c>
      <x:c r="G17" s="18" t="n">
        <x:v>0</x:v>
      </x:c>
      <x:c r="H17" s="38" t="str">
        <x:f>IF($B$5="SI",B17,IF($B$5="Imperial",C17,IF($B$5="Mixed",D17,IF($B$5="Custom",IF(J17="SI",B17,IF(J17="Imperial",C17,IF(J17="Mixed",D17,"INVALID"))),"INVALID"))))</x:f>
        <x:v>Pa</x:v>
      </x:c>
      <x:c r="I17" s="18" t="n">
        <x:f>IF($B$5="SI",1,IF($B$5="Imperial",E17,IF($B$5="Mixed",F17,IF($B$5="Custom",IF(J17="SI",1,IF(J17="Imperial",E17,IF(J17="Mixed",F17,NA()))),NA()))))</x:f>
        <x:v>1</x:v>
      </x:c>
      <x:c r="J17" s="36" t="str">
        <x:v>SI</x:v>
      </x:c>
      <x:c r="K17" s="32"/>
      <x:c r="L17" s="32"/>
      <x:c r="M17" s="32"/>
      <x:c r="N17" s="32"/>
    </x:row>
    <x:row r="18">
      <x:c r="A18" s="38" t="str">
        <x:v>Angle</x:v>
      </x:c>
      <x:c r="B18" s="38" t="str">
        <x:v>rad</x:v>
      </x:c>
      <x:c r="C18" s="38" t="str">
        <x:v>deg</x:v>
      </x:c>
      <x:c r="D18" s="38" t="str">
        <x:v>deg</x:v>
      </x:c>
      <x:c r="E18" s="18" t="n">
        <x:v>57.295779513</x:v>
      </x:c>
      <x:c r="F18" s="18" t="n">
        <x:v>57.295779513</x:v>
      </x:c>
      <x:c r="G18" s="18" t="n">
        <x:v>0</x:v>
      </x:c>
      <x:c r="H18" s="38" t="str">
        <x:f>IF($B$5="SI",B18,IF($B$5="Imperial",C18,IF($B$5="Mixed",D18,IF($B$5="Custom",IF(J18="SI",B18,IF(J18="Imperial",C18,IF(J18="Mixed",D18,"INVALID"))),"INVALID"))))</x:f>
        <x:v>rad</x:v>
      </x:c>
      <x:c r="I18" s="18" t="n">
        <x:f>IF($B$5="SI",1,IF($B$5="Imperial",E18,IF($B$5="Mixed",F18,IF($B$5="Custom",IF(J18="SI",1,IF(J18="Imperial",E18,IF(J18="Mixed",F18,NA()))),NA()))))</x:f>
        <x:v>1</x:v>
      </x:c>
      <x:c r="J18" s="36" t="str">
        <x:v>SI</x:v>
      </x:c>
      <x:c r="K18" s="32"/>
      <x:c r="L18" s="32"/>
      <x:c r="M18" s="32"/>
      <x:c r="N18" s="32"/>
    </x:row>
    <x:row r="19">
      <x:c r="A19" s="38" t="str">
        <x:v>Speed</x:v>
      </x:c>
      <x:c r="B19" s="38" t="str">
        <x:v>m/s</x:v>
      </x:c>
      <x:c r="C19" s="38" t="str">
        <x:v>ft/min</x:v>
      </x:c>
      <x:c r="D19" s="38" t="str">
        <x:v>m/min</x:v>
      </x:c>
      <x:c r="E19" s="18" t="n">
        <x:v>196.8503937</x:v>
      </x:c>
      <x:c r="F19" s="18" t="n">
        <x:v>60</x:v>
      </x:c>
      <x:c r="G19" s="18" t="n">
        <x:v>0</x:v>
      </x:c>
      <x:c r="H19" s="38" t="str">
        <x:f>IF($B$5="SI",B19,IF($B$5="Imperial",C19,IF($B$5="Mixed",D19,IF($B$5="Custom",IF(J19="SI",B19,IF(J19="Imperial",C19,IF(J19="Mixed",D19,"INVALID"))),"INVALID"))))</x:f>
        <x:v>m/s</x:v>
      </x:c>
      <x:c r="I19" s="18" t="n">
        <x:f>IF($B$5="SI",1,IF($B$5="Imperial",E19,IF($B$5="Mixed",F19,IF($B$5="Custom",IF(J19="SI",1,IF(J19="Imperial",E19,IF(J19="Mixed",F19,NA()))),NA()))))</x:f>
        <x:v>1</x:v>
      </x:c>
      <x:c r="J19" s="36" t="str">
        <x:v>SI</x:v>
      </x:c>
      <x:c r="K19" s="32"/>
      <x:c r="L19" s="32"/>
      <x:c r="M19" s="32"/>
      <x:c r="N19" s="32"/>
    </x:row>
    <x:row r="20">
      <x:c r="A20" s="38" t="str">
        <x:v>Angular gradient</x:v>
      </x:c>
      <x:c r="B20" s="38" t="str">
        <x:v>rad/m</x:v>
      </x:c>
      <x:c r="C20" s="38" t="str">
        <x:v>deg/100ft</x:v>
      </x:c>
      <x:c r="D20" s="38" t="str">
        <x:v>deg/30m</x:v>
      </x:c>
      <x:c r="E20" s="18" t="n">
        <x:v>1746.37535955875</x:v>
      </x:c>
      <x:c r="F20" s="18" t="n">
        <x:v>1718.87338539247</x:v>
      </x:c>
      <x:c r="G20" s="18" t="n">
        <x:v>0</x:v>
      </x:c>
      <x:c r="H20" s="38" t="str">
        <x:f>IF($B$5="SI",B20,IF($B$5="Imperial",C20,IF($B$5="Mixed",D20,IF($B$5="Custom",IF(J20="SI",B20,IF(J20="Imperial",C20,IF(J20="Mixed",D20,"INVALID"))),"INVALID"))))</x:f>
        <x:v>rad/m</x:v>
      </x:c>
      <x:c r="I20" s="18" t="n">
        <x:f>IF($B$5="SI",1,IF($B$5="Imperial",E20,IF($B$5="Mixed",F20,IF($B$5="Custom",IF(J20="SI",1,IF(J20="Imperial",E20,IF(J20="Mixed",F20,NA()))),NA()))))</x:f>
        <x:v>1</x:v>
      </x:c>
      <x:c r="J20" s="36" t="str">
        <x:v>SI</x:v>
      </x:c>
      <x:c r="K20" s="32"/>
      <x:c r="L20" s="32"/>
      <x:c r="M20" s="32"/>
      <x:c r="N20" s="32"/>
    </x:row>
  </x:sheetData>
  <x:mergeCells>
    <x:mergeCell ref="A1:N1"/>
    <x:mergeCell ref="A3:J3"/>
    <x:mergeCell ref="D5:J5"/>
  </x:mergeCells>
  <x:dataValidations count="14">
    <x:dataValidation type="list" sqref="B5">
      <x:formula1>"SI,Imperial,Mixed,Custom"</x:formula1>
    </x:dataValidation>
    <x:dataValidation type="list" sqref="J8">
      <x:formula1>"SI,Imperial,Mixed"</x:formula1>
    </x:dataValidation>
    <x:dataValidation type="list" sqref="J9">
      <x:formula1>"SI,Imperial,Mixed"</x:formula1>
    </x:dataValidation>
    <x:dataValidation type="list" sqref="J10">
      <x:formula1>"SI,Imperial,Mixed"</x:formula1>
    </x:dataValidation>
    <x:dataValidation type="list" sqref="J11">
      <x:formula1>"SI,Imperial,Mixed"</x:formula1>
    </x:dataValidation>
    <x:dataValidation type="list" sqref="J12">
      <x:formula1>"SI,Imperial,Mixed"</x:formula1>
    </x:dataValidation>
    <x:dataValidation type="list" sqref="J13">
      <x:formula1>"SI,Imperial,Mixed"</x:formula1>
    </x:dataValidation>
    <x:dataValidation type="list" sqref="J14">
      <x:formula1>"SI,Imperial,Mixed"</x:formula1>
    </x:dataValidation>
    <x:dataValidation type="list" sqref="J15">
      <x:formula1>"SI,Imperial,Mixed"</x:formula1>
    </x:dataValidation>
    <x:dataValidation type="list" sqref="J16">
      <x:formula1>"SI,Imperial,Mixed"</x:formula1>
    </x:dataValidation>
    <x:dataValidation type="list" sqref="J17">
      <x:formula1>"SI,Imperial,Mixed"</x:formula1>
    </x:dataValidation>
    <x:dataValidation type="list" sqref="J18">
      <x:formula1>"SI,Imperial,Mixed"</x:formula1>
    </x:dataValidation>
    <x:dataValidation type="list" sqref="J19">
      <x:formula1>"SI,Imperial,Mixed"</x:formula1>
    </x:dataValidation>
    <x:dataValidation type="list" sqref="J20">
      <x:formula1>"SI,Imperial,Mixed"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1" t="str">
        <x:v>WellForge | Checks | Formula-driven planning and review workbook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</x:row>
    <x:row r="3">
      <x:c r="A3" s="33" t="str">
        <x:v>Model checks and operating-status gates</x:v>
      </x:c>
      <x:c r="B3" s="33" t="str">
        <x:v>Model checks and operating-status gates</x:v>
      </x:c>
      <x:c r="C3" s="33" t="str">
        <x:v>Model checks and operating-status gates</x:v>
      </x:c>
      <x:c r="D3" s="33" t="str">
        <x:v>Model checks and operating-status gates</x:v>
      </x:c>
      <x:c r="E3" s="32"/>
      <x:c r="F3" s="32"/>
      <x:c r="G3" s="32"/>
      <x:c r="H3" s="32"/>
      <x:c r="I3" s="32"/>
      <x:c r="J3" s="32"/>
      <x:c r="K3" s="32"/>
      <x:c r="L3" s="32"/>
      <x:c r="M3" s="32"/>
      <x:c r="N3" s="32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</x:row>
    <x:row r="5">
      <x:c r="A5" s="34" t="str">
        <x:v>Check</x:v>
      </x:c>
      <x:c r="B5" s="34" t="str">
        <x:v>Result</x:v>
      </x:c>
      <x:c r="C5" s="34" t="str">
        <x:v>Status</x:v>
      </x:c>
      <x:c r="D5" s="34" t="str">
        <x:v>Required action</x:v>
      </x:c>
      <x:c r="E5" s="32"/>
      <x:c r="F5" s="32"/>
      <x:c r="G5" s="32"/>
      <x:c r="H5" s="32"/>
      <x:c r="I5" s="32"/>
      <x:c r="J5" s="32"/>
      <x:c r="K5" s="32"/>
      <x:c r="L5" s="32"/>
      <x:c r="M5" s="32"/>
      <x:c r="N5" s="32"/>
    </x:row>
    <x:row r="6">
      <x:c r="A6" s="38" t="str">
        <x:v>SI input source</x:v>
      </x:c>
      <x:c r="B6" s="38" t="str">
        <x:v>All calculation sources use SI units</x:v>
      </x:c>
      <x:c r="C6" s="38" t="str">
        <x:v>INFO</x:v>
      </x:c>
      <x:c r="D6" s="38" t="str">
        <x:v>Select display units only in Unit Map</x:v>
      </x:c>
      <x:c r="E6" s="32"/>
      <x:c r="F6" s="32"/>
      <x:c r="G6" s="32"/>
      <x:c r="H6" s="32"/>
      <x:c r="I6" s="32"/>
      <x:c r="J6" s="32"/>
      <x:c r="K6" s="32"/>
      <x:c r="L6" s="32"/>
      <x:c r="M6" s="32"/>
      <x:c r="N6" s="32"/>
    </x:row>
    <x:row r="7">
      <x:c r="A7" s="38" t="str">
        <x:v>Input completeness</x:v>
      </x:c>
      <x:c r="B7" s="38" t="str">
        <x:v>Refer to Inputs input-status cells</x:v>
      </x:c>
      <x:c r="C7" s="38" t="str">
        <x:v>PENDING</x:v>
      </x:c>
      <x:c r="D7" s="38" t="str">
        <x:v>Resolve blanks / invalid geometry</x:v>
      </x:c>
      <x:c r="E7" s="32"/>
      <x:c r="F7" s="32"/>
      <x:c r="G7" s="32"/>
      <x:c r="H7" s="32"/>
      <x:c r="I7" s="32"/>
      <x:c r="J7" s="32"/>
      <x:c r="K7" s="32"/>
      <x:c r="L7" s="32"/>
      <x:c r="M7" s="32"/>
      <x:c r="N7" s="32"/>
    </x:row>
    <x:row r="8">
      <x:c r="A8" s="38" t="str">
        <x:v>Limit screening</x:v>
      </x:c>
      <x:c r="B8" s="38" t="str">
        <x:v>Refer to Summary governing utilisation</x:v>
      </x:c>
      <x:c r="C8" s="38" t="str">
        <x:v>PENDING</x:v>
      </x:c>
      <x:c r="D8" s="38" t="str">
        <x:v>Review any value above 100%</x:v>
      </x:c>
      <x:c r="E8" s="32"/>
      <x:c r="F8" s="32"/>
      <x:c r="G8" s="32"/>
      <x:c r="H8" s="32"/>
      <x:c r="I8" s="32"/>
      <x:c r="J8" s="32"/>
      <x:c r="K8" s="32"/>
      <x:c r="L8" s="32"/>
      <x:c r="M8" s="32"/>
      <x:c r="N8" s="32"/>
    </x:row>
    <x:row r="9">
      <x:c r="A9" s="38" t="str">
        <x:v>Method basis</x:v>
      </x:c>
      <x:c r="B9" s="38" t="str">
        <x:v>Screening model; not controlled operational approval</x:v>
      </x:c>
      <x:c r="C9" s="38" t="str">
        <x:v>INFO</x:v>
      </x:c>
      <x:c r="D9" s="38" t="str">
        <x:v>Use approved engineering workflow for sign-off</x:v>
      </x:c>
      <x:c r="E9" s="32"/>
      <x:c r="F9" s="32"/>
      <x:c r="G9" s="32"/>
      <x:c r="H9" s="32"/>
      <x:c r="I9" s="32"/>
      <x:c r="J9" s="32"/>
      <x:c r="K9" s="32"/>
      <x:c r="L9" s="32"/>
      <x:c r="M9" s="32"/>
      <x:c r="N9" s="32"/>
    </x:row>
    <x:row r="10">
      <x:c r="A10" s="38" t="str">
        <x:v>External links / VBA</x:v>
      </x:c>
      <x:c r="B10" s="38" t="str">
        <x:v>None</x:v>
      </x:c>
      <x:c r="C10" s="38" t="str">
        <x:v>PASS</x:v>
      </x:c>
      <x:c r="D10" s="38" t="str">
        <x:v>Workbook remains portable and auditable</x:v>
      </x:c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</x:row>
  </x:sheetData>
  <x:mergeCells>
    <x:mergeCell ref="A1:N1"/>
    <x:mergeCell ref="A3:D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1" t="str">
        <x:v>WellForge | Calc | Formula-driven planning and review workbook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</x:row>
    <x:row r="3">
      <x:c r="A3" s="33" t="str">
        <x:v>Section-by-section SI calculations</x:v>
      </x:c>
      <x:c r="B3" s="33" t="str">
        <x:v>Section-by-section SI calculations</x:v>
      </x:c>
      <x:c r="C3" s="33" t="str">
        <x:v>Section-by-section SI calculations</x:v>
      </x:c>
      <x:c r="D3" s="33" t="str">
        <x:v>Section-by-section SI calculations</x:v>
      </x:c>
      <x:c r="E3" s="33" t="str">
        <x:v>Section-by-section SI calculations</x:v>
      </x:c>
      <x:c r="F3" s="33" t="str">
        <x:v>Section-by-section SI calculations</x:v>
      </x:c>
      <x:c r="G3" s="33" t="str">
        <x:v>Section-by-section SI calculations</x:v>
      </x:c>
      <x:c r="H3" s="33" t="str">
        <x:v>Section-by-section SI calculations</x:v>
      </x:c>
      <x:c r="I3" s="33" t="str">
        <x:v>Section-by-section SI calculations</x:v>
      </x:c>
      <x:c r="J3" s="33" t="str">
        <x:v>Section-by-section SI calculations</x:v>
      </x:c>
      <x:c r="K3" s="32"/>
      <x:c r="L3" s="32"/>
      <x:c r="M3" s="32"/>
      <x:c r="N3" s="32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</x:row>
    <x:row r="5">
      <x:c r="A5" s="34" t="str">
        <x:v>Section</x:v>
      </x:c>
      <x:c r="B5" s="34" t="str">
        <x:v>Metal area m2</x:v>
      </x:c>
      <x:c r="C5" s="34" t="str">
        <x:v>Buoyancy factor</x:v>
      </x:c>
      <x:c r="D5" s="34" t="str">
        <x:v>Buoyed load N</x:v>
      </x:c>
      <x:c r="E5" s="34" t="str">
        <x:v>Polar moment m4</x:v>
      </x:c>
      <x:c r="F5" s="34" t="str">
        <x:v>Tension util.</x:v>
      </x:c>
      <x:c r="G5" s="34" t="str">
        <x:v>Torque capacity N-m</x:v>
      </x:c>
      <x:c r="H5" s="34" t="str">
        <x:v>Torque util.</x:v>
      </x:c>
      <x:c r="I5" s="34" t="str">
        <x:v>Combined util.</x:v>
      </x:c>
      <x:c r="J5" s="34" t="str">
        <x:v>Status</x:v>
      </x:c>
      <x:c r="K5" s="32"/>
      <x:c r="L5" s="32"/>
      <x:c r="M5" s="32"/>
      <x:c r="N5" s="32"/>
    </x:row>
    <x:row r="6">
      <x:c r="A6" s="35" t="str">
        <x:f>Inputs!A6</x:f>
        <x:v>Drill Pipe</x:v>
      </x:c>
      <x:c r="B6" s="35" t="n">
        <x:f>PI()/4*(Inputs!D6^2-Inputs!E6^2)</x:f>
        <x:v>0.003404732454254474</x:v>
      </x:c>
      <x:c r="C6" s="35" t="n">
        <x:f>1-Inputs!C6/7850</x:f>
        <x:v>0.8471337579617835</x:v>
      </x:c>
      <x:c r="D6" s="35" t="n">
        <x:f>Inputs!F6*C6</x:f>
        <x:v>720063.6942675159</x:v>
      </x:c>
      <x:c r="E6" s="35" t="n">
        <x:f>PI()/32*(Inputs!D6^4-Inputs!E6^4)</x:f>
        <x:v>0.000011883776016356188</x:v>
      </x:c>
      <x:c r="F6" s="35" t="n">
        <x:f>D6/Inputs!G6</x:f>
        <x:v>0.4000353857041755</x:v>
      </x:c>
      <x:c r="G6" s="35" t="n">
        <x:f>Inputs!H6*1.35</x:f>
        <x:v>29700.000000000004</x:v>
      </x:c>
      <x:c r="H6" s="35" t="n">
        <x:f>Inputs!$K$6/G6</x:f>
        <x:v>0.8754208754208753</x:v>
      </x:c>
      <x:c r="I6" s="35" t="n">
        <x:f>SQRT(F6^2+H6^2)</x:f>
        <x:v>0.962491568242621</x:v>
      </x:c>
      <x:c r="J6" s="35" t="str">
        <x:f>IF(I6&lt;=Inputs!K$8,"PASS","REVIEW")</x:f>
        <x:v>REVIEW</x:v>
      </x:c>
      <x:c r="K6" s="32"/>
      <x:c r="L6" s="32"/>
      <x:c r="M6" s="32"/>
      <x:c r="N6" s="32"/>
    </x:row>
    <x:row r="7">
      <x:c r="A7" s="35" t="str">
        <x:f>Inputs!A7</x:f>
        <x:v>HWDP</x:v>
      </x:c>
      <x:c r="B7" s="35" t="n">
        <x:f>PI()/4*(Inputs!D7^2-Inputs!E7^2)</x:f>
        <x:v>0.010857344210806327</x:v>
      </x:c>
      <x:c r="C7" s="35" t="n">
        <x:f>1-Inputs!C7/7850</x:f>
        <x:v>0.8471337579617835</x:v>
      </x:c>
      <x:c r="D7" s="35" t="n">
        <x:f>Inputs!F7*C7</x:f>
        <x:v>779363.0573248408</x:v>
      </x:c>
      <x:c r="E7" s="35" t="n">
        <x:f>PI()/32*(Inputs!D7^4-Inputs!E7^4)</x:f>
        <x:v>0.00003443949583667768</x:v>
      </x:c>
      <x:c r="F7" s="35" t="n">
        <x:f>D7/Inputs!G7</x:f>
        <x:v>0.3388535031847134</x:v>
      </x:c>
      <x:c r="G7" s="35" t="n">
        <x:f>Inputs!H7*1.35</x:f>
        <x:v>40500</x:v>
      </x:c>
      <x:c r="H7" s="35" t="n">
        <x:f>Inputs!$K$6/G7</x:f>
        <x:v>0.6419753086419753</x:v>
      </x:c>
      <x:c r="I7" s="35" t="n">
        <x:f>SQRT(F7^2+H7^2)</x:f>
        <x:v>0.7259159686399742</x:v>
      </x:c>
      <x:c r="J7" s="35" t="str">
        <x:f>IF(I7&lt;=Inputs!K$8,"PASS","REVIEW")</x:f>
        <x:v>PASS</x:v>
      </x:c>
      <x:c r="K7" s="32"/>
      <x:c r="L7" s="32"/>
      <x:c r="M7" s="32"/>
      <x:c r="N7" s="32"/>
    </x:row>
    <x:row r="8">
      <x:c r="A8" s="35" t="str">
        <x:f>Inputs!A8</x:f>
        <x:v>Drill Collar</x:v>
      </x:c>
      <x:c r="B8" s="35" t="n">
        <x:f>PI()/4*(Inputs!D8^2-Inputs!E8^2)</x:f>
        <x:v>0.019006635554218252</x:v>
      </x:c>
      <x:c r="C8" s="35" t="n">
        <x:f>1-Inputs!C8/7850</x:f>
        <x:v>0.8471337579617835</x:v>
      </x:c>
      <x:c r="D8" s="35" t="n">
        <x:f>Inputs!F8*C8</x:f>
        <x:v>830191.0828025478</x:v>
      </x:c>
      <x:c r="E8" s="35" t="n">
        <x:f>PI()/32*(Inputs!D8^4-Inputs!E8^4)</x:f>
        <x:v>0.00008144818500871376</x:v>
      </x:c>
      <x:c r="F8" s="35" t="n">
        <x:f>D8/Inputs!G8</x:f>
        <x:v>0.27673036093418263</x:v>
      </x:c>
      <x:c r="G8" s="35" t="n">
        <x:f>Inputs!H8*1.35</x:f>
        <x:v>60750.00000000001</x:v>
      </x:c>
      <x:c r="H8" s="35" t="n">
        <x:f>Inputs!$K$6/G8</x:f>
        <x:v>0.42798353909465014</x:v>
      </x:c>
      <x:c r="I8" s="35" t="n">
        <x:f>SQRT(F8^2+H8^2)</x:f>
        <x:v>0.509656357165046</x:v>
      </x:c>
      <x:c r="J8" s="35" t="str">
        <x:f>IF(I8&lt;=Inputs!K$8,"PASS","REVIEW")</x:f>
        <x:v>PASS</x:v>
      </x:c>
      <x:c r="K8" s="32"/>
      <x:c r="L8" s="32"/>
      <x:c r="M8" s="32"/>
      <x:c r="N8" s="32"/>
    </x:row>
    <x:row r="9">
      <x:c r="A9" s="35" t="str">
        <x:f>Inputs!A9</x:f>
        <x:v>MWD / LWD</x:v>
      </x:c>
      <x:c r="B9" s="35" t="n">
        <x:f>PI()/4*(Inputs!D9^2-Inputs!E9^2)</x:f>
        <x:v>0.020414069063026476</x:v>
      </x:c>
      <x:c r="C9" s="35" t="n">
        <x:f>1-Inputs!C9/7850</x:f>
        <x:v>0.8471337579617835</x:v>
      </x:c>
      <x:c r="D9" s="35" t="n">
        <x:f>Inputs!F9*C9</x:f>
        <x:v>847133.7579617834</x:v>
      </x:c>
      <x:c r="E9" s="35" t="n">
        <x:f>PI()/32*(Inputs!D9^4-Inputs!E9^4)</x:f>
        <x:v>0.0000829066379822163</x:v>
      </x:c>
      <x:c r="F9" s="35" t="n">
        <x:f>D9/Inputs!G9</x:f>
        <x:v>0.3850607990735379</x:v>
      </x:c>
      <x:c r="G9" s="35" t="n">
        <x:f>Inputs!H9*1.35</x:f>
        <x:v>47250</x:v>
      </x:c>
      <x:c r="H9" s="35" t="n">
        <x:f>Inputs!$K$6/G9</x:f>
        <x:v>0.5502645502645502</x:v>
      </x:c>
      <x:c r="I9" s="35" t="n">
        <x:f>SQRT(F9^2+H9^2)</x:f>
        <x:v>0.6716121605964258</x:v>
      </x:c>
      <x:c r="J9" s="35" t="str">
        <x:f>IF(I9&lt;=Inputs!K$8,"PASS","REVIEW")</x:f>
        <x:v>PASS</x:v>
      </x:c>
      <x:c r="K9" s="32"/>
      <x:c r="L9" s="32"/>
      <x:c r="M9" s="32"/>
      <x:c r="N9" s="32"/>
    </x:row>
    <x:row r="10">
      <x:c r="A10" s="35" t="str">
        <x:f>Inputs!A10</x:f>
        <x:v>Motor / RSS</x:v>
      </x:c>
      <x:c r="B10" s="35" t="n">
        <x:f>PI()/4*(Inputs!D10^2-Inputs!E10^2)</x:f>
        <x:v>0.020414069063026476</x:v>
      </x:c>
      <x:c r="C10" s="35" t="n">
        <x:f>1-Inputs!C10/7850</x:f>
        <x:v>0.8471337579617835</x:v>
      </x:c>
      <x:c r="D10" s="35" t="n">
        <x:f>Inputs!F10*C10</x:f>
        <x:v>864076.4331210192</x:v>
      </x:c>
      <x:c r="E10" s="35" t="n">
        <x:f>PI()/32*(Inputs!D10^4-Inputs!E10^4)</x:f>
        <x:v>0.0000829066379822163</x:v>
      </x:c>
      <x:c r="F10" s="35" t="n">
        <x:f>D10/Inputs!G10</x:f>
        <x:v>0.3927620150550087</x:v>
      </x:c>
      <x:c r="G10" s="35" t="n">
        <x:f>Inputs!H10*1.35</x:f>
        <x:v>47250</x:v>
      </x:c>
      <x:c r="H10" s="35" t="n">
        <x:f>Inputs!$K$6/G10</x:f>
        <x:v>0.5502645502645502</x:v>
      </x:c>
      <x:c r="I10" s="35" t="n">
        <x:f>SQRT(F10^2+H10^2)</x:f>
        <x:v>0.6760570062856524</x:v>
      </x:c>
      <x:c r="J10" s="35" t="str">
        <x:f>IF(I10&lt;=Inputs!K$8,"PASS","REVIEW")</x:f>
        <x:v>PASS</x:v>
      </x:c>
      <x:c r="K10" s="32"/>
      <x:c r="L10" s="32"/>
      <x:c r="M10" s="32"/>
      <x:c r="N10" s="32"/>
    </x:row>
    <x:row r="11">
      <x:c r="A11" s="35" t="str">
        <x:f>Inputs!A11</x:f>
        <x:v>Bit / Sub</x:v>
      </x:c>
      <x:c r="B11" s="35" t="n">
        <x:f>PI()/4*(Inputs!D11^2-Inputs!E11^2)</x:f>
        <x:v>0.020923007072908024</x:v>
      </x:c>
      <x:c r="C11" s="35" t="n">
        <x:f>1-Inputs!C11/7850</x:f>
        <x:v>0.8471337579617835</x:v>
      </x:c>
      <x:c r="D11" s="35" t="n">
        <x:f>Inputs!F11*C11</x:f>
        <x:v>889490.4458598726</x:v>
      </x:c>
      <x:c r="E11" s="35" t="n">
        <x:f>PI()/32*(Inputs!D11^4-Inputs!E11^4)</x:f>
        <x:v>0.00008327879890194217</x:v>
      </x:c>
      <x:c r="F11" s="35" t="n">
        <x:f>D11/Inputs!G11</x:f>
        <x:v>0.5559315286624203</x:v>
      </x:c>
      <x:c r="G11" s="35" t="n">
        <x:f>Inputs!H11*1.35</x:f>
        <x:v>40500</x:v>
      </x:c>
      <x:c r="H11" s="35" t="n">
        <x:f>Inputs!$K$6/G11</x:f>
        <x:v>0.6419753086419753</x:v>
      </x:c>
      <x:c r="I11" s="35" t="n">
        <x:f>SQRT(F11^2+H11^2)</x:f>
        <x:v>0.8492303347542968</x:v>
      </x:c>
      <x:c r="J11" s="35" t="str">
        <x:f>IF(I11&lt;=Inputs!K$8,"PASS","REVIEW")</x:f>
        <x:v>PASS</x:v>
      </x:c>
      <x:c r="K11" s="32"/>
      <x:c r="L11" s="32"/>
      <x:c r="M11" s="32"/>
      <x:c r="N11" s="32"/>
    </x:row>
  </x:sheetData>
  <x:mergeCells>
    <x:mergeCell ref="A1:N1"/>
    <x:mergeCell ref="A3:J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2" hidden="0" customWidth="1"/>
  </x:cols>
  <x:sheetData>
    <x:row r="1" ht="26" customHeight="1">
      <x:c r="A1" s="31" t="str">
        <x:v>WellForge | Exchange Map | Formula-driven planning and review workbook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</x:row>
    <x:row r="3">
      <x:c r="A3" s="39" t="str">
        <x:v>Declarative JSON exchange destinations — documentation only; automation reads this protected table</x:v>
      </x:c>
      <x:c r="B3" s="39" t="str">
        <x:v>Declarative JSON exchange destinations — documentation only; automation reads this protected table</x:v>
      </x:c>
      <x:c r="C3" s="39" t="str">
        <x:v>Declarative JSON exchange destinations — documentation only; automation reads this protected table</x:v>
      </x:c>
      <x:c r="D3" s="39" t="str">
        <x:v>Declarative JSON exchange destinations — documentation only; automation reads this protected table</x:v>
      </x:c>
      <x:c r="E3" s="39" t="str">
        <x:v>Declarative JSON exchange destinations — documentation only; automation reads this protected table</x:v>
      </x:c>
      <x:c r="F3" s="39" t="str">
        <x:v>Declarative JSON exchange destinations — documentation only; automation reads this protected table</x:v>
      </x:c>
      <x:c r="G3" s="39" t="str">
        <x:v>Declarative JSON exchange destinations — documentation only; automation reads this protected table</x:v>
      </x:c>
      <x:c r="H3" s="39" t="str">
        <x:v>Declarative JSON exchange destinations — documentation only; automation reads this protected table</x:v>
      </x:c>
      <x:c r="I3" s="39" t="str">
        <x:v>Declarative JSON exchange destinations — documentation only; automation reads this protected table</x:v>
      </x:c>
      <x:c r="J3" s="39" t="str">
        <x:v>Declarative JSON exchange destinations — documentation only; automation reads this protected table</x:v>
      </x:c>
      <x:c r="K3" s="39" t="str">
        <x:v>Declarative JSON exchange destinations — documentation only; automation reads this protected table</x:v>
      </x:c>
      <x:c r="L3" s="39" t="str">
        <x:v>Declarative JSON exchange destinations — documentation only; automation reads this protected table</x:v>
      </x:c>
      <x:c r="M3" s="39" t="str">
        <x:v>Declarative JSON exchange destinations — documentation only; automation reads this protected table</x:v>
      </x:c>
      <x:c r="N3" s="32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</x:row>
    <x:row r="5">
      <x:c r="A5" s="40" t="str">
        <x:v>JSON Pointer</x:v>
      </x:c>
      <x:c r="B5" s="40" t="str">
        <x:v>Direction</x:v>
      </x:c>
      <x:c r="C5" s="40" t="str">
        <x:v>Sheet</x:v>
      </x:c>
      <x:c r="D5" s="40" t="str">
        <x:v>Address</x:v>
      </x:c>
      <x:c r="E5" s="40" t="str">
        <x:v>Shape</x:v>
      </x:c>
      <x:c r="F5" s="40" t="str">
        <x:v>Value column</x:v>
      </x:c>
      <x:c r="G5" s="40" t="str">
        <x:v>Stable ID column</x:v>
      </x:c>
      <x:c r="H5" s="40" t="str">
        <x:v>Row capacity</x:v>
      </x:c>
      <x:c r="I5" s="40" t="str">
        <x:v>Unit source</x:v>
      </x:c>
      <x:c r="J5" s="40" t="str">
        <x:v>Dimension</x:v>
      </x:c>
      <x:c r="K5" s="40" t="str">
        <x:v>Data type</x:v>
      </x:c>
      <x:c r="L5" s="40" t="str">
        <x:v>Required</x:v>
      </x:c>
      <x:c r="M5" s="40" t="str">
        <x:v>Writable</x:v>
      </x:c>
      <x:c r="N5" s="32"/>
    </x:row>
    <x:row r="6">
      <x:c r="A6" s="38" t="str">
        <x:v>/analyses/api7g/sections/*/length</x:v>
      </x:c>
      <x:c r="B6" s="38" t="str">
        <x:v>Input</x:v>
      </x:c>
      <x:c r="C6" s="38" t="str">
        <x:v>Inputs</x:v>
      </x:c>
      <x:c r="D6" s="38" t="str">
        <x:v>B6:B11</x:v>
      </x:c>
      <x:c r="E6" s="38" t="str">
        <x:v>Table</x:v>
      </x:c>
      <x:c r="F6" s="38" t="str">
        <x:v>B</x:v>
      </x:c>
      <x:c r="G6" s="38" t="str">
        <x:v>I</x:v>
      </x:c>
      <x:c r="H6" s="38" t="n">
        <x:v>6</x:v>
      </x:c>
      <x:c r="I6" s="38" t="str">
        <x:v>m</x:v>
      </x:c>
      <x:c r="J6" s="38" t="str">
        <x:v>length</x:v>
      </x:c>
      <x:c r="K6" s="38" t="str">
        <x:v>number</x:v>
      </x:c>
      <x:c r="L6" s="41" t="b">
        <x:v>1</x:v>
      </x:c>
      <x:c r="M6" s="41" t="b">
        <x:v>1</x:v>
      </x:c>
      <x:c r="N6" s="32"/>
    </x:row>
    <x:row r="7">
      <x:c r="A7" s="38" t="str">
        <x:v>/analyses/api7g/sections/*/fluidDensity</x:v>
      </x:c>
      <x:c r="B7" s="38" t="str">
        <x:v>Input</x:v>
      </x:c>
      <x:c r="C7" s="38" t="str">
        <x:v>Inputs</x:v>
      </x:c>
      <x:c r="D7" s="38" t="str">
        <x:v>C6:C11</x:v>
      </x:c>
      <x:c r="E7" s="38" t="str">
        <x:v>Table</x:v>
      </x:c>
      <x:c r="F7" s="38" t="str">
        <x:v>C</x:v>
      </x:c>
      <x:c r="G7" s="38" t="str">
        <x:v>I</x:v>
      </x:c>
      <x:c r="H7" s="38" t="n">
        <x:v>6</x:v>
      </x:c>
      <x:c r="I7" s="38" t="str">
        <x:v>kg/m3</x:v>
      </x:c>
      <x:c r="J7" s="38" t="str">
        <x:v>density</x:v>
      </x:c>
      <x:c r="K7" s="38" t="str">
        <x:v>number</x:v>
      </x:c>
      <x:c r="L7" s="41" t="b">
        <x:v>1</x:v>
      </x:c>
      <x:c r="M7" s="41" t="b">
        <x:v>1</x:v>
      </x:c>
      <x:c r="N7" s="32"/>
    </x:row>
    <x:row r="8">
      <x:c r="A8" s="38" t="str">
        <x:v>/analyses/api7g/sections/*/outerDiameter</x:v>
      </x:c>
      <x:c r="B8" s="38" t="str">
        <x:v>Input</x:v>
      </x:c>
      <x:c r="C8" s="38" t="str">
        <x:v>Inputs</x:v>
      </x:c>
      <x:c r="D8" s="38" t="str">
        <x:v>D6:D11</x:v>
      </x:c>
      <x:c r="E8" s="38" t="str">
        <x:v>Table</x:v>
      </x:c>
      <x:c r="F8" s="38" t="str">
        <x:v>D</x:v>
      </x:c>
      <x:c r="G8" s="38" t="str">
        <x:v>I</x:v>
      </x:c>
      <x:c r="H8" s="38" t="n">
        <x:v>6</x:v>
      </x:c>
      <x:c r="I8" s="38" t="str">
        <x:v>m</x:v>
      </x:c>
      <x:c r="J8" s="38" t="str">
        <x:v>diameter</x:v>
      </x:c>
      <x:c r="K8" s="38" t="str">
        <x:v>number</x:v>
      </x:c>
      <x:c r="L8" s="41" t="b">
        <x:v>1</x:v>
      </x:c>
      <x:c r="M8" s="41" t="b">
        <x:v>1</x:v>
      </x:c>
      <x:c r="N8" s="32"/>
    </x:row>
    <x:row r="9">
      <x:c r="A9" s="38" t="str">
        <x:v>/analyses/api7g/sections/*/innerDiameter</x:v>
      </x:c>
      <x:c r="B9" s="38" t="str">
        <x:v>Input</x:v>
      </x:c>
      <x:c r="C9" s="38" t="str">
        <x:v>Inputs</x:v>
      </x:c>
      <x:c r="D9" s="38" t="str">
        <x:v>E6:E11</x:v>
      </x:c>
      <x:c r="E9" s="38" t="str">
        <x:v>Table</x:v>
      </x:c>
      <x:c r="F9" s="38" t="str">
        <x:v>E</x:v>
      </x:c>
      <x:c r="G9" s="38" t="str">
        <x:v>I</x:v>
      </x:c>
      <x:c r="H9" s="38" t="n">
        <x:v>6</x:v>
      </x:c>
      <x:c r="I9" s="38" t="str">
        <x:v>m</x:v>
      </x:c>
      <x:c r="J9" s="38" t="str">
        <x:v>diameter</x:v>
      </x:c>
      <x:c r="K9" s="38" t="str">
        <x:v>number</x:v>
      </x:c>
      <x:c r="L9" s="41" t="b">
        <x:v>1</x:v>
      </x:c>
      <x:c r="M9" s="41" t="b">
        <x:v>1</x:v>
      </x:c>
      <x:c r="N9" s="32"/>
    </x:row>
    <x:row r="10">
      <x:c r="A10" s="38" t="str">
        <x:v>/analyses/api7g/sections/*/axialLoad</x:v>
      </x:c>
      <x:c r="B10" s="38" t="str">
        <x:v>Input</x:v>
      </x:c>
      <x:c r="C10" s="38" t="str">
        <x:v>Inputs</x:v>
      </x:c>
      <x:c r="D10" s="38" t="str">
        <x:v>F6:F11</x:v>
      </x:c>
      <x:c r="E10" s="38" t="str">
        <x:v>Table</x:v>
      </x:c>
      <x:c r="F10" s="38" t="str">
        <x:v>F</x:v>
      </x:c>
      <x:c r="G10" s="38" t="str">
        <x:v>I</x:v>
      </x:c>
      <x:c r="H10" s="38" t="n">
        <x:v>6</x:v>
      </x:c>
      <x:c r="I10" s="38" t="str">
        <x:v>N</x:v>
      </x:c>
      <x:c r="J10" s="38" t="str">
        <x:v>force</x:v>
      </x:c>
      <x:c r="K10" s="38" t="str">
        <x:v>number</x:v>
      </x:c>
      <x:c r="L10" s="41" t="b">
        <x:v>1</x:v>
      </x:c>
      <x:c r="M10" s="41" t="b">
        <x:v>1</x:v>
      </x:c>
      <x:c r="N10" s="32"/>
    </x:row>
    <x:row r="11">
      <x:c r="A11" s="38" t="str">
        <x:v>/analyses/api7g/sections/*/tensionLimit</x:v>
      </x:c>
      <x:c r="B11" s="38" t="str">
        <x:v>Input</x:v>
      </x:c>
      <x:c r="C11" s="38" t="str">
        <x:v>Inputs</x:v>
      </x:c>
      <x:c r="D11" s="38" t="str">
        <x:v>G6:G11</x:v>
      </x:c>
      <x:c r="E11" s="38" t="str">
        <x:v>Table</x:v>
      </x:c>
      <x:c r="F11" s="38" t="str">
        <x:v>G</x:v>
      </x:c>
      <x:c r="G11" s="38" t="str">
        <x:v>I</x:v>
      </x:c>
      <x:c r="H11" s="38" t="n">
        <x:v>6</x:v>
      </x:c>
      <x:c r="I11" s="38" t="str">
        <x:v>N</x:v>
      </x:c>
      <x:c r="J11" s="38" t="str">
        <x:v>force</x:v>
      </x:c>
      <x:c r="K11" s="38" t="str">
        <x:v>number</x:v>
      </x:c>
      <x:c r="L11" s="41" t="b">
        <x:v>1</x:v>
      </x:c>
      <x:c r="M11" s="41" t="b">
        <x:v>1</x:v>
      </x:c>
      <x:c r="N11" s="32"/>
    </x:row>
    <x:row r="12">
      <x:c r="A12" s="38" t="str">
        <x:v>/analyses/api7g/sections/*/operatingTorque</x:v>
      </x:c>
      <x:c r="B12" s="38" t="str">
        <x:v>Input</x:v>
      </x:c>
      <x:c r="C12" s="38" t="str">
        <x:v>Inputs</x:v>
      </x:c>
      <x:c r="D12" s="38" t="str">
        <x:v>H6:H11</x:v>
      </x:c>
      <x:c r="E12" s="38" t="str">
        <x:v>Table</x:v>
      </x:c>
      <x:c r="F12" s="38" t="str">
        <x:v>H</x:v>
      </x:c>
      <x:c r="G12" s="38" t="str">
        <x:v>I</x:v>
      </x:c>
      <x:c r="H12" s="38" t="n">
        <x:v>6</x:v>
      </x:c>
      <x:c r="I12" s="38" t="str">
        <x:v>N*m</x:v>
      </x:c>
      <x:c r="J12" s="38" t="str">
        <x:v>torque</x:v>
      </x:c>
      <x:c r="K12" s="38" t="str">
        <x:v>number</x:v>
      </x:c>
      <x:c r="L12" s="41" t="b">
        <x:v>1</x:v>
      </x:c>
      <x:c r="M12" s="41" t="b">
        <x:v>1</x:v>
      </x:c>
      <x:c r="N12" s="32"/>
    </x:row>
    <x:row r="13">
      <x:c r="A13" s="38" t="str">
        <x:v>/analyses/api7g/controls/surfaceTorque</x:v>
      </x:c>
      <x:c r="B13" s="38" t="str">
        <x:v>Input</x:v>
      </x:c>
      <x:c r="C13" s="38" t="str">
        <x:v>Inputs</x:v>
      </x:c>
      <x:c r="D13" s="38" t="str">
        <x:v>K6</x:v>
      </x:c>
      <x:c r="E13" s="38" t="str">
        <x:v>Scalar</x:v>
      </x:c>
      <x:c r="F13" s="38" t="str"/>
      <x:c r="G13" s="38" t="str"/>
      <x:c r="H13" s="38" t="str"/>
      <x:c r="I13" s="38" t="str">
        <x:v>N*m</x:v>
      </x:c>
      <x:c r="J13" s="38" t="str">
        <x:v>torque</x:v>
      </x:c>
      <x:c r="K13" s="38" t="str">
        <x:v>number</x:v>
      </x:c>
      <x:c r="L13" s="41" t="b">
        <x:v>1</x:v>
      </x:c>
      <x:c r="M13" s="41" t="b">
        <x:v>1</x:v>
      </x:c>
      <x:c r="N13" s="32"/>
    </x:row>
    <x:row r="14">
      <x:c r="A14" s="38" t="str">
        <x:v>/analyses/api7g/controls/hookload</x:v>
      </x:c>
      <x:c r="B14" s="38" t="str">
        <x:v>Input</x:v>
      </x:c>
      <x:c r="C14" s="38" t="str">
        <x:v>Inputs</x:v>
      </x:c>
      <x:c r="D14" s="38" t="str">
        <x:v>K7</x:v>
      </x:c>
      <x:c r="E14" s="38" t="str">
        <x:v>Scalar</x:v>
      </x:c>
      <x:c r="F14" s="38" t="str"/>
      <x:c r="G14" s="38" t="str"/>
      <x:c r="H14" s="38" t="str"/>
      <x:c r="I14" s="38" t="str">
        <x:v>N</x:v>
      </x:c>
      <x:c r="J14" s="38" t="str">
        <x:v>force</x:v>
      </x:c>
      <x:c r="K14" s="38" t="str">
        <x:v>number</x:v>
      </x:c>
      <x:c r="L14" s="41" t="b">
        <x:v>1</x:v>
      </x:c>
      <x:c r="M14" s="41" t="b">
        <x:v>1</x:v>
      </x:c>
      <x:c r="N14" s="32"/>
    </x:row>
    <x:row r="15">
      <x:c r="A15" s="38" t="str">
        <x:v>/analyses/api7g/controls/designUtilisationLimit</x:v>
      </x:c>
      <x:c r="B15" s="38" t="str">
        <x:v>Input</x:v>
      </x:c>
      <x:c r="C15" s="38" t="str">
        <x:v>Inputs</x:v>
      </x:c>
      <x:c r="D15" s="38" t="str">
        <x:v>K8</x:v>
      </x:c>
      <x:c r="E15" s="38" t="str">
        <x:v>Scalar</x:v>
      </x:c>
      <x:c r="F15" s="38" t="str"/>
      <x:c r="G15" s="38" t="str"/>
      <x:c r="H15" s="38" t="str"/>
      <x:c r="I15" s="38" t="str">
        <x:v>1</x:v>
      </x:c>
      <x:c r="J15" s="38" t="str">
        <x:v>unitless</x:v>
      </x:c>
      <x:c r="K15" s="38" t="str">
        <x:v>number</x:v>
      </x:c>
      <x:c r="L15" s="41" t="b">
        <x:v>1</x:v>
      </x:c>
      <x:c r="M15" s="41" t="b">
        <x:v>1</x:v>
      </x:c>
      <x:c r="N15" s="32"/>
    </x:row>
    <x:row r="16">
      <x:c r="A16" s="38" t="str">
        <x:v>/analyses/api7g/results/*/section</x:v>
      </x:c>
      <x:c r="B16" s="38" t="str">
        <x:v>Output</x:v>
      </x:c>
      <x:c r="C16" s="38" t="str">
        <x:v>Results</x:v>
      </x:c>
      <x:c r="D16" s="38" t="str">
        <x:v>A6:A11</x:v>
      </x:c>
      <x:c r="E16" s="38" t="str">
        <x:v>Table</x:v>
      </x:c>
      <x:c r="F16" s="38" t="str">
        <x:v>A</x:v>
      </x:c>
      <x:c r="G16" s="38" t="str">
        <x:v>I</x:v>
      </x:c>
      <x:c r="H16" s="38" t="n">
        <x:v>6</x:v>
      </x:c>
      <x:c r="I16" s="38" t="str">
        <x:v>text</x:v>
      </x:c>
      <x:c r="J16" s="38" t="str">
        <x:v>text</x:v>
      </x:c>
      <x:c r="K16" s="38" t="str">
        <x:v>string</x:v>
      </x:c>
      <x:c r="L16" s="41" t="b">
        <x:v>0</x:v>
      </x:c>
      <x:c r="M16" s="41" t="b">
        <x:v>0</x:v>
      </x:c>
      <x:c r="N16" s="32"/>
    </x:row>
    <x:row r="17">
      <x:c r="A17" s="38" t="str">
        <x:v>/analyses/api7g/results/*/buoyedLoad</x:v>
      </x:c>
      <x:c r="B17" s="38" t="str">
        <x:v>Output</x:v>
      </x:c>
      <x:c r="C17" s="38" t="str">
        <x:v>Results</x:v>
      </x:c>
      <x:c r="D17" s="38" t="str">
        <x:v>B6:B11</x:v>
      </x:c>
      <x:c r="E17" s="38" t="str">
        <x:v>Table</x:v>
      </x:c>
      <x:c r="F17" s="38" t="str">
        <x:v>B</x:v>
      </x:c>
      <x:c r="G17" s="38" t="str">
        <x:v>I</x:v>
      </x:c>
      <x:c r="H17" s="38" t="n">
        <x:v>6</x:v>
      </x:c>
      <x:c r="I17" s="38" t="str">
        <x:v>Results!B4</x:v>
      </x:c>
      <x:c r="J17" s="38" t="str">
        <x:v>force</x:v>
      </x:c>
      <x:c r="K17" s="38" t="str">
        <x:v>number</x:v>
      </x:c>
      <x:c r="L17" s="41" t="b">
        <x:v>0</x:v>
      </x:c>
      <x:c r="M17" s="41" t="b">
        <x:v>0</x:v>
      </x:c>
      <x:c r="N17" s="32"/>
    </x:row>
    <x:row r="18">
      <x:c r="A18" s="38" t="str">
        <x:v>/analyses/api7g/results/*/tensionUtilisation</x:v>
      </x:c>
      <x:c r="B18" s="38" t="str">
        <x:v>Output</x:v>
      </x:c>
      <x:c r="C18" s="38" t="str">
        <x:v>Results</x:v>
      </x:c>
      <x:c r="D18" s="38" t="str">
        <x:v>C6:C11</x:v>
      </x:c>
      <x:c r="E18" s="38" t="str">
        <x:v>Table</x:v>
      </x:c>
      <x:c r="F18" s="38" t="str">
        <x:v>C</x:v>
      </x:c>
      <x:c r="G18" s="38" t="str">
        <x:v>I</x:v>
      </x:c>
      <x:c r="H18" s="38" t="n">
        <x:v>6</x:v>
      </x:c>
      <x:c r="I18" s="38" t="str">
        <x:v>1</x:v>
      </x:c>
      <x:c r="J18" s="38" t="str">
        <x:v>unitless</x:v>
      </x:c>
      <x:c r="K18" s="38" t="str">
        <x:v>number</x:v>
      </x:c>
      <x:c r="L18" s="41" t="b">
        <x:v>0</x:v>
      </x:c>
      <x:c r="M18" s="41" t="b">
        <x:v>0</x:v>
      </x:c>
      <x:c r="N18" s="32"/>
    </x:row>
    <x:row r="19">
      <x:c r="A19" s="38" t="str">
        <x:v>/analyses/api7g/results/*/torqueUtilisation</x:v>
      </x:c>
      <x:c r="B19" s="38" t="str">
        <x:v>Output</x:v>
      </x:c>
      <x:c r="C19" s="38" t="str">
        <x:v>Results</x:v>
      </x:c>
      <x:c r="D19" s="38" t="str">
        <x:v>D6:D11</x:v>
      </x:c>
      <x:c r="E19" s="38" t="str">
        <x:v>Table</x:v>
      </x:c>
      <x:c r="F19" s="38" t="str">
        <x:v>D</x:v>
      </x:c>
      <x:c r="G19" s="38" t="str">
        <x:v>I</x:v>
      </x:c>
      <x:c r="H19" s="38" t="n">
        <x:v>6</x:v>
      </x:c>
      <x:c r="I19" s="38" t="str">
        <x:v>1</x:v>
      </x:c>
      <x:c r="J19" s="38" t="str">
        <x:v>unitless</x:v>
      </x:c>
      <x:c r="K19" s="38" t="str">
        <x:v>number</x:v>
      </x:c>
      <x:c r="L19" s="41" t="b">
        <x:v>0</x:v>
      </x:c>
      <x:c r="M19" s="41" t="b">
        <x:v>0</x:v>
      </x:c>
      <x:c r="N19" s="32"/>
    </x:row>
    <x:row r="20">
      <x:c r="A20" s="38" t="str">
        <x:v>/analyses/api7g/results/*/combinedUtilisation</x:v>
      </x:c>
      <x:c r="B20" s="38" t="str">
        <x:v>Output</x:v>
      </x:c>
      <x:c r="C20" s="38" t="str">
        <x:v>Results</x:v>
      </x:c>
      <x:c r="D20" s="38" t="str">
        <x:v>E6:E11</x:v>
      </x:c>
      <x:c r="E20" s="38" t="str">
        <x:v>Table</x:v>
      </x:c>
      <x:c r="F20" s="38" t="str">
        <x:v>E</x:v>
      </x:c>
      <x:c r="G20" s="38" t="str">
        <x:v>I</x:v>
      </x:c>
      <x:c r="H20" s="38" t="n">
        <x:v>6</x:v>
      </x:c>
      <x:c r="I20" s="38" t="str">
        <x:v>1</x:v>
      </x:c>
      <x:c r="J20" s="38" t="str">
        <x:v>unitless</x:v>
      </x:c>
      <x:c r="K20" s="38" t="str">
        <x:v>number</x:v>
      </x:c>
      <x:c r="L20" s="41" t="b">
        <x:v>0</x:v>
      </x:c>
      <x:c r="M20" s="41" t="b">
        <x:v>0</x:v>
      </x:c>
      <x:c r="N20" s="32"/>
    </x:row>
    <x:row r="21">
      <x:c r="A21" s="38" t="str">
        <x:v>/analyses/api7g/results/*/tensionStatus</x:v>
      </x:c>
      <x:c r="B21" s="38" t="str">
        <x:v>Output</x:v>
      </x:c>
      <x:c r="C21" s="38" t="str">
        <x:v>Results</x:v>
      </x:c>
      <x:c r="D21" s="38" t="str">
        <x:v>F6:F11</x:v>
      </x:c>
      <x:c r="E21" s="38" t="str">
        <x:v>Table</x:v>
      </x:c>
      <x:c r="F21" s="38" t="str">
        <x:v>F</x:v>
      </x:c>
      <x:c r="G21" s="38" t="str">
        <x:v>I</x:v>
      </x:c>
      <x:c r="H21" s="38" t="n">
        <x:v>6</x:v>
      </x:c>
      <x:c r="I21" s="38" t="str">
        <x:v>text</x:v>
      </x:c>
      <x:c r="J21" s="38" t="str">
        <x:v>status</x:v>
      </x:c>
      <x:c r="K21" s="38" t="str">
        <x:v>status</x:v>
      </x:c>
      <x:c r="L21" s="41" t="b">
        <x:v>0</x:v>
      </x:c>
      <x:c r="M21" s="41" t="b">
        <x:v>0</x:v>
      </x:c>
      <x:c r="N21" s="32"/>
    </x:row>
    <x:row r="22">
      <x:c r="A22" s="38" t="str">
        <x:v>/analyses/api7g/results/*/torqueStatus</x:v>
      </x:c>
      <x:c r="B22" s="38" t="str">
        <x:v>Output</x:v>
      </x:c>
      <x:c r="C22" s="38" t="str">
        <x:v>Results</x:v>
      </x:c>
      <x:c r="D22" s="38" t="str">
        <x:v>G6:G11</x:v>
      </x:c>
      <x:c r="E22" s="38" t="str">
        <x:v>Table</x:v>
      </x:c>
      <x:c r="F22" s="38" t="str">
        <x:v>G</x:v>
      </x:c>
      <x:c r="G22" s="38" t="str">
        <x:v>I</x:v>
      </x:c>
      <x:c r="H22" s="38" t="n">
        <x:v>6</x:v>
      </x:c>
      <x:c r="I22" s="38" t="str">
        <x:v>text</x:v>
      </x:c>
      <x:c r="J22" s="38" t="str">
        <x:v>status</x:v>
      </x:c>
      <x:c r="K22" s="38" t="str">
        <x:v>status</x:v>
      </x:c>
      <x:c r="L22" s="41" t="b">
        <x:v>0</x:v>
      </x:c>
      <x:c r="M22" s="41" t="b">
        <x:v>0</x:v>
      </x:c>
      <x:c r="N22" s="32"/>
    </x:row>
    <x:row r="23">
      <x:c r="A23" s="38" t="str">
        <x:v>/analyses/api7g/results/*/governing</x:v>
      </x:c>
      <x:c r="B23" s="38" t="str">
        <x:v>Output</x:v>
      </x:c>
      <x:c r="C23" s="38" t="str">
        <x:v>Results</x:v>
      </x:c>
      <x:c r="D23" s="38" t="str">
        <x:v>H6:H11</x:v>
      </x:c>
      <x:c r="E23" s="38" t="str">
        <x:v>Table</x:v>
      </x:c>
      <x:c r="F23" s="38" t="str">
        <x:v>H</x:v>
      </x:c>
      <x:c r="G23" s="38" t="str">
        <x:v>I</x:v>
      </x:c>
      <x:c r="H23" s="38" t="n">
        <x:v>6</x:v>
      </x:c>
      <x:c r="I23" s="38" t="str">
        <x:v>text</x:v>
      </x:c>
      <x:c r="J23" s="38" t="str">
        <x:v>status</x:v>
      </x:c>
      <x:c r="K23" s="38" t="str">
        <x:v>status</x:v>
      </x:c>
      <x:c r="L23" s="41" t="b">
        <x:v>0</x:v>
      </x:c>
      <x:c r="M23" s="41" t="b">
        <x:v>0</x:v>
      </x:c>
      <x:c r="N23" s="32"/>
    </x:row>
    <x:row r="24">
      <x:c r="A24" s="38" t="str">
        <x:v>/analyses/api7g/summary/governingSection</x:v>
      </x:c>
      <x:c r="B24" s="38" t="str">
        <x:v>Output</x:v>
      </x:c>
      <x:c r="C24" s="38" t="str">
        <x:v>Summary</x:v>
      </x:c>
      <x:c r="D24" s="38" t="str">
        <x:v>B6</x:v>
      </x:c>
      <x:c r="E24" s="38" t="str">
        <x:v>Scalar</x:v>
      </x:c>
      <x:c r="F24" s="38" t="str"/>
      <x:c r="G24" s="38" t="str"/>
      <x:c r="H24" s="38" t="str"/>
      <x:c r="I24" s="38" t="str">
        <x:v>text</x:v>
      </x:c>
      <x:c r="J24" s="38" t="str">
        <x:v>text</x:v>
      </x:c>
      <x:c r="K24" s="38" t="str">
        <x:v>string</x:v>
      </x:c>
      <x:c r="L24" s="41" t="b">
        <x:v>0</x:v>
      </x:c>
      <x:c r="M24" s="41" t="b">
        <x:v>0</x:v>
      </x:c>
      <x:c r="N24" s="32"/>
    </x:row>
    <x:row r="25">
      <x:c r="A25" s="38" t="str">
        <x:v>/analyses/api7g/summary/maximumCombinedUtilisation</x:v>
      </x:c>
      <x:c r="B25" s="38" t="str">
        <x:v>Output</x:v>
      </x:c>
      <x:c r="C25" s="38" t="str">
        <x:v>Summary</x:v>
      </x:c>
      <x:c r="D25" s="38" t="str">
        <x:v>B7</x:v>
      </x:c>
      <x:c r="E25" s="38" t="str">
        <x:v>Scalar</x:v>
      </x:c>
      <x:c r="F25" s="38" t="str"/>
      <x:c r="G25" s="38" t="str"/>
      <x:c r="H25" s="38" t="str"/>
      <x:c r="I25" s="38" t="str">
        <x:v>1</x:v>
      </x:c>
      <x:c r="J25" s="38" t="str">
        <x:v>unitless</x:v>
      </x:c>
      <x:c r="K25" s="38" t="str">
        <x:v>number</x:v>
      </x:c>
      <x:c r="L25" s="41" t="b">
        <x:v>0</x:v>
      </x:c>
      <x:c r="M25" s="41" t="b">
        <x:v>0</x:v>
      </x:c>
      <x:c r="N25" s="32"/>
    </x:row>
    <x:row r="26">
      <x:c r="A26" s="38" t="str">
        <x:v>/analyses/api7g/summary/status</x:v>
      </x:c>
      <x:c r="B26" s="38" t="str">
        <x:v>Output</x:v>
      </x:c>
      <x:c r="C26" s="38" t="str">
        <x:v>Summary</x:v>
      </x:c>
      <x:c r="D26" s="38" t="str">
        <x:v>B8</x:v>
      </x:c>
      <x:c r="E26" s="38" t="str">
        <x:v>Scalar</x:v>
      </x:c>
      <x:c r="F26" s="38" t="str"/>
      <x:c r="G26" s="38" t="str"/>
      <x:c r="H26" s="38" t="str"/>
      <x:c r="I26" s="38" t="str">
        <x:v>text</x:v>
      </x:c>
      <x:c r="J26" s="38" t="str">
        <x:v>status</x:v>
      </x:c>
      <x:c r="K26" s="38" t="str">
        <x:v>status</x:v>
      </x:c>
      <x:c r="L26" s="41" t="b">
        <x:v>0</x:v>
      </x:c>
      <x:c r="M26" s="41" t="b">
        <x:v>0</x:v>
      </x:c>
      <x:c r="N26" s="32"/>
    </x:row>
  </x:sheetData>
  <x:sheetProtection sheet="1" objects="1" scenarios="1"/>
  <x:protectedRanges>
    <x:protectedRange name="ExchangeMapDocumentation" sqref="A3:M3"/>
  </x:protectedRanges>
  <x:mergeCells>
    <x:mergeCell ref="A1:N1"/>
    <x:mergeCell ref="A3:M3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1" t="str">
        <x:v>WellForge | Exchange State | Formula-driven planning and review workbook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</x:row>
    <x:row r="3">
      <x:c r="A3" s="33" t="str">
        <x:v>Round-trip unit preservation state — managed by WellForge exchange automation</x:v>
      </x:c>
      <x:c r="B3" s="33" t="str">
        <x:v>Round-trip unit preservation state — managed by WellForge exchange automation</x:v>
      </x:c>
      <x:c r="C3" s="33" t="str">
        <x:v>Round-trip unit preservation state — managed by WellForge exchange automation</x:v>
      </x:c>
      <x:c r="D3" s="33" t="str">
        <x:v>Round-trip unit preservation state — managed by WellForge exchange automation</x:v>
      </x:c>
      <x:c r="E3" s="33" t="str">
        <x:v>Round-trip unit preservation state — managed by WellForge exchange automation</x:v>
      </x:c>
      <x:c r="F3" s="33" t="str">
        <x:v>Round-trip unit preservation state — managed by WellForge exchange automation</x:v>
      </x:c>
      <x:c r="G3" s="32"/>
      <x:c r="H3" s="32"/>
      <x:c r="I3" s="32"/>
      <x:c r="J3" s="32"/>
      <x:c r="K3" s="32"/>
      <x:c r="L3" s="32"/>
      <x:c r="M3" s="32"/>
      <x:c r="N3" s="32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</x:row>
    <x:row r="5">
      <x:c r="A5" s="40" t="str">
        <x:v>Pointer</x:v>
      </x:c>
      <x:c r="B5" s="40" t="str">
        <x:v>Original value</x:v>
      </x:c>
      <x:c r="C5" s="40" t="str">
        <x:v>Original unit</x:v>
      </x:c>
      <x:c r="D5" s="40" t="str">
        <x:v>Canonical value</x:v>
      </x:c>
      <x:c r="E5" s="40" t="str">
        <x:v>Destination</x:v>
      </x:c>
      <x:c r="F5" s="40" t="str">
        <x:v>Imported at</x:v>
      </x:c>
      <x:c r="G5" s="32"/>
      <x:c r="H5" s="32"/>
      <x:c r="I5" s="32"/>
      <x:c r="J5" s="32"/>
      <x:c r="K5" s="32"/>
      <x:c r="L5" s="32"/>
      <x:c r="M5" s="32"/>
      <x:c r="N5" s="32"/>
    </x:row>
  </x:sheetData>
  <x:sheetProtection sheet="1" objects="1" scenarios="1"/>
  <x:mergeCells>
    <x:mergeCell ref="A1:N1"/>
    <x:mergeCell ref="A3:F3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1" t="str">
        <x:v>WellForge | Exchange Buffer | Formula-driven planning and review workbook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</x:row>
    <x:row r="3">
      <x:c r="A3" s="33" t="str">
        <x:v>Office Script and desktop JSON exchange buffer</x:v>
      </x:c>
      <x:c r="B3" s="33" t="str">
        <x:v>Office Script and desktop JSON exchange buffer</x:v>
      </x:c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</x:row>
    <x:row r="5" ht="96" customHeight="1">
      <x:c r="A5" s="40" t="str">
        <x:v>Payload</x:v>
      </x:c>
      <x:c r="B5" s="42" t="str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</x:row>
    <x:row r="6">
      <x:c r="A6" s="40" t="str">
        <x:v>Action</x:v>
      </x:c>
      <x:c r="B6" s="43" t="str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</x:row>
    <x:row r="7">
      <x:c r="A7" s="40" t="str">
        <x:v>Status</x:v>
      </x:c>
      <x:c r="B7" s="44" t="str">
        <x:v>Ready</x:v>
      </x:c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</x:row>
    <x:row r="8">
      <x:c r="A8" s="40" t="str">
        <x:v>Diagnostics</x:v>
      </x:c>
      <x:c r="B8" s="45" t="str"/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</x:row>
  </x:sheetData>
  <x:mergeCells>
    <x:mergeCell ref="A1:N1"/>
    <x:mergeCell ref="A3:B3"/>
  </x:mergeCells>
  <x:pageMargins left="0.7" right="0.7" top="0.75" bottom="0.75" header="0.3" footer="0.3"/>
</x:worksheet>
</file>